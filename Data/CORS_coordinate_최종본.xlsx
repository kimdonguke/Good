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jh/Desktop/연구실/지각변동시스템_고시좌표/"/>
    </mc:Choice>
  </mc:AlternateContent>
  <xr:revisionPtr revIDLastSave="0" documentId="13_ncr:1_{E6C9ED2F-FC4C-C34A-9385-96BA60A25140}" xr6:coauthVersionLast="47" xr6:coauthVersionMax="47" xr10:uidLastSave="{00000000-0000-0000-0000-000000000000}"/>
  <bookViews>
    <workbookView xWindow="72600" yWindow="-15000" windowWidth="21600" windowHeight="37800" activeTab="1"/>
  </bookViews>
  <sheets>
    <sheet name="OBS_HEADER" sheetId="1" r:id="rId1"/>
    <sheet name="Sheet1" sheetId="7" r:id="rId2"/>
    <sheet name="A" sheetId="3" r:id="rId3"/>
    <sheet name="B1" sheetId="4" r:id="rId4"/>
    <sheet name="B2" sheetId="5" r:id="rId5"/>
    <sheet name="C" sheetId="6" r:id="rId6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<sst xmlns="http://schemas.openxmlformats.org/spreadsheetml/2006/main" xmlns:r="http://schemas.openxmlformats.org/officeDocument/2006/relationships" xmlns:xdr="http://schemas.openxmlformats.org/drawingml/2006/spreadsheetDrawing" count="2676" uniqueCount="268">
  <si>
    <t>station</t>
  </si>
  <si>
    <t>date</t>
  </si>
  <si>
    <t>mngr_nm</t>
  </si>
  <si>
    <t>status</t>
  </si>
  <si>
    <t>approx_x</t>
  </si>
  <si>
    <t>approx_y</t>
  </si>
  <si>
    <t>approx_z</t>
  </si>
  <si>
    <t>antenna_delta_h</t>
  </si>
  <si>
    <t>antenna_delta_e</t>
  </si>
  <si>
    <t>antenna_delta_n</t>
  </si>
  <si>
    <t>BOUN</t>
  </si>
  <si>
    <t>20260703</t>
  </si>
  <si>
    <t>공간정보연구원</t>
  </si>
  <si>
    <t>ok</t>
  </si>
  <si>
    <t>CHND</t>
  </si>
  <si>
    <t>missing</t>
  </si>
  <si>
    <t>CHNY</t>
  </si>
  <si>
    <t>GANR</t>
  </si>
  <si>
    <t>GEJE</t>
  </si>
  <si>
    <t>GIJN</t>
  </si>
  <si>
    <t>GOES</t>
  </si>
  <si>
    <t>GOHN</t>
  </si>
  <si>
    <t>GOSN</t>
  </si>
  <si>
    <t>GUNW</t>
  </si>
  <si>
    <t>HADN</t>
  </si>
  <si>
    <t>HPCN</t>
  </si>
  <si>
    <t>HSNG</t>
  </si>
  <si>
    <t>HWCH</t>
  </si>
  <si>
    <t>IMSL</t>
  </si>
  <si>
    <t>JNDO</t>
  </si>
  <si>
    <t>KAWH</t>
  </si>
  <si>
    <t>MJOO</t>
  </si>
  <si>
    <t>NAJU</t>
  </si>
  <si>
    <t>PNCH</t>
  </si>
  <si>
    <t>POCH</t>
  </si>
  <si>
    <t>SCHN</t>
  </si>
  <si>
    <t>SGUI</t>
  </si>
  <si>
    <t>TEAN</t>
  </si>
  <si>
    <t>ULSN</t>
  </si>
  <si>
    <t>WLJN</t>
  </si>
  <si>
    <t>YEJU</t>
  </si>
  <si>
    <t>YNDK</t>
  </si>
  <si>
    <t>YNIN</t>
  </si>
  <si>
    <t>YONJ</t>
  </si>
  <si>
    <t>BORE</t>
  </si>
  <si>
    <t>국가기상위성센터</t>
  </si>
  <si>
    <t>BOSN</t>
  </si>
  <si>
    <t>BRDO</t>
  </si>
  <si>
    <t>CGJU</t>
  </si>
  <si>
    <t>CHCH</t>
  </si>
  <si>
    <t>CLWN</t>
  </si>
  <si>
    <t>CNAN</t>
  </si>
  <si>
    <t>DAGR</t>
  </si>
  <si>
    <t>DJKD</t>
  </si>
  <si>
    <t>DODC</t>
  </si>
  <si>
    <t>GANG</t>
  </si>
  <si>
    <t>GRYB</t>
  </si>
  <si>
    <t>HGCN</t>
  </si>
  <si>
    <t>ICHE</t>
  </si>
  <si>
    <t>JICH</t>
  </si>
  <si>
    <t>KAMA</t>
  </si>
  <si>
    <t>KEOP</t>
  </si>
  <si>
    <t>MEON</t>
  </si>
  <si>
    <t>MNSN</t>
  </si>
  <si>
    <t>SDSM</t>
  </si>
  <si>
    <t>SWON</t>
  </si>
  <si>
    <t>YGIN</t>
  </si>
  <si>
    <t>YNPY</t>
  </si>
  <si>
    <t>YPDO</t>
  </si>
  <si>
    <t>ANHN</t>
  </si>
  <si>
    <t>국립해양측위정보원</t>
  </si>
  <si>
    <t>CCHJ</t>
  </si>
  <si>
    <t>CCHN</t>
  </si>
  <si>
    <t>DANG</t>
  </si>
  <si>
    <t>DOKD</t>
  </si>
  <si>
    <t>DONM</t>
  </si>
  <si>
    <t>EOCH</t>
  </si>
  <si>
    <t>GAGE</t>
  </si>
  <si>
    <t>GASA</t>
  </si>
  <si>
    <t>GEOM</t>
  </si>
  <si>
    <t>HGDO</t>
  </si>
  <si>
    <t>HOMI</t>
  </si>
  <si>
    <t>HONG</t>
  </si>
  <si>
    <t>JEOJ</t>
  </si>
  <si>
    <t>JUKB</t>
  </si>
  <si>
    <t>JUMN</t>
  </si>
  <si>
    <t>MARA</t>
  </si>
  <si>
    <t>MLDO</t>
  </si>
  <si>
    <t>MOOJ</t>
  </si>
  <si>
    <t>MUNG</t>
  </si>
  <si>
    <t>OKCH</t>
  </si>
  <si>
    <t>PALM</t>
  </si>
  <si>
    <t>PYCH</t>
  </si>
  <si>
    <t>SAMC</t>
  </si>
  <si>
    <t>SEJU</t>
  </si>
  <si>
    <t>SEOI</t>
  </si>
  <si>
    <t>SOCH</t>
  </si>
  <si>
    <t>SOKC</t>
  </si>
  <si>
    <t>SORI</t>
  </si>
  <si>
    <t>ULLE</t>
  </si>
  <si>
    <t>YNDO</t>
  </si>
  <si>
    <t>YNJU</t>
  </si>
  <si>
    <t>ANSG</t>
  </si>
  <si>
    <t>국토지리정보원</t>
  </si>
  <si>
    <t>BOEN</t>
  </si>
  <si>
    <t>BONH</t>
  </si>
  <si>
    <t>BSNG</t>
  </si>
  <si>
    <t>CCSB</t>
  </si>
  <si>
    <t>CHEN</t>
  </si>
  <si>
    <t>CHJU</t>
  </si>
  <si>
    <t>CHLW</t>
  </si>
  <si>
    <t>CHNG</t>
  </si>
  <si>
    <t>CHSG</t>
  </si>
  <si>
    <t>CHUL</t>
  </si>
  <si>
    <t>CHWN</t>
  </si>
  <si>
    <t>CHYG</t>
  </si>
  <si>
    <t>CJDO</t>
  </si>
  <si>
    <t>CNJU</t>
  </si>
  <si>
    <t>DANJ</t>
  </si>
  <si>
    <t>DOND</t>
  </si>
  <si>
    <t>DONH</t>
  </si>
  <si>
    <t>GANH</t>
  </si>
  <si>
    <t>GGEO</t>
  </si>
  <si>
    <t>GHDG</t>
  </si>
  <si>
    <t>GMDO</t>
  </si>
  <si>
    <t>GNGJ</t>
  </si>
  <si>
    <t>GOCH</t>
  </si>
  <si>
    <t>GOHG</t>
  </si>
  <si>
    <t>GOJE</t>
  </si>
  <si>
    <t>GOSG</t>
  </si>
  <si>
    <t>GSAN</t>
  </si>
  <si>
    <t>GYJU</t>
  </si>
  <si>
    <t>GYOI</t>
  </si>
  <si>
    <t>HADG</t>
  </si>
  <si>
    <t>HCHN</t>
  </si>
  <si>
    <t>HCSN</t>
  </si>
  <si>
    <t>HONC</t>
  </si>
  <si>
    <t>HSDO</t>
  </si>
  <si>
    <t>ICHN</t>
  </si>
  <si>
    <t>ICOR</t>
  </si>
  <si>
    <t>IMJA</t>
  </si>
  <si>
    <t>INCH</t>
  </si>
  <si>
    <t>INJE</t>
  </si>
  <si>
    <t>JAHG</t>
  </si>
  <si>
    <t>JANS</t>
  </si>
  <si>
    <t>JECH</t>
  </si>
  <si>
    <t>JIND</t>
  </si>
  <si>
    <t>JJHG</t>
  </si>
  <si>
    <t>JJNG</t>
  </si>
  <si>
    <t>JSUN</t>
  </si>
  <si>
    <t>JUNG</t>
  </si>
  <si>
    <t>JUNJ</t>
  </si>
  <si>
    <t>KIMC</t>
  </si>
  <si>
    <t>KUNW</t>
  </si>
  <si>
    <t>KUSN</t>
  </si>
  <si>
    <t>KWNJ</t>
  </si>
  <si>
    <t>MUAN</t>
  </si>
  <si>
    <t>MUJU</t>
  </si>
  <si>
    <t>MYSO</t>
  </si>
  <si>
    <t>NAMH</t>
  </si>
  <si>
    <t>NAMW</t>
  </si>
  <si>
    <t>NAMY</t>
  </si>
  <si>
    <t>NSAN</t>
  </si>
  <si>
    <t>OJBU</t>
  </si>
  <si>
    <t>PAJU</t>
  </si>
  <si>
    <t>PCHN</t>
  </si>
  <si>
    <t>PJMS</t>
  </si>
  <si>
    <t>POCN</t>
  </si>
  <si>
    <t>POHN</t>
  </si>
  <si>
    <t>PSJA</t>
  </si>
  <si>
    <t>PUSN</t>
  </si>
  <si>
    <t>SEJN</t>
  </si>
  <si>
    <t>SEOS</t>
  </si>
  <si>
    <t>SGWI</t>
  </si>
  <si>
    <t>SIAN</t>
  </si>
  <si>
    <t>SMAN</t>
  </si>
  <si>
    <t>SNJU</t>
  </si>
  <si>
    <t>SONC</t>
  </si>
  <si>
    <t>SOUL</t>
  </si>
  <si>
    <t>SSAN</t>
  </si>
  <si>
    <t>SUNJ</t>
  </si>
  <si>
    <t>SUWN</t>
  </si>
  <si>
    <t>SWGS</t>
  </si>
  <si>
    <t>TABK</t>
  </si>
  <si>
    <t>TEGN</t>
  </si>
  <si>
    <t>ULDO</t>
  </si>
  <si>
    <t>WNDO</t>
  </si>
  <si>
    <t>WNJU</t>
  </si>
  <si>
    <t>WOLS</t>
  </si>
  <si>
    <t>WSJG</t>
  </si>
  <si>
    <t>WSSN</t>
  </si>
  <si>
    <t>WULJ</t>
  </si>
  <si>
    <t>YANJ</t>
  </si>
  <si>
    <t>YANP</t>
  </si>
  <si>
    <t>YCHG</t>
  </si>
  <si>
    <t>YCIG</t>
  </si>
  <si>
    <t>YCMP</t>
  </si>
  <si>
    <t>YDKG</t>
  </si>
  <si>
    <t>YEOJ</t>
  </si>
  <si>
    <t>YNGU</t>
  </si>
  <si>
    <t>YODK</t>
  </si>
  <si>
    <t>YONK</t>
  </si>
  <si>
    <t>YOWL</t>
  </si>
  <si>
    <t>YYAN</t>
  </si>
  <si>
    <t>DBON</t>
  </si>
  <si>
    <t>서울시</t>
  </si>
  <si>
    <t>GANS</t>
  </si>
  <si>
    <t>GUMC</t>
  </si>
  <si>
    <t>SONP</t>
  </si>
  <si>
    <t>YONS</t>
  </si>
  <si>
    <t>SWDJ</t>
  </si>
  <si>
    <t>우주전파센터</t>
  </si>
  <si>
    <t>SWGJ</t>
  </si>
  <si>
    <t>SWGN</t>
  </si>
  <si>
    <t>SWIC</t>
  </si>
  <si>
    <t>SWJJ</t>
  </si>
  <si>
    <t>BOGG</t>
  </si>
  <si>
    <t>한국지질자원연구원</t>
  </si>
  <si>
    <t>CGUG</t>
  </si>
  <si>
    <t>DUCG</t>
  </si>
  <si>
    <t>GCNG</t>
  </si>
  <si>
    <t>GKPG</t>
  </si>
  <si>
    <t>HDBG</t>
  </si>
  <si>
    <t>HSBG</t>
  </si>
  <si>
    <t>HWSG</t>
  </si>
  <si>
    <t>JJBG</t>
  </si>
  <si>
    <t>JRBG</t>
  </si>
  <si>
    <t>JSBG</t>
  </si>
  <si>
    <t>MGBG</t>
  </si>
  <si>
    <t>POHG</t>
  </si>
  <si>
    <t>POSG</t>
  </si>
  <si>
    <t>SMCK</t>
  </si>
  <si>
    <t>YANS</t>
  </si>
  <si>
    <t>YKBG</t>
  </si>
  <si>
    <t>YSBG</t>
  </si>
  <si>
    <t>BHAO</t>
  </si>
  <si>
    <t>한국천문연구원</t>
  </si>
  <si>
    <t>DAEJ</t>
  </si>
  <si>
    <t>JEJU</t>
  </si>
  <si>
    <t>KOHG</t>
  </si>
  <si>
    <t>MKPO</t>
  </si>
  <si>
    <t>MLYN</t>
  </si>
  <si>
    <t>SBAO</t>
  </si>
  <si>
    <t>SKCH</t>
  </si>
  <si>
    <t>SKMA</t>
  </si>
  <si>
    <t>X</t>
    <phoneticPr fontId="2" type="noConversion"/>
  </si>
  <si>
    <t>Y</t>
    <phoneticPr fontId="2" type="noConversion"/>
  </si>
  <si>
    <t>Z</t>
    <phoneticPr fontId="2" type="noConversion"/>
  </si>
  <si>
    <t>DAMY</t>
    <phoneticPr fontId="2" type="noConversion"/>
  </si>
  <si>
    <t>NaN</t>
  </si>
  <si>
    <t>E</t>
    <phoneticPr fontId="2" type="noConversion"/>
  </si>
  <si>
    <t>U</t>
    <phoneticPr fontId="2" type="noConversion"/>
  </si>
  <si>
    <t>N</t>
    <phoneticPr fontId="2" type="noConversion"/>
  </si>
  <si>
    <t>Pos</t>
    <phoneticPr fontId="2" type="noConversion"/>
  </si>
  <si>
    <t>ok</t>
    <phoneticPr fontId="2" type="noConversion"/>
  </si>
  <si>
    <t>Lat</t>
    <phoneticPr fontId="2" type="noConversion"/>
  </si>
  <si>
    <t>Lon</t>
    <phoneticPr fontId="2" type="noConversion"/>
  </si>
  <si>
    <t>Height</t>
    <phoneticPr fontId="2" type="noConversion"/>
  </si>
  <si>
    <t>East</t>
    <phoneticPr fontId="2" type="noConversion"/>
  </si>
  <si>
    <t>North</t>
    <phoneticPr fontId="2" type="noConversion"/>
  </si>
  <si>
    <t>Up</t>
    <phoneticPr fontId="2" type="noConversion"/>
  </si>
  <si>
    <t>RINEX</t>
    <phoneticPr fontId="2" type="noConversion"/>
  </si>
  <si>
    <t>RTCM</t>
    <phoneticPr fontId="2" type="noConversion"/>
  </si>
  <si>
    <t>Agency</t>
    <phoneticPr fontId="2" type="noConversion"/>
  </si>
  <si>
    <t>NaN</t>
    <phoneticPr fontId="2" type="noConversion"/>
  </si>
  <si>
    <r>
      <t xml:space="preserve">RTCM </t>
    </r>
    <r>
      <rPr>
        <sz val="11"/>
        <rFont val="Malgun Gothic"/>
        <family val="2"/>
        <charset val="129"/>
      </rPr>
      <t>좌표</t>
    </r>
    <r>
      <rPr>
        <sz val="11"/>
        <rFont val="Calibri"/>
        <family val="2"/>
      </rPr>
      <t xml:space="preserve"> </t>
    </r>
    <r>
      <rPr>
        <sz val="11"/>
        <rFont val="Malgun Gothic"/>
        <family val="2"/>
        <charset val="129"/>
      </rPr>
      <t>그대로</t>
    </r>
    <r>
      <rPr>
        <sz val="11"/>
        <rFont val="Calibri"/>
        <family val="2"/>
      </rPr>
      <t xml:space="preserve"> </t>
    </r>
    <r>
      <rPr>
        <sz val="11"/>
        <rFont val="Malgun Gothic"/>
        <family val="2"/>
        <charset val="129"/>
      </rPr>
      <t>오차</t>
    </r>
    <r>
      <rPr>
        <sz val="11"/>
        <rFont val="Calibri"/>
        <family val="2"/>
      </rPr>
      <t xml:space="preserve"> </t>
    </r>
    <r>
      <rPr>
        <sz val="11"/>
        <rFont val="Malgun Gothic"/>
        <family val="2"/>
        <charset val="129"/>
      </rPr>
      <t>분석</t>
    </r>
    <phoneticPr fontId="2" type="noConversion"/>
  </si>
  <si>
    <r>
      <t xml:space="preserve">RINEX </t>
    </r>
    <r>
      <rPr>
        <sz val="11"/>
        <rFont val="Malgun Gothic"/>
        <family val="2"/>
        <charset val="129"/>
      </rPr>
      <t>좌표</t>
    </r>
    <r>
      <rPr>
        <sz val="11"/>
        <rFont val="Calibri"/>
        <family val="2"/>
      </rPr>
      <t xml:space="preserve"> </t>
    </r>
    <r>
      <rPr>
        <sz val="11"/>
        <rFont val="Malgun Gothic"/>
        <family val="2"/>
        <charset val="129"/>
      </rPr>
      <t>그대로 이용하여 분석</t>
    </r>
    <phoneticPr fontId="2" type="noConversion"/>
  </si>
  <si>
    <r>
      <rPr>
        <sz val="11"/>
        <rFont val="Malgun Gothic"/>
        <family val="2"/>
        <charset val="129"/>
      </rPr>
      <t>공간정보연구원</t>
    </r>
    <r>
      <rPr>
        <sz val="11"/>
        <rFont val="Calibri"/>
        <family val="2"/>
      </rPr>
      <t xml:space="preserve"> </t>
    </r>
    <r>
      <rPr>
        <sz val="11"/>
        <rFont val="Malgun Gothic"/>
        <family val="2"/>
        <charset val="129"/>
      </rPr>
      <t>상시관측소 이용해서 내륙 보정서비스 성능 분석</t>
    </r>
    <phoneticPr fontId="2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</si>
</sst>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.0000_ "/>
  </numFmts>
  <fonts count="10">
    <font>
      <sz val="11"/>
      <name val="Calibri"/>
    </font>
    <font>
      <b/>
      <sz val="11"/>
      <color rgb="FFFFFFFF"/>
      <name val="Calibri"/>
      <family val="2"/>
    </font>
    <font>
      <sz val="8"/>
      <name val="나눔고딕OTF"/>
      <family val="3"/>
      <charset val="129"/>
    </font>
    <font>
      <b/>
      <sz val="11"/>
      <color rgb="FFFFFFFF"/>
      <name val="Calibri"/>
      <family val="2"/>
    </font>
    <font>
      <b/>
      <sz val="11"/>
      <color rgb="FFFFFFFF"/>
      <name val="Malgun Gothic"/>
      <family val="2"/>
      <charset val="129"/>
    </font>
    <font>
      <sz val="11"/>
      <name val="Calibri"/>
      <family val="2"/>
    </font>
    <font>
      <sz val="12"/>
      <name val="Calibri"/>
      <family val="2"/>
    </font>
    <font>
      <sz val="14"/>
      <name val="Calibri"/>
      <family val="2"/>
    </font>
    <font>
      <sz val="11"/>
      <name val="Malgun Gothic"/>
      <family val="2"/>
      <charset val="129"/>
    </font>
    <font>
      <sz val="11"/>
      <name val="Calibri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rgb="FFFF6571"/>
        <bgColor indexed="64"/>
      </patternFill>
    </fill>
    <fill>
      <patternFill patternType="solid">
        <fgColor theme="9" tint="0.7999816888943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/>
  </borders>
  <cellStyleXfs count="1">
    <xf numFmtId="0" fontId="0" fillId="0" borderId="0"/>
  </cellStyleXfs>
  <cellXfs count="109">
    <xf numFmtId="0" fontId="0" fillId="0" borderId="0" xfId="0"/>
    <xf numFmtId="0" fontId="1" fillId="2" borderId="0" xfId="0" applyFont="true" applyFill="true"/>
    <xf numFmtId="0" fontId="3" fillId="2" borderId="0" xfId="0" applyFont="true" applyFill="true" applyAlignment="true">
      <alignment horizontal="center"/>
    </xf>
    <xf numFmtId="0" fontId="4" fillId="2" borderId="0" xfId="0" applyFont="true" applyFill="true" applyAlignment="true">
      <alignment horizontal="center"/>
    </xf>
    <xf numFmtId="0" fontId="1" fillId="2" borderId="0" xfId="0" applyFont="true" applyFill="true" applyAlignment="true">
      <alignment horizontal="center"/>
    </xf>
    <xf numFmtId="0" fontId="0" fillId="0" borderId="1" xfId="0" applyBorder="true"/>
    <xf numFmtId="0" fontId="0" fillId="0" borderId="2" xfId="0" applyBorder="true"/>
    <xf numFmtId="0" fontId="0" fillId="0" borderId="4" xfId="0" applyBorder="true"/>
    <xf numFmtId="176" fontId="0" fillId="0" borderId="0" xfId="0" applyNumberFormat="true"/>
    <xf numFmtId="0" fontId="0" fillId="3" borderId="4" xfId="0" applyFill="true" applyBorder="true"/>
    <xf numFmtId="0" fontId="0" fillId="3" borderId="0" xfId="0" applyFill="true"/>
    <xf numFmtId="176" fontId="0" fillId="3" borderId="0" xfId="0" applyNumberFormat="true" applyFill="true"/>
    <xf numFmtId="176" fontId="0" fillId="3" borderId="5" xfId="0" applyNumberFormat="true" applyFill="true" applyBorder="true"/>
    <xf numFmtId="0" fontId="0" fillId="0" borderId="0" xfId="0" applyAlignment="true">
      <alignment vertical="center"/>
    </xf>
    <xf numFmtId="0" fontId="0" fillId="4" borderId="4" xfId="0" applyFill="true" applyBorder="true"/>
    <xf numFmtId="0" fontId="0" fillId="4" borderId="0" xfId="0" applyFill="true"/>
    <xf numFmtId="176" fontId="0" fillId="4" borderId="0" xfId="0" applyNumberFormat="true" applyFill="true"/>
    <xf numFmtId="176" fontId="0" fillId="4" borderId="5" xfId="0" applyNumberFormat="true" applyFill="true" applyBorder="true"/>
    <xf numFmtId="0" fontId="0" fillId="4" borderId="0" xfId="0" applyFill="true" applyAlignment="true">
      <alignment vertical="center"/>
    </xf>
    <xf numFmtId="0" fontId="0" fillId="3" borderId="0" xfId="0" applyFill="true" applyAlignment="true">
      <alignment vertical="center"/>
    </xf>
    <xf numFmtId="0" fontId="5" fillId="0" borderId="0" xfId="0" applyFont="true"/>
    <xf numFmtId="0" fontId="4" fillId="2" borderId="1" xfId="0" applyFont="true" applyFill="true" applyBorder="true" applyAlignment="true">
      <alignment horizontal="center"/>
    </xf>
    <xf numFmtId="0" fontId="1" fillId="2" borderId="2" xfId="0" applyFont="true" applyFill="true" applyBorder="true" applyAlignment="true">
      <alignment horizontal="center"/>
    </xf>
    <xf numFmtId="0" fontId="1" fillId="2" borderId="3" xfId="0" applyFont="true" applyFill="true" applyBorder="true" applyAlignment="true">
      <alignment horizontal="center"/>
    </xf>
    <xf numFmtId="176" fontId="0" fillId="4" borderId="4" xfId="0" applyNumberFormat="true" applyFill="true" applyBorder="true"/>
    <xf numFmtId="176" fontId="0" fillId="3" borderId="4" xfId="0" applyNumberFormat="true" applyFill="true" applyBorder="true"/>
    <xf numFmtId="0" fontId="0" fillId="5" borderId="1" xfId="0" applyFill="true" applyBorder="true"/>
    <xf numFmtId="0" fontId="0" fillId="5" borderId="2" xfId="0" applyFill="true" applyBorder="true"/>
    <xf numFmtId="176" fontId="0" fillId="5" borderId="1" xfId="0" applyNumberFormat="true" applyFill="true" applyBorder="true"/>
    <xf numFmtId="176" fontId="0" fillId="5" borderId="2" xfId="0" applyNumberFormat="true" applyFill="true" applyBorder="true"/>
    <xf numFmtId="176" fontId="0" fillId="5" borderId="3" xfId="0" applyNumberFormat="true" applyFill="true" applyBorder="true"/>
    <xf numFmtId="0" fontId="0" fillId="5" borderId="4" xfId="0" applyFill="true" applyBorder="true"/>
    <xf numFmtId="0" fontId="0" fillId="5" borderId="0" xfId="0" applyFill="true"/>
    <xf numFmtId="176" fontId="0" fillId="5" borderId="4" xfId="0" applyNumberFormat="true" applyFill="true" applyBorder="true"/>
    <xf numFmtId="176" fontId="0" fillId="5" borderId="0" xfId="0" applyNumberFormat="true" applyFill="true"/>
    <xf numFmtId="176" fontId="0" fillId="5" borderId="5" xfId="0" applyNumberFormat="true" applyFill="true" applyBorder="true"/>
    <xf numFmtId="0" fontId="0" fillId="5" borderId="6" xfId="0" applyFill="true" applyBorder="true"/>
    <xf numFmtId="0" fontId="0" fillId="5" borderId="7" xfId="0" applyFill="true" applyBorder="true"/>
    <xf numFmtId="176" fontId="0" fillId="5" borderId="6" xfId="0" applyNumberFormat="true" applyFill="true" applyBorder="true"/>
    <xf numFmtId="176" fontId="0" fillId="5" borderId="7" xfId="0" applyNumberFormat="true" applyFill="true" applyBorder="true"/>
    <xf numFmtId="176" fontId="0" fillId="5" borderId="8" xfId="0" applyNumberFormat="true" applyFill="true" applyBorder="true"/>
    <xf numFmtId="0" fontId="5" fillId="5" borderId="4" xfId="0" applyFont="true" applyFill="true" applyBorder="true"/>
    <xf numFmtId="0" fontId="5" fillId="5" borderId="2" xfId="0" applyFont="true" applyFill="true" applyBorder="true"/>
    <xf numFmtId="176" fontId="0" fillId="0" borderId="2" xfId="0" applyNumberFormat="true" applyBorder="true"/>
    <xf numFmtId="176" fontId="0" fillId="0" borderId="3" xfId="0" applyNumberFormat="true" applyBorder="true"/>
    <xf numFmtId="176" fontId="0" fillId="0" borderId="5" xfId="0" applyNumberFormat="true" applyBorder="true"/>
    <xf numFmtId="0" fontId="0" fillId="0" borderId="7" xfId="0" applyBorder="true"/>
    <xf numFmtId="0" fontId="0" fillId="0" borderId="6" xfId="0" applyBorder="true"/>
    <xf numFmtId="176" fontId="0" fillId="0" borderId="7" xfId="0" applyNumberFormat="true" applyBorder="true"/>
    <xf numFmtId="176" fontId="0" fillId="0" borderId="8" xfId="0" applyNumberFormat="true" applyBorder="true"/>
    <xf numFmtId="0" fontId="0" fillId="4" borderId="6" xfId="0" applyFill="true" applyBorder="true"/>
    <xf numFmtId="0" fontId="0" fillId="4" borderId="7" xfId="0" applyFill="true" applyBorder="true"/>
    <xf numFmtId="176" fontId="0" fillId="4" borderId="6" xfId="0" applyNumberFormat="true" applyFill="true" applyBorder="true"/>
    <xf numFmtId="176" fontId="0" fillId="4" borderId="7" xfId="0" applyNumberFormat="true" applyFill="true" applyBorder="true"/>
    <xf numFmtId="176" fontId="0" fillId="4" borderId="8" xfId="0" applyNumberFormat="true" applyFill="true" applyBorder="true"/>
    <xf numFmtId="0" fontId="0" fillId="3" borderId="1" xfId="0" applyFill="true" applyBorder="true"/>
    <xf numFmtId="0" fontId="0" fillId="3" borderId="2" xfId="0" applyFill="true" applyBorder="true"/>
    <xf numFmtId="176" fontId="0" fillId="3" borderId="1" xfId="0" applyNumberFormat="true" applyFill="true" applyBorder="true"/>
    <xf numFmtId="176" fontId="0" fillId="3" borderId="2" xfId="0" applyNumberFormat="true" applyFill="true" applyBorder="true"/>
    <xf numFmtId="176" fontId="0" fillId="3" borderId="3" xfId="0" applyNumberFormat="true" applyFill="true" applyBorder="true"/>
    <xf numFmtId="0" fontId="0" fillId="3" borderId="6" xfId="0" applyFill="true" applyBorder="true"/>
    <xf numFmtId="0" fontId="0" fillId="3" borderId="7" xfId="0" applyFill="true" applyBorder="true"/>
    <xf numFmtId="176" fontId="0" fillId="3" borderId="6" xfId="0" applyNumberFormat="true" applyFill="true" applyBorder="true"/>
    <xf numFmtId="176" fontId="0" fillId="3" borderId="7" xfId="0" applyNumberFormat="true" applyFill="true" applyBorder="true"/>
    <xf numFmtId="176" fontId="0" fillId="3" borderId="8" xfId="0" applyNumberFormat="true" applyFill="true" applyBorder="true"/>
    <xf numFmtId="0" fontId="0" fillId="6" borderId="4" xfId="0" applyFill="true" applyBorder="true"/>
    <xf numFmtId="0" fontId="0" fillId="6" borderId="0" xfId="0" applyFill="true"/>
    <xf numFmtId="176" fontId="0" fillId="6" borderId="4" xfId="0" applyNumberFormat="true" applyFill="true" applyBorder="true"/>
    <xf numFmtId="176" fontId="0" fillId="6" borderId="0" xfId="0" applyNumberFormat="true" applyFill="true"/>
    <xf numFmtId="176" fontId="0" fillId="6" borderId="5" xfId="0" applyNumberFormat="true" applyFill="true" applyBorder="true"/>
    <xf numFmtId="176" fontId="5" fillId="6" borderId="5" xfId="0" applyNumberFormat="true" applyFont="true" applyFill="true" applyBorder="true"/>
    <xf numFmtId="0" fontId="0" fillId="6" borderId="1" xfId="0" applyFill="true" applyBorder="true"/>
    <xf numFmtId="0" fontId="0" fillId="6" borderId="2" xfId="0" applyFill="true" applyBorder="true"/>
    <xf numFmtId="176" fontId="0" fillId="6" borderId="1" xfId="0" applyNumberFormat="true" applyFill="true" applyBorder="true"/>
    <xf numFmtId="176" fontId="0" fillId="6" borderId="2" xfId="0" applyNumberFormat="true" applyFill="true" applyBorder="true"/>
    <xf numFmtId="176" fontId="0" fillId="6" borderId="3" xfId="0" applyNumberFormat="true" applyFill="true" applyBorder="true"/>
    <xf numFmtId="0" fontId="0" fillId="6" borderId="6" xfId="0" applyFill="true" applyBorder="true"/>
    <xf numFmtId="0" fontId="0" fillId="6" borderId="7" xfId="0" applyFill="true" applyBorder="true"/>
    <xf numFmtId="176" fontId="0" fillId="6" borderId="6" xfId="0" applyNumberFormat="true" applyFill="true" applyBorder="true"/>
    <xf numFmtId="176" fontId="0" fillId="6" borderId="7" xfId="0" applyNumberFormat="true" applyFill="true" applyBorder="true"/>
    <xf numFmtId="176" fontId="0" fillId="6" borderId="8" xfId="0" applyNumberFormat="true" applyFill="true" applyBorder="true"/>
    <xf numFmtId="0" fontId="0" fillId="0" borderId="10" xfId="0" applyBorder="true"/>
    <xf numFmtId="0" fontId="0" fillId="0" borderId="11" xfId="0" applyBorder="true"/>
    <xf numFmtId="176" fontId="0" fillId="0" borderId="11" xfId="0" applyNumberFormat="true" applyBorder="true"/>
    <xf numFmtId="176" fontId="0" fillId="0" borderId="12" xfId="0" applyNumberFormat="true" applyBorder="true"/>
    <xf numFmtId="0" fontId="1" fillId="0" borderId="0" xfId="0" applyFont="true"/>
    <xf numFmtId="0" fontId="1" fillId="2" borderId="10" xfId="0" applyFont="true" applyFill="true" applyBorder="true"/>
    <xf numFmtId="0" fontId="1" fillId="2" borderId="11" xfId="0" applyFont="true" applyFill="true" applyBorder="true"/>
    <xf numFmtId="0" fontId="1" fillId="2" borderId="11" xfId="0" applyFont="true" applyFill="true" applyBorder="true" applyAlignment="true">
      <alignment horizontal="center"/>
    </xf>
    <xf numFmtId="0" fontId="1" fillId="2" borderId="12" xfId="0" applyFont="true" applyFill="true" applyBorder="true" applyAlignment="true">
      <alignment horizontal="center"/>
    </xf>
    <xf numFmtId="0" fontId="4" fillId="2" borderId="11" xfId="0" applyFont="true" applyFill="true" applyBorder="true" applyAlignment="true">
      <alignment horizontal="center"/>
    </xf>
    <xf numFmtId="176" fontId="5" fillId="0" borderId="3" xfId="0" applyNumberFormat="true" applyFont="true" applyBorder="true"/>
    <xf numFmtId="0" fontId="1" fillId="2" borderId="9" xfId="0" applyFont="true" applyFill="true" applyBorder="true"/>
    <xf numFmtId="0" fontId="0" fillId="0" borderId="13" xfId="0" applyBorder="true"/>
    <xf numFmtId="0" fontId="0" fillId="0" borderId="14" xfId="0" applyBorder="true"/>
    <xf numFmtId="0" fontId="0" fillId="0" borderId="15" xfId="0" applyBorder="true"/>
    <xf numFmtId="0" fontId="0" fillId="0" borderId="9" xfId="0" applyBorder="true"/>
    <xf numFmtId="0" fontId="9" fillId="0" borderId="0" xfId="0" applyFont="true"/>
    <xf numFmtId="0" fontId="7" fillId="0" borderId="1" xfId="0" applyFont="true" applyBorder="true" applyAlignment="true">
      <alignment horizontal="center"/>
    </xf>
    <xf numFmtId="0" fontId="7" fillId="0" borderId="2" xfId="0" applyFont="true" applyBorder="true" applyAlignment="true">
      <alignment horizontal="center"/>
    </xf>
    <xf numFmtId="0" fontId="7" fillId="0" borderId="3" xfId="0" applyFont="true" applyBorder="true" applyAlignment="true">
      <alignment horizontal="center"/>
    </xf>
    <xf numFmtId="0" fontId="6" fillId="0" borderId="0" xfId="0" applyFont="true" applyAlignment="true">
      <alignment horizontal="center"/>
    </xf>
    <xf numFmtId="0" fontId="7" fillId="0" borderId="0" xfId="0" applyFont="true" applyAlignment="true">
      <alignment horizontal="center"/>
    </xf>
    <xf numFmtId="0" fontId="7" fillId="0" borderId="11" xfId="0" applyFont="true" applyBorder="true" applyAlignment="true">
      <alignment horizontal="center"/>
    </xf>
    <xf numFmtId="0" fontId="7" fillId="0" borderId="12" xfId="0" applyFont="true" applyBorder="true" applyAlignment="true">
      <alignment horizontal="center"/>
    </xf>
    <xf numFmtId="0" fontId="0" fillId="7" borderId="0" xfId="0" applyFill="true"/>
    <xf numFmtId="0" fontId="0" fillId="7" borderId="7" xfId="0" applyFill="true" applyBorder="true"/>
    <xf numFmtId="0" fontId="0" fillId="7" borderId="2" xfId="0" applyFill="true" applyBorder="true"/>
    <xf numFmtId="22" fontId="0" fillId="0" borderId="16" xfId="0" applyNumberFormat="true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65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7"/>
  <sheetViews>
    <sheetView workbookViewId="0">
      <pane ySplit="1" topLeftCell="A2" activePane="bottomLeft" state="frozen"/>
      <selection pane="bottomLeft" activeCell="A32" sqref="A32:G32"/>
    </sheetView>
  </sheetViews>
  <sheetFormatPr baseColWidth="10" defaultRowHeight="15"/>
  <cols>
    <col min="1" max="2" width="12" customWidth="true"/>
    <col min="3" max="3" width="19.1640625" bestFit="true" customWidth="true"/>
    <col min="4" max="4" width="7.85546875" customWidth="true"/>
    <col min="7" max="7" width="17" customWidth="true"/>
    <col min="8" max="10" width="12" customWidth="true"/>
    <col min="11" max="12" width="15" customWidth="true"/>
    <col min="13" max="13" width="13" customWidth="true"/>
    <col min="14" max="14" width="14.5" bestFit="true" customWidth="true"/>
    <col min="15" max="15" width="13.33203125" bestFit="true" customWidth="true"/>
    <col min="16" max="16" width="14.5" bestFit="true" customWidth="true"/>
    <col min="17" max="17" width="14" bestFit="true" customWidth="true"/>
    <col min="18" max="19" width="17" customWidth="true"/>
    <col min="20" max="20" width="14" customWidth="true"/>
    <col min="21" max="21" width="15" style="8" customWidth="true"/>
    <col min="22" max="22" width="14" style="8" bestFit="true" customWidth="true"/>
    <col min="23" max="23" width="14.5" style="8" bestFit="true" customWidth="true"/>
    <col min="24" max="24" width="14" style="8" bestFit="true" customWidth="true"/>
    <col min="25" max="25" width="13.83203125" bestFit="true" customWidth="true"/>
    <col min="26" max="26" width="11.83203125" bestFit="true" customWidth="true"/>
    <col min="27" max="27" width="14.5" bestFit="true" customWidth="true"/>
    <col min="28" max="28" width="14" bestFit="true" customWidth="true"/>
    <col min="5" max="6" width="12" customWidth="true"/>
  </cols>
  <sheetData>
    <row r="1" ht="20" thickBot="true">
      <c r="N1" s="102" t="s">
        <v>261</v>
      </c>
      <c r="O1" s="102"/>
      <c r="P1" s="102"/>
      <c r="Q1" s="102"/>
      <c r="R1" s="102" t="s">
        <v>262</v>
      </c>
      <c r="S1" s="102"/>
      <c r="T1" s="102"/>
      <c r="U1" s="102"/>
      <c r="Z1" s="101" t="s">
        <v>261</v>
      </c>
      <c r="AA1" s="101"/>
      <c r="AB1" s="101"/>
      <c r="AC1" s="101"/>
    </row>
    <row r="2" ht="18" thickBot="true">
      <c r="A2" s="1" t="s">
        <v>0</v>
      </c>
      <c r="B2" s="1" t="s">
        <v>1</v>
      </c>
      <c r="C2" s="1" t="s">
        <v>2</v>
      </c>
      <c r="D2" s="1" t="s">
        <v>3</v>
      </c>
      <c r="E2" s="3" t="s">
        <v>245</v>
      </c>
      <c r="F2" s="2" t="s">
        <v>246</v>
      </c>
      <c r="G2" s="2" t="s">
        <v>247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21" t="s">
        <v>250</v>
      </c>
      <c r="O2" s="22" t="s">
        <v>252</v>
      </c>
      <c r="P2" s="22" t="s">
        <v>251</v>
      </c>
      <c r="Q2" s="22" t="s">
        <v>253</v>
      </c>
      <c r="R2" s="22" t="s">
        <v>258</v>
      </c>
      <c r="S2" s="22" t="s">
        <v>259</v>
      </c>
      <c r="T2" s="22" t="s">
        <v>260</v>
      </c>
      <c r="U2" s="23" t="s">
        <v>253</v>
      </c>
      <c r="W2" s="4" t="s">
        <v>255</v>
      </c>
      <c r="X2" s="4" t="s">
        <v>256</v>
      </c>
      <c r="Y2" s="4" t="s">
        <v>257</v>
      </c>
      <c r="Z2" s="4" t="s">
        <v>258</v>
      </c>
      <c r="AA2" s="4" t="s">
        <v>259</v>
      </c>
      <c r="AB2" s="4" t="s">
        <v>260</v>
      </c>
      <c r="AC2" s="4" t="s">
        <v>253</v>
      </c>
    </row>
    <row r="3">
      <c r="A3" s="55" t="s">
        <v>10</v>
      </c>
      <c r="B3" s="56" t="s">
        <v>11</v>
      </c>
      <c r="C3" s="56" t="s">
        <v>12</v>
      </c>
      <c r="D3" s="56" t="s">
        <v>13</v>
      </c>
      <c r="E3" s="56">
        <v>-3140734.1710000001</v>
      </c>
      <c r="F3" s="56">
        <v>4061375.3459999999</v>
      </c>
      <c r="G3" s="56">
        <v>3772035.8590000002</v>
      </c>
      <c r="H3" s="56">
        <v>-3140734.7809000001</v>
      </c>
      <c r="I3" s="56">
        <v>4061375.0022999998</v>
      </c>
      <c r="J3" s="56">
        <v>3772035.6943999999</v>
      </c>
      <c r="K3" s="56">
        <v>0</v>
      </c>
      <c r="L3" s="56">
        <v>0</v>
      </c>
      <c r="M3" s="56">
        <v>0</v>
      </c>
      <c r="N3" s="57">
        <v>0.69272185793013197</v>
      </c>
      <c r="O3" s="58">
        <v>-0.19252208571746801</v>
      </c>
      <c r="P3" s="58">
        <v>-1.6508618368786001E-2</v>
      </c>
      <c r="Q3" s="59">
        <v>0.71916678206353801</v>
      </c>
      <c r="R3" s="57" t="s">
        <v>249</v>
      </c>
      <c r="S3" s="58" t="s">
        <v>249</v>
      </c>
      <c r="T3" s="58" t="s">
        <v>249</v>
      </c>
      <c r="U3" s="59" t="s">
        <v>249</v>
      </c>
      <c r="W3" s="13">
        <v>36.4886239</v>
      </c>
      <c r="X3" s="13">
        <v>127.7154223</v>
      </c>
      <c r="Y3" s="13">
        <v>196.363</v>
      </c>
      <c r="Z3" s="8">
        <v>0.69000608393948804</v>
      </c>
      <c r="AA3" s="8">
        <v>-0.20466458210037899</v>
      </c>
      <c r="AB3" s="8">
        <v>-1.02100624232438</v>
      </c>
      <c r="AC3" s="8">
        <v>1.2491796243555899</v>
      </c>
    </row>
    <row r="4">
      <c r="A4" s="65" t="s">
        <v>14</v>
      </c>
      <c r="B4" s="66" t="s">
        <v>11</v>
      </c>
      <c r="C4" s="66" t="s">
        <v>12</v>
      </c>
      <c r="D4" s="66" t="s">
        <v>15</v>
      </c>
      <c r="E4" s="66">
        <v>-3247505.8769999999</v>
      </c>
      <c r="F4" s="66">
        <v>4047576.318</v>
      </c>
      <c r="G4" s="66">
        <v>3696079.0010000002</v>
      </c>
      <c r="H4" s="66"/>
      <c r="I4" s="66"/>
      <c r="J4" s="66"/>
      <c r="K4" s="66"/>
      <c r="L4" s="66"/>
      <c r="M4" s="66"/>
      <c r="N4" s="67" t="s">
        <v>249</v>
      </c>
      <c r="O4" s="68" t="s">
        <v>249</v>
      </c>
      <c r="P4" s="68" t="s">
        <v>249</v>
      </c>
      <c r="Q4" s="69" t="s">
        <v>249</v>
      </c>
      <c r="R4" s="67" t="s">
        <v>249</v>
      </c>
      <c r="S4" s="68" t="s">
        <v>249</v>
      </c>
      <c r="T4" s="68" t="s">
        <v>249</v>
      </c>
      <c r="U4" s="70" t="s">
        <v>264</v>
      </c>
      <c r="W4" s="13">
        <v>35.642251870000003</v>
      </c>
      <c r="X4" s="13">
        <v>128.74123800000001</v>
      </c>
      <c r="Y4" s="13">
        <v>126.69</v>
      </c>
      <c r="Z4" s="8" t="s">
        <v>249</v>
      </c>
      <c r="AA4" s="8" t="s">
        <v>249</v>
      </c>
      <c r="AB4" s="8" t="s">
        <v>249</v>
      </c>
      <c r="AC4" s="8" t="s">
        <v>249</v>
      </c>
    </row>
    <row r="5">
      <c r="A5" s="65" t="s">
        <v>16</v>
      </c>
      <c r="B5" s="66" t="s">
        <v>11</v>
      </c>
      <c r="C5" s="66" t="s">
        <v>12</v>
      </c>
      <c r="D5" s="66" t="s">
        <v>15</v>
      </c>
      <c r="E5" s="66">
        <v>-3077258.3330000001</v>
      </c>
      <c r="F5" s="66">
        <v>4112593.5</v>
      </c>
      <c r="G5" s="66">
        <v>3768770.3050000002</v>
      </c>
      <c r="H5" s="66"/>
      <c r="I5" s="66"/>
      <c r="J5" s="66"/>
      <c r="K5" s="66"/>
      <c r="L5" s="66"/>
      <c r="M5" s="66"/>
      <c r="N5" s="67" t="s">
        <v>249</v>
      </c>
      <c r="O5" s="68" t="s">
        <v>249</v>
      </c>
      <c r="P5" s="68" t="s">
        <v>249</v>
      </c>
      <c r="Q5" s="69" t="s">
        <v>249</v>
      </c>
      <c r="R5" s="67" t="s">
        <v>249</v>
      </c>
      <c r="S5" s="68" t="s">
        <v>249</v>
      </c>
      <c r="T5" s="68" t="s">
        <v>249</v>
      </c>
      <c r="U5" s="69" t="s">
        <v>249</v>
      </c>
      <c r="W5" s="13">
        <v>36.452461900000003</v>
      </c>
      <c r="X5" s="13">
        <v>126.805764</v>
      </c>
      <c r="Y5" s="13">
        <v>131.56700000000001</v>
      </c>
      <c r="Z5" s="8" t="s">
        <v>249</v>
      </c>
      <c r="AA5" s="8" t="s">
        <v>249</v>
      </c>
      <c r="AB5" s="8" t="s">
        <v>249</v>
      </c>
      <c r="AC5" s="8" t="s">
        <v>249</v>
      </c>
    </row>
    <row r="6">
      <c r="A6" s="9" t="s">
        <v>17</v>
      </c>
      <c r="B6" s="10" t="s">
        <v>11</v>
      </c>
      <c r="C6" s="10" t="s">
        <v>12</v>
      </c>
      <c r="D6" s="10" t="s">
        <v>13</v>
      </c>
      <c r="E6" s="10">
        <v>-3167502.2179999999</v>
      </c>
      <c r="F6" s="10">
        <v>3929326.1690000002</v>
      </c>
      <c r="G6" s="10">
        <v>3886751.1860000002</v>
      </c>
      <c r="H6" s="10">
        <v>-3167502.6943999999</v>
      </c>
      <c r="I6" s="10">
        <v>3929325.7910000002</v>
      </c>
      <c r="J6" s="10">
        <v>3886751.0011999998</v>
      </c>
      <c r="K6" s="10">
        <v>0</v>
      </c>
      <c r="L6" s="10">
        <v>0</v>
      </c>
      <c r="M6" s="10">
        <v>0</v>
      </c>
      <c r="N6" s="25">
        <v>0.60812735838853504</v>
      </c>
      <c r="O6" s="11">
        <v>-0.14892664881769299</v>
      </c>
      <c r="P6" s="11">
        <v>-0.109516974460002</v>
      </c>
      <c r="Q6" s="12">
        <v>0.63560364885953802</v>
      </c>
      <c r="R6" s="25" t="s">
        <v>249</v>
      </c>
      <c r="S6" s="11" t="s">
        <v>249</v>
      </c>
      <c r="T6" s="11" t="s">
        <v>249</v>
      </c>
      <c r="U6" s="12" t="s">
        <v>249</v>
      </c>
      <c r="W6" s="13">
        <v>37.786214999999999</v>
      </c>
      <c r="X6" s="13">
        <v>128.872927</v>
      </c>
      <c r="Y6" s="13">
        <v>55.034999999999997</v>
      </c>
      <c r="Z6" s="8">
        <v>0.62639161177343305</v>
      </c>
      <c r="AA6" s="8">
        <v>-0.16032294788044699</v>
      </c>
      <c r="AB6" s="8">
        <v>-1.11403183277232</v>
      </c>
      <c r="AC6" s="8">
        <v>1.28807485160889</v>
      </c>
    </row>
    <row r="7">
      <c r="A7" s="9" t="s">
        <v>18</v>
      </c>
      <c r="B7" s="10" t="s">
        <v>11</v>
      </c>
      <c r="C7" s="10" t="s">
        <v>12</v>
      </c>
      <c r="D7" s="10" t="s">
        <v>13</v>
      </c>
      <c r="E7" s="10">
        <v>-3269218.5159999998</v>
      </c>
      <c r="F7" s="10">
        <v>4092247.5639999998</v>
      </c>
      <c r="G7" s="10">
        <v>3627455.7689999999</v>
      </c>
      <c r="H7" s="10">
        <v>-3269219.1976000001</v>
      </c>
      <c r="I7" s="10">
        <v>4092247.1612999998</v>
      </c>
      <c r="J7" s="10">
        <v>3627455.6642</v>
      </c>
      <c r="K7" s="10">
        <v>0</v>
      </c>
      <c r="L7" s="10">
        <v>0</v>
      </c>
      <c r="M7" s="10">
        <v>0</v>
      </c>
      <c r="N7" s="25">
        <v>0.78388070634842</v>
      </c>
      <c r="O7" s="11">
        <v>-0.149338296031861</v>
      </c>
      <c r="P7" s="11">
        <v>3.0951591050152001E-2</v>
      </c>
      <c r="Q7" s="12">
        <v>0.79857929439444797</v>
      </c>
      <c r="R7" s="25" t="s">
        <v>249</v>
      </c>
      <c r="S7" s="11" t="s">
        <v>249</v>
      </c>
      <c r="T7" s="11" t="s">
        <v>249</v>
      </c>
      <c r="U7" s="12" t="s">
        <v>249</v>
      </c>
      <c r="W7" s="13">
        <v>34.88514</v>
      </c>
      <c r="X7" s="13">
        <v>128.62069</v>
      </c>
      <c r="Y7" s="13">
        <v>60.895000000000003</v>
      </c>
      <c r="Z7" s="8">
        <v>0.81765480223347797</v>
      </c>
      <c r="AA7" s="8">
        <v>-0.17252702267603701</v>
      </c>
      <c r="AB7" s="8">
        <v>-0.97301235833394095</v>
      </c>
      <c r="AC7" s="8">
        <v>1.2826059405131001</v>
      </c>
    </row>
    <row r="8">
      <c r="A8" s="14" t="s">
        <v>19</v>
      </c>
      <c r="B8" s="15" t="s">
        <v>11</v>
      </c>
      <c r="C8" s="15" t="s">
        <v>12</v>
      </c>
      <c r="D8" s="15" t="s">
        <v>13</v>
      </c>
      <c r="E8" s="15">
        <v>-3297091.8709999998</v>
      </c>
      <c r="F8" s="15">
        <v>4040601.466</v>
      </c>
      <c r="G8" s="15">
        <v>3659769.5240000002</v>
      </c>
      <c r="H8" s="15">
        <v>-3297092.3851000001</v>
      </c>
      <c r="I8" s="15">
        <v>4040602.0956000001</v>
      </c>
      <c r="J8" s="15">
        <v>3659770.1132</v>
      </c>
      <c r="K8" s="15">
        <v>0</v>
      </c>
      <c r="L8" s="15">
        <v>0</v>
      </c>
      <c r="M8" s="15">
        <v>0</v>
      </c>
      <c r="N8" s="24">
        <v>2.7308539103970599E-4</v>
      </c>
      <c r="O8" s="16">
        <v>1.2201955442453E-2</v>
      </c>
      <c r="P8" s="16">
        <v>1.00384393635025</v>
      </c>
      <c r="Q8" s="17">
        <v>1.0039181295501201</v>
      </c>
      <c r="R8" s="24">
        <v>0.70620366112167099</v>
      </c>
      <c r="S8" s="16">
        <v>-0.106509863318447</v>
      </c>
      <c r="T8" s="16">
        <v>-0.197758584051792</v>
      </c>
      <c r="U8" s="17">
        <f t="shared" ref="U8:U67" si="0">SQRT(R8^2+S8^2+T8^2)</f>
        <v>0.74106438285208109</v>
      </c>
      <c r="W8" s="13">
        <v>35.240954119999998</v>
      </c>
      <c r="X8" s="13">
        <v>129.21411380000001</v>
      </c>
      <c r="Y8" s="13">
        <v>65.575999999999993</v>
      </c>
      <c r="Z8" s="8">
        <v>-7.2324033178587801E-5</v>
      </c>
      <c r="AA8" s="8">
        <v>-3.4196370723210299E-4</v>
      </c>
      <c r="AB8" s="8">
        <v>-7.0702662946286202E-6</v>
      </c>
      <c r="AC8" s="8">
        <v>3.49599673204392E-4</v>
      </c>
    </row>
    <row r="9">
      <c r="A9" s="14" t="s">
        <v>20</v>
      </c>
      <c r="B9" s="15" t="s">
        <v>11</v>
      </c>
      <c r="C9" s="15" t="s">
        <v>12</v>
      </c>
      <c r="D9" s="15" t="s">
        <v>13</v>
      </c>
      <c r="E9" s="15">
        <v>-3132008.7069999999</v>
      </c>
      <c r="F9" s="15">
        <v>4040623.7340000002</v>
      </c>
      <c r="G9" s="15">
        <v>3801205.219</v>
      </c>
      <c r="H9" s="15">
        <v>-3132009.1956000002</v>
      </c>
      <c r="I9" s="15">
        <v>4040624.3639000002</v>
      </c>
      <c r="J9" s="15">
        <v>3801205.8311000001</v>
      </c>
      <c r="K9" s="15">
        <v>0</v>
      </c>
      <c r="L9" s="15">
        <v>0</v>
      </c>
      <c r="M9" s="15">
        <v>0</v>
      </c>
      <c r="N9" s="24">
        <v>2.7315805805172501E-4</v>
      </c>
      <c r="O9" s="16">
        <v>1.2305644720564999E-2</v>
      </c>
      <c r="P9" s="16">
        <v>1.00499695381315</v>
      </c>
      <c r="Q9" s="17">
        <v>1.00507232609451</v>
      </c>
      <c r="R9" s="24">
        <v>0.60236246641934199</v>
      </c>
      <c r="S9" s="16">
        <v>-0.174052068096132</v>
      </c>
      <c r="T9" s="16">
        <v>6.7315212757234996E-2</v>
      </c>
      <c r="U9" s="17">
        <f t="shared" si="0"/>
        <v>0.63060764444136364</v>
      </c>
      <c r="W9" s="13">
        <v>36.816499739999998</v>
      </c>
      <c r="X9" s="13">
        <v>127.7803378</v>
      </c>
      <c r="Y9" s="13">
        <v>159.816</v>
      </c>
      <c r="Z9" s="8">
        <v>-3.1706000597989999E-3</v>
      </c>
      <c r="AA9" s="8">
        <v>-4.4375862238464099E-4</v>
      </c>
      <c r="AB9" s="8">
        <v>-3.4974236089114398E-5</v>
      </c>
      <c r="AC9" s="8">
        <v>3.201694809211E-3</v>
      </c>
    </row>
    <row r="10">
      <c r="A10" s="9" t="s">
        <v>21</v>
      </c>
      <c r="B10" s="10" t="s">
        <v>11</v>
      </c>
      <c r="C10" s="10" t="s">
        <v>12</v>
      </c>
      <c r="D10" s="10" t="s">
        <v>15</v>
      </c>
      <c r="E10" s="10">
        <v>-3183644.767</v>
      </c>
      <c r="F10" s="10">
        <v>4180751.773</v>
      </c>
      <c r="G10" s="10">
        <v>3602743.2889999999</v>
      </c>
      <c r="H10" s="10"/>
      <c r="I10" s="10"/>
      <c r="J10" s="10"/>
      <c r="K10" s="10"/>
      <c r="L10" s="10"/>
      <c r="M10" s="10"/>
      <c r="N10" s="25" t="s">
        <v>249</v>
      </c>
      <c r="O10" s="11" t="s">
        <v>249</v>
      </c>
      <c r="P10" s="11" t="s">
        <v>249</v>
      </c>
      <c r="Q10" s="12" t="s">
        <v>249</v>
      </c>
      <c r="R10" s="25">
        <v>0.73823038702349897</v>
      </c>
      <c r="S10" s="11">
        <v>-0.18503597050502199</v>
      </c>
      <c r="T10" s="11">
        <v>-6.6395834890081204E-2</v>
      </c>
      <c r="U10" s="12">
        <f t="shared" si="0"/>
        <v>0.76395734278580718</v>
      </c>
      <c r="W10" s="13">
        <v>34.61396732</v>
      </c>
      <c r="X10" s="13">
        <v>127.289292</v>
      </c>
      <c r="Y10" s="13">
        <v>70.231999999999999</v>
      </c>
      <c r="Z10" s="8" t="s">
        <v>249</v>
      </c>
      <c r="AA10" s="8" t="s">
        <v>249</v>
      </c>
      <c r="AB10" s="8" t="s">
        <v>249</v>
      </c>
      <c r="AC10" s="8" t="s">
        <v>249</v>
      </c>
    </row>
    <row r="11">
      <c r="A11" s="9" t="s">
        <v>22</v>
      </c>
      <c r="B11" s="10" t="s">
        <v>11</v>
      </c>
      <c r="C11" s="10" t="s">
        <v>12</v>
      </c>
      <c r="D11" s="10" t="s">
        <v>13</v>
      </c>
      <c r="E11" s="10">
        <v>-3113998.34</v>
      </c>
      <c r="F11" s="10">
        <v>3920043.0690000001</v>
      </c>
      <c r="G11" s="10">
        <v>3938650.3089999999</v>
      </c>
      <c r="H11" s="10">
        <v>-3113998.8224999998</v>
      </c>
      <c r="I11" s="10">
        <v>3920042.7544999998</v>
      </c>
      <c r="J11" s="10">
        <v>3938650.1365</v>
      </c>
      <c r="K11" s="10">
        <v>0</v>
      </c>
      <c r="L11" s="10">
        <v>0</v>
      </c>
      <c r="M11" s="10">
        <v>0</v>
      </c>
      <c r="N11" s="25">
        <v>0.57342430685730295</v>
      </c>
      <c r="O11" s="11">
        <v>-0.168665424000536</v>
      </c>
      <c r="P11" s="11">
        <v>-6.4879033476153994E-2</v>
      </c>
      <c r="Q11" s="12">
        <v>0.60122603896775695</v>
      </c>
      <c r="R11" s="25" t="s">
        <v>249</v>
      </c>
      <c r="S11" s="11" t="s">
        <v>249</v>
      </c>
      <c r="T11" s="11" t="s">
        <v>249</v>
      </c>
      <c r="U11" s="12" t="s">
        <v>249</v>
      </c>
      <c r="W11" s="13">
        <v>38.380285690000001</v>
      </c>
      <c r="X11" s="13">
        <v>128.4628774</v>
      </c>
      <c r="Y11" s="13">
        <v>48.573</v>
      </c>
      <c r="Z11" s="8">
        <v>0.57186887052656998</v>
      </c>
      <c r="AA11" s="8">
        <v>-0.18138475555363201</v>
      </c>
      <c r="AB11" s="8">
        <v>-1.06999419728311</v>
      </c>
      <c r="AC11" s="8">
        <v>1.22671187197488</v>
      </c>
    </row>
    <row r="12">
      <c r="A12" s="9" t="s">
        <v>23</v>
      </c>
      <c r="B12" s="10" t="s">
        <v>11</v>
      </c>
      <c r="C12" s="10" t="s">
        <v>12</v>
      </c>
      <c r="D12" s="10" t="s">
        <v>13</v>
      </c>
      <c r="E12" s="10">
        <v>-3211078.2</v>
      </c>
      <c r="F12" s="10">
        <v>4027093.8879999998</v>
      </c>
      <c r="G12" s="10">
        <v>3749531.031</v>
      </c>
      <c r="H12" s="10">
        <v>-3211078.7672000001</v>
      </c>
      <c r="I12" s="10">
        <v>4027093.4720000001</v>
      </c>
      <c r="J12" s="10">
        <v>3749530.8574999999</v>
      </c>
      <c r="K12" s="10">
        <v>0</v>
      </c>
      <c r="L12" s="10">
        <v>0</v>
      </c>
      <c r="M12" s="10">
        <v>0</v>
      </c>
      <c r="N12" s="25">
        <v>0.70282839141196196</v>
      </c>
      <c r="O12" s="11">
        <v>-0.15670335957355799</v>
      </c>
      <c r="P12" s="11">
        <v>-7.9689384373347993E-2</v>
      </c>
      <c r="Q12" s="12">
        <v>0.72448194501876195</v>
      </c>
      <c r="R12" s="25" t="s">
        <v>249</v>
      </c>
      <c r="S12" s="11" t="s">
        <v>249</v>
      </c>
      <c r="T12" s="11" t="s">
        <v>249</v>
      </c>
      <c r="U12" s="12" t="s">
        <v>249</v>
      </c>
      <c r="W12" s="13">
        <v>36.237240159999999</v>
      </c>
      <c r="X12" s="13">
        <v>128.56775830000001</v>
      </c>
      <c r="Y12" s="13">
        <v>127.08499999999999</v>
      </c>
      <c r="Z12" s="8">
        <v>0.69967737026688204</v>
      </c>
      <c r="AA12" s="8">
        <v>-0.16880845078089299</v>
      </c>
      <c r="AB12" s="8">
        <v>-1.08395597685245</v>
      </c>
      <c r="AC12" s="8">
        <v>1.30115536169697</v>
      </c>
    </row>
    <row r="13">
      <c r="A13" s="9" t="s">
        <v>24</v>
      </c>
      <c r="B13" s="10" t="s">
        <v>11</v>
      </c>
      <c r="C13" s="10" t="s">
        <v>12</v>
      </c>
      <c r="D13" s="10" t="s">
        <v>13</v>
      </c>
      <c r="E13" s="10">
        <v>-3199539.287</v>
      </c>
      <c r="F13" s="10">
        <v>4132517.58</v>
      </c>
      <c r="G13" s="10">
        <v>3643758.926</v>
      </c>
      <c r="H13" s="10">
        <v>-3199539.9430999998</v>
      </c>
      <c r="I13" s="10">
        <v>4132517.1782</v>
      </c>
      <c r="J13" s="10">
        <v>3643758.7403000002</v>
      </c>
      <c r="K13" s="10">
        <v>0</v>
      </c>
      <c r="L13" s="10">
        <v>0</v>
      </c>
      <c r="M13" s="10">
        <v>0</v>
      </c>
      <c r="N13" s="25">
        <v>0.76476284305541997</v>
      </c>
      <c r="O13" s="11">
        <v>-0.20022780092077799</v>
      </c>
      <c r="P13" s="11">
        <v>-3.7967888322463998E-2</v>
      </c>
      <c r="Q13" s="12">
        <v>0.79145116016305495</v>
      </c>
      <c r="R13" s="25" t="s">
        <v>249</v>
      </c>
      <c r="S13" s="11" t="s">
        <v>249</v>
      </c>
      <c r="T13" s="11" t="s">
        <v>249</v>
      </c>
      <c r="U13" s="12" t="s">
        <v>249</v>
      </c>
      <c r="W13" s="13">
        <v>35.064572640000002</v>
      </c>
      <c r="X13" s="13">
        <v>127.7482863</v>
      </c>
      <c r="Y13" s="13">
        <v>46.49</v>
      </c>
      <c r="Z13" s="8">
        <v>0.76590862308652796</v>
      </c>
      <c r="AA13" s="8">
        <v>-0.212772885083402</v>
      </c>
      <c r="AB13" s="8">
        <v>-1.0420035501526399</v>
      </c>
      <c r="AC13" s="8">
        <v>1.3105951770381701</v>
      </c>
    </row>
    <row r="14">
      <c r="A14" s="9" t="s">
        <v>25</v>
      </c>
      <c r="B14" s="10" t="s">
        <v>11</v>
      </c>
      <c r="C14" s="10" t="s">
        <v>12</v>
      </c>
      <c r="D14" s="10" t="s">
        <v>13</v>
      </c>
      <c r="E14" s="10">
        <v>-3209841.7069999999</v>
      </c>
      <c r="F14" s="10">
        <v>4083730.0329999998</v>
      </c>
      <c r="G14" s="10">
        <v>3689161.463</v>
      </c>
      <c r="H14" s="10">
        <v>-3209842.3243999998</v>
      </c>
      <c r="I14" s="10">
        <v>4083729.6219000001</v>
      </c>
      <c r="J14" s="10">
        <v>3689161.2902000002</v>
      </c>
      <c r="K14" s="10">
        <v>0</v>
      </c>
      <c r="L14" s="10">
        <v>0</v>
      </c>
      <c r="M14" s="10">
        <v>0</v>
      </c>
      <c r="N14" s="25">
        <v>0.739448826224955</v>
      </c>
      <c r="O14" s="11">
        <v>-0.17448571193248399</v>
      </c>
      <c r="P14" s="11">
        <v>-5.3065764959592997E-2</v>
      </c>
      <c r="Q14" s="12">
        <v>0.76160738289803598</v>
      </c>
      <c r="R14" s="25" t="s">
        <v>249</v>
      </c>
      <c r="S14" s="11" t="s">
        <v>249</v>
      </c>
      <c r="T14" s="11" t="s">
        <v>249</v>
      </c>
      <c r="U14" s="12" t="s">
        <v>249</v>
      </c>
      <c r="W14" s="13">
        <v>35.565907099999997</v>
      </c>
      <c r="X14" s="13">
        <v>128.16760619999999</v>
      </c>
      <c r="Y14" s="13">
        <v>74.564999999999998</v>
      </c>
      <c r="Z14" s="8">
        <v>0.73482830434564705</v>
      </c>
      <c r="AA14" s="8">
        <v>-0.18683145395821801</v>
      </c>
      <c r="AB14" s="8">
        <v>-1.0569662939338</v>
      </c>
      <c r="AC14" s="8">
        <v>1.3007906732321699</v>
      </c>
    </row>
    <row r="15">
      <c r="A15" s="9" t="s">
        <v>26</v>
      </c>
      <c r="B15" s="10" t="s">
        <v>11</v>
      </c>
      <c r="C15" s="10" t="s">
        <v>12</v>
      </c>
      <c r="D15" s="10" t="s">
        <v>15</v>
      </c>
      <c r="E15" s="10">
        <v>-3049045.2969999998</v>
      </c>
      <c r="F15" s="10">
        <v>4071455.9339999999</v>
      </c>
      <c r="G15" s="10">
        <v>3835250.9879999999</v>
      </c>
      <c r="H15" s="10"/>
      <c r="I15" s="10"/>
      <c r="J15" s="10"/>
      <c r="K15" s="10"/>
      <c r="L15" s="10"/>
      <c r="M15" s="10"/>
      <c r="N15" s="25" t="s">
        <v>249</v>
      </c>
      <c r="O15" s="11" t="s">
        <v>249</v>
      </c>
      <c r="P15" s="11" t="s">
        <v>249</v>
      </c>
      <c r="Q15" s="12" t="s">
        <v>249</v>
      </c>
      <c r="R15" s="25">
        <v>0.64693040880155395</v>
      </c>
      <c r="S15" s="11">
        <v>-0.23119376892152299</v>
      </c>
      <c r="T15" s="11">
        <v>5.3174126889363002E-2</v>
      </c>
      <c r="U15" s="12">
        <f t="shared" si="0"/>
        <v>0.68905515047108556</v>
      </c>
      <c r="W15" s="13">
        <v>37.201171440000003</v>
      </c>
      <c r="X15" s="13">
        <v>126.8289266</v>
      </c>
      <c r="Y15" s="13">
        <v>85.679000000000002</v>
      </c>
      <c r="Z15" s="8" t="s">
        <v>249</v>
      </c>
      <c r="AA15" s="8" t="s">
        <v>249</v>
      </c>
      <c r="AB15" s="8" t="s">
        <v>249</v>
      </c>
      <c r="AC15" s="8" t="s">
        <v>249</v>
      </c>
    </row>
    <row r="16">
      <c r="A16" s="65" t="s">
        <v>27</v>
      </c>
      <c r="B16" s="66" t="s">
        <v>11</v>
      </c>
      <c r="C16" s="66" t="s">
        <v>12</v>
      </c>
      <c r="D16" s="66" t="s">
        <v>15</v>
      </c>
      <c r="E16" s="66">
        <v>-3073506.1030000001</v>
      </c>
      <c r="F16" s="66">
        <v>3975452.4380000001</v>
      </c>
      <c r="G16" s="66">
        <v>3915164.5869999998</v>
      </c>
      <c r="H16" s="66"/>
      <c r="I16" s="66"/>
      <c r="J16" s="66"/>
      <c r="K16" s="66"/>
      <c r="L16" s="66"/>
      <c r="M16" s="66"/>
      <c r="N16" s="67" t="s">
        <v>249</v>
      </c>
      <c r="O16" s="68" t="s">
        <v>249</v>
      </c>
      <c r="P16" s="68" t="s">
        <v>249</v>
      </c>
      <c r="Q16" s="69" t="s">
        <v>249</v>
      </c>
      <c r="R16" s="67" t="s">
        <v>249</v>
      </c>
      <c r="S16" s="68" t="s">
        <v>249</v>
      </c>
      <c r="T16" s="68" t="s">
        <v>249</v>
      </c>
      <c r="U16" s="69" t="s">
        <v>249</v>
      </c>
      <c r="W16" s="13">
        <v>38.110195099999999</v>
      </c>
      <c r="X16" s="13">
        <v>127.7083657</v>
      </c>
      <c r="Y16" s="13">
        <v>145.88200000000001</v>
      </c>
      <c r="Z16" s="8" t="s">
        <v>249</v>
      </c>
      <c r="AA16" s="8" t="s">
        <v>249</v>
      </c>
      <c r="AB16" s="8" t="s">
        <v>249</v>
      </c>
      <c r="AC16" s="8" t="s">
        <v>249</v>
      </c>
    </row>
    <row r="17">
      <c r="A17" s="9" t="s">
        <v>28</v>
      </c>
      <c r="B17" s="10" t="s">
        <v>11</v>
      </c>
      <c r="C17" s="10" t="s">
        <v>12</v>
      </c>
      <c r="D17" s="10" t="s">
        <v>13</v>
      </c>
      <c r="E17" s="10">
        <v>-3145124.2609999999</v>
      </c>
      <c r="F17" s="10">
        <v>4129651.6069999998</v>
      </c>
      <c r="G17" s="10">
        <v>3694078.3640000001</v>
      </c>
      <c r="H17" s="10">
        <v>-3145124.9317999999</v>
      </c>
      <c r="I17" s="10">
        <v>4129651.2670999998</v>
      </c>
      <c r="J17" s="10">
        <v>3694078.2056999998</v>
      </c>
      <c r="K17" s="10">
        <v>0</v>
      </c>
      <c r="L17" s="10">
        <v>0</v>
      </c>
      <c r="M17" s="10">
        <v>0</v>
      </c>
      <c r="N17" s="25">
        <v>0.73959631726443098</v>
      </c>
      <c r="O17" s="11">
        <v>-0.207901443745798</v>
      </c>
      <c r="P17" s="11">
        <v>1.8379829678004E-2</v>
      </c>
      <c r="Q17" s="12">
        <v>0.76848132115340895</v>
      </c>
      <c r="R17" s="25" t="s">
        <v>249</v>
      </c>
      <c r="S17" s="11" t="s">
        <v>249</v>
      </c>
      <c r="T17" s="11" t="s">
        <v>249</v>
      </c>
      <c r="U17" s="12" t="s">
        <v>249</v>
      </c>
      <c r="W17" s="13">
        <v>35.619169540000001</v>
      </c>
      <c r="X17" s="13">
        <v>127.29273689999999</v>
      </c>
      <c r="Y17" s="13">
        <v>265.74400000000003</v>
      </c>
      <c r="Z17" s="8">
        <v>0.74143309599106599</v>
      </c>
      <c r="AA17" s="8">
        <v>-0.22023279113866401</v>
      </c>
      <c r="AB17" s="8">
        <v>-0.98598296316777501</v>
      </c>
      <c r="AC17" s="8">
        <v>1.25315119669604</v>
      </c>
    </row>
    <row r="18">
      <c r="A18" s="65" t="s">
        <v>29</v>
      </c>
      <c r="B18" s="66" t="s">
        <v>11</v>
      </c>
      <c r="C18" s="66" t="s">
        <v>12</v>
      </c>
      <c r="D18" s="66" t="s">
        <v>15</v>
      </c>
      <c r="E18" s="66">
        <v>-3113053.7740000002</v>
      </c>
      <c r="F18" s="66">
        <v>4243882.1670000004</v>
      </c>
      <c r="G18" s="66">
        <v>3590625.1519999998</v>
      </c>
      <c r="H18" s="66"/>
      <c r="I18" s="66"/>
      <c r="J18" s="66"/>
      <c r="K18" s="66"/>
      <c r="L18" s="66"/>
      <c r="M18" s="66"/>
      <c r="N18" s="67" t="s">
        <v>249</v>
      </c>
      <c r="O18" s="68" t="s">
        <v>249</v>
      </c>
      <c r="P18" s="68" t="s">
        <v>249</v>
      </c>
      <c r="Q18" s="69" t="s">
        <v>249</v>
      </c>
      <c r="R18" s="67" t="s">
        <v>249</v>
      </c>
      <c r="S18" s="68" t="s">
        <v>249</v>
      </c>
      <c r="T18" s="68" t="s">
        <v>249</v>
      </c>
      <c r="U18" s="69" t="s">
        <v>249</v>
      </c>
      <c r="W18" s="13">
        <v>34.481534240000002</v>
      </c>
      <c r="X18" s="13">
        <v>126.261506</v>
      </c>
      <c r="Y18" s="13">
        <v>39.109000000000002</v>
      </c>
      <c r="Z18" s="8" t="s">
        <v>249</v>
      </c>
      <c r="AA18" s="8" t="s">
        <v>249</v>
      </c>
      <c r="AB18" s="8" t="s">
        <v>249</v>
      </c>
      <c r="AC18" s="8" t="s">
        <v>249</v>
      </c>
    </row>
    <row r="19">
      <c r="A19" s="9" t="s">
        <v>30</v>
      </c>
      <c r="B19" s="10" t="s">
        <v>11</v>
      </c>
      <c r="C19" s="10" t="s">
        <v>12</v>
      </c>
      <c r="D19" s="10" t="s">
        <v>13</v>
      </c>
      <c r="E19" s="10">
        <v>-3003051.0129999998</v>
      </c>
      <c r="F19" s="10">
        <v>4059906.1680000001</v>
      </c>
      <c r="G19" s="10">
        <v>3883100.2110000001</v>
      </c>
      <c r="H19" s="10">
        <v>-3003051.6211000001</v>
      </c>
      <c r="I19" s="10">
        <v>4059905.9696999998</v>
      </c>
      <c r="J19" s="10">
        <v>3883100.054</v>
      </c>
      <c r="K19" s="10">
        <v>0</v>
      </c>
      <c r="L19" s="10">
        <v>0</v>
      </c>
      <c r="M19" s="10">
        <v>0</v>
      </c>
      <c r="N19" s="25">
        <v>0.60681482425872402</v>
      </c>
      <c r="O19" s="11">
        <v>-0.24792177967029</v>
      </c>
      <c r="P19" s="11">
        <v>6.3781362633151997E-2</v>
      </c>
      <c r="Q19" s="12">
        <v>0.65860268902758901</v>
      </c>
      <c r="R19" s="25" t="s">
        <v>249</v>
      </c>
      <c r="S19" s="11" t="s">
        <v>249</v>
      </c>
      <c r="T19" s="11" t="s">
        <v>249</v>
      </c>
      <c r="U19" s="12" t="s">
        <v>249</v>
      </c>
      <c r="W19" s="13">
        <v>37.744648509999998</v>
      </c>
      <c r="X19" s="13">
        <v>126.4897711</v>
      </c>
      <c r="Y19" s="13">
        <v>48.796999999999997</v>
      </c>
      <c r="Z19" s="8">
        <v>0.60811187001149603</v>
      </c>
      <c r="AA19" s="8">
        <v>-0.26011001869778</v>
      </c>
      <c r="AB19" s="8">
        <v>-0.94104553018153103</v>
      </c>
      <c r="AC19" s="8">
        <v>1.15022778533231</v>
      </c>
    </row>
    <row r="20">
      <c r="A20" s="65" t="s">
        <v>31</v>
      </c>
      <c r="B20" s="66" t="s">
        <v>11</v>
      </c>
      <c r="C20" s="66" t="s">
        <v>12</v>
      </c>
      <c r="D20" s="66" t="s">
        <v>15</v>
      </c>
      <c r="E20" s="66">
        <v>-3156416.9950000001</v>
      </c>
      <c r="F20" s="66">
        <v>4088972.2409999999</v>
      </c>
      <c r="G20" s="66">
        <v>3729285.5970000001</v>
      </c>
      <c r="H20" s="66"/>
      <c r="I20" s="66"/>
      <c r="J20" s="66"/>
      <c r="K20" s="66"/>
      <c r="L20" s="66"/>
      <c r="M20" s="66"/>
      <c r="N20" s="67" t="s">
        <v>249</v>
      </c>
      <c r="O20" s="68" t="s">
        <v>249</v>
      </c>
      <c r="P20" s="68" t="s">
        <v>249</v>
      </c>
      <c r="Q20" s="69" t="s">
        <v>249</v>
      </c>
      <c r="R20" s="67" t="s">
        <v>249</v>
      </c>
      <c r="S20" s="68" t="s">
        <v>249</v>
      </c>
      <c r="T20" s="68" t="s">
        <v>249</v>
      </c>
      <c r="U20" s="69" t="s">
        <v>249</v>
      </c>
      <c r="W20" s="13">
        <v>36.010478319999997</v>
      </c>
      <c r="X20" s="13">
        <v>127.6657737</v>
      </c>
      <c r="Y20" s="13">
        <v>261.88099999999997</v>
      </c>
      <c r="Z20" s="8" t="s">
        <v>249</v>
      </c>
      <c r="AA20" s="8" t="s">
        <v>249</v>
      </c>
      <c r="AB20" s="8" t="s">
        <v>249</v>
      </c>
      <c r="AC20" s="8" t="s">
        <v>249</v>
      </c>
    </row>
    <row r="21">
      <c r="A21" s="65" t="s">
        <v>32</v>
      </c>
      <c r="B21" s="66" t="s">
        <v>11</v>
      </c>
      <c r="C21" s="66" t="s">
        <v>12</v>
      </c>
      <c r="D21" s="66" t="s">
        <v>15</v>
      </c>
      <c r="E21" s="66">
        <v>-3126007.4589999998</v>
      </c>
      <c r="F21" s="66">
        <v>4191756.6120000002</v>
      </c>
      <c r="G21" s="66">
        <v>3639986.574</v>
      </c>
      <c r="H21" s="66"/>
      <c r="I21" s="66"/>
      <c r="J21" s="66"/>
      <c r="K21" s="66"/>
      <c r="L21" s="66"/>
      <c r="M21" s="66"/>
      <c r="N21" s="67" t="s">
        <v>249</v>
      </c>
      <c r="O21" s="68" t="s">
        <v>249</v>
      </c>
      <c r="P21" s="68" t="s">
        <v>249</v>
      </c>
      <c r="Q21" s="69" t="s">
        <v>249</v>
      </c>
      <c r="R21" s="67" t="s">
        <v>249</v>
      </c>
      <c r="S21" s="68" t="s">
        <v>249</v>
      </c>
      <c r="T21" s="68" t="s">
        <v>249</v>
      </c>
      <c r="U21" s="69" t="s">
        <v>249</v>
      </c>
      <c r="W21" s="13">
        <v>35.022876869999997</v>
      </c>
      <c r="X21" s="13">
        <v>126.7137786</v>
      </c>
      <c r="Y21" s="13">
        <v>72.400999999999996</v>
      </c>
      <c r="Z21" s="8" t="s">
        <v>249</v>
      </c>
      <c r="AA21" s="8" t="s">
        <v>249</v>
      </c>
      <c r="AB21" s="8" t="s">
        <v>249</v>
      </c>
      <c r="AC21" s="8" t="s">
        <v>249</v>
      </c>
    </row>
    <row r="22">
      <c r="A22" s="14" t="s">
        <v>33</v>
      </c>
      <c r="B22" s="15" t="s">
        <v>11</v>
      </c>
      <c r="C22" s="15" t="s">
        <v>12</v>
      </c>
      <c r="D22" s="15" t="s">
        <v>13</v>
      </c>
      <c r="E22" s="15">
        <v>-3152145.2050000001</v>
      </c>
      <c r="F22" s="15">
        <v>3978050.2549999999</v>
      </c>
      <c r="G22" s="15">
        <v>3850200.8909999998</v>
      </c>
      <c r="H22" s="15">
        <v>-3152145.6960999998</v>
      </c>
      <c r="I22" s="15">
        <v>3978050.8750999998</v>
      </c>
      <c r="J22" s="15">
        <v>3850201.5107999998</v>
      </c>
      <c r="K22" s="15">
        <v>0</v>
      </c>
      <c r="L22" s="15">
        <v>0</v>
      </c>
      <c r="M22" s="15">
        <v>0</v>
      </c>
      <c r="N22" s="24">
        <v>-2.01903338320264E-4</v>
      </c>
      <c r="O22" s="16">
        <v>1.2482867448147E-2</v>
      </c>
      <c r="P22" s="16">
        <v>1.0048379943316801</v>
      </c>
      <c r="Q22" s="17">
        <v>1.00491554749501</v>
      </c>
      <c r="R22" s="24">
        <v>0.634859850141131</v>
      </c>
      <c r="S22" s="16">
        <v>-0.165472823719749</v>
      </c>
      <c r="T22" s="16">
        <v>-6.5560086327815695E-2</v>
      </c>
      <c r="U22" s="17">
        <f t="shared" si="0"/>
        <v>0.65933785696736469</v>
      </c>
      <c r="W22" s="13">
        <v>37.368782400000001</v>
      </c>
      <c r="X22" s="13">
        <v>128.3927582</v>
      </c>
      <c r="Y22" s="13">
        <v>331.80900000000003</v>
      </c>
      <c r="Z22" s="8">
        <v>-7.4609923378184204E-4</v>
      </c>
      <c r="AA22" s="8">
        <v>-2.7380930692829102E-4</v>
      </c>
      <c r="AB22" s="8">
        <v>-2.24013232394701E-5</v>
      </c>
      <c r="AC22" s="8">
        <v>7.9507070282666204E-4</v>
      </c>
    </row>
    <row r="23">
      <c r="A23" s="65" t="s">
        <v>34</v>
      </c>
      <c r="B23" s="66" t="s">
        <v>11</v>
      </c>
      <c r="C23" s="66" t="s">
        <v>12</v>
      </c>
      <c r="D23" s="66" t="s">
        <v>15</v>
      </c>
      <c r="E23" s="66">
        <v>-3047201.6779999998</v>
      </c>
      <c r="F23" s="66">
        <v>4014485.5320000001</v>
      </c>
      <c r="G23" s="66">
        <v>3895961.6749999998</v>
      </c>
      <c r="H23" s="66"/>
      <c r="I23" s="66"/>
      <c r="J23" s="66"/>
      <c r="K23" s="66"/>
      <c r="L23" s="66"/>
      <c r="M23" s="66"/>
      <c r="N23" s="67" t="s">
        <v>249</v>
      </c>
      <c r="O23" s="68" t="s">
        <v>249</v>
      </c>
      <c r="P23" s="68" t="s">
        <v>249</v>
      </c>
      <c r="Q23" s="69" t="s">
        <v>249</v>
      </c>
      <c r="R23" s="67" t="s">
        <v>249</v>
      </c>
      <c r="S23" s="68" t="s">
        <v>249</v>
      </c>
      <c r="T23" s="68" t="s">
        <v>249</v>
      </c>
      <c r="U23" s="69" t="s">
        <v>249</v>
      </c>
      <c r="W23" s="13">
        <v>37.890727769999998</v>
      </c>
      <c r="X23" s="13">
        <v>127.2003741</v>
      </c>
      <c r="Y23" s="13">
        <v>135.16</v>
      </c>
      <c r="Z23" s="8" t="s">
        <v>249</v>
      </c>
      <c r="AA23" s="8" t="s">
        <v>249</v>
      </c>
      <c r="AB23" s="8" t="s">
        <v>249</v>
      </c>
      <c r="AC23" s="8" t="s">
        <v>249</v>
      </c>
    </row>
    <row r="24">
      <c r="A24" s="9" t="s">
        <v>35</v>
      </c>
      <c r="B24" s="10" t="s">
        <v>11</v>
      </c>
      <c r="C24" s="10" t="s">
        <v>12</v>
      </c>
      <c r="D24" s="10" t="s">
        <v>13</v>
      </c>
      <c r="E24" s="10">
        <v>-3083623.9890000001</v>
      </c>
      <c r="F24" s="10">
        <v>4138321.0619999999</v>
      </c>
      <c r="G24" s="10">
        <v>3735340.79</v>
      </c>
      <c r="H24" s="10">
        <v>-3083624.6757999999</v>
      </c>
      <c r="I24" s="10">
        <v>4138320.7836000002</v>
      </c>
      <c r="J24" s="10">
        <v>3735340.6345000002</v>
      </c>
      <c r="K24" s="10">
        <v>0</v>
      </c>
      <c r="L24" s="10">
        <v>0</v>
      </c>
      <c r="M24" s="10">
        <v>0</v>
      </c>
      <c r="N24" s="25">
        <v>0.71706701075108403</v>
      </c>
      <c r="O24" s="11">
        <v>-0.23587422499866301</v>
      </c>
      <c r="P24" s="11">
        <v>5.9659890148530001E-2</v>
      </c>
      <c r="Q24" s="12">
        <v>0.75721928819777795</v>
      </c>
      <c r="R24" s="25" t="s">
        <v>249</v>
      </c>
      <c r="S24" s="11" t="s">
        <v>249</v>
      </c>
      <c r="T24" s="11" t="s">
        <v>249</v>
      </c>
      <c r="U24" s="12" t="s">
        <v>249</v>
      </c>
      <c r="W24" s="13">
        <v>36.079365320000001</v>
      </c>
      <c r="X24" s="13">
        <v>126.6912281</v>
      </c>
      <c r="Y24" s="13">
        <v>48.924999999999997</v>
      </c>
      <c r="Z24" s="8">
        <v>0.71409313420351594</v>
      </c>
      <c r="AA24" s="8">
        <v>-0.24811816850091001</v>
      </c>
      <c r="AB24" s="8">
        <v>-0.94502058918598297</v>
      </c>
      <c r="AC24" s="8">
        <v>1.2101882266169399</v>
      </c>
    </row>
    <row r="25">
      <c r="A25" s="65" t="s">
        <v>36</v>
      </c>
      <c r="B25" s="66" t="s">
        <v>11</v>
      </c>
      <c r="C25" s="66" t="s">
        <v>12</v>
      </c>
      <c r="D25" s="66" t="s">
        <v>15</v>
      </c>
      <c r="E25" s="66">
        <v>-3177399.4350000001</v>
      </c>
      <c r="F25" s="66">
        <v>4290816.4960000003</v>
      </c>
      <c r="G25" s="66">
        <v>3477703.946</v>
      </c>
      <c r="H25" s="66"/>
      <c r="I25" s="66"/>
      <c r="J25" s="66"/>
      <c r="K25" s="66"/>
      <c r="L25" s="66"/>
      <c r="M25" s="66"/>
      <c r="N25" s="67" t="s">
        <v>249</v>
      </c>
      <c r="O25" s="68" t="s">
        <v>249</v>
      </c>
      <c r="P25" s="68" t="s">
        <v>249</v>
      </c>
      <c r="Q25" s="69" t="s">
        <v>249</v>
      </c>
      <c r="R25" s="67" t="s">
        <v>249</v>
      </c>
      <c r="S25" s="68" t="s">
        <v>249</v>
      </c>
      <c r="T25" s="68" t="s">
        <v>249</v>
      </c>
      <c r="U25" s="69" t="s">
        <v>249</v>
      </c>
      <c r="W25" s="13">
        <v>33.254603969999998</v>
      </c>
      <c r="X25" s="13">
        <v>126.5203775</v>
      </c>
      <c r="Y25" s="13">
        <v>179.31</v>
      </c>
      <c r="Z25" s="8" t="s">
        <v>249</v>
      </c>
      <c r="AA25" s="8" t="s">
        <v>249</v>
      </c>
      <c r="AB25" s="8" t="s">
        <v>249</v>
      </c>
      <c r="AC25" s="8" t="s">
        <v>249</v>
      </c>
    </row>
    <row r="26">
      <c r="A26" s="9" t="s">
        <v>37</v>
      </c>
      <c r="B26" s="10" t="s">
        <v>11</v>
      </c>
      <c r="C26" s="10" t="s">
        <v>12</v>
      </c>
      <c r="D26" s="10" t="s">
        <v>13</v>
      </c>
      <c r="E26" s="10">
        <v>-3028384.7710000002</v>
      </c>
      <c r="F26" s="10">
        <v>4123891.818</v>
      </c>
      <c r="G26" s="10">
        <v>3795632.443</v>
      </c>
      <c r="H26" s="10">
        <v>-3028385.4449999998</v>
      </c>
      <c r="I26" s="10">
        <v>4123891.6025999999</v>
      </c>
      <c r="J26" s="10">
        <v>3795632.2980999998</v>
      </c>
      <c r="K26" s="10">
        <v>0</v>
      </c>
      <c r="L26" s="10">
        <v>0</v>
      </c>
      <c r="M26" s="10">
        <v>0</v>
      </c>
      <c r="N26" s="25">
        <v>0.67074778007927904</v>
      </c>
      <c r="O26" s="11">
        <v>-0.25092533790249399</v>
      </c>
      <c r="P26" s="11">
        <v>9.3824619409571E-2</v>
      </c>
      <c r="Q26" s="12">
        <v>0.72226668820465001</v>
      </c>
      <c r="R26" s="25" t="s">
        <v>249</v>
      </c>
      <c r="S26" s="11" t="s">
        <v>249</v>
      </c>
      <c r="T26" s="11" t="s">
        <v>249</v>
      </c>
      <c r="U26" s="12" t="s">
        <v>249</v>
      </c>
      <c r="W26" s="13">
        <v>36.754400840000002</v>
      </c>
      <c r="X26" s="13">
        <v>126.29174260000001</v>
      </c>
      <c r="Y26" s="13">
        <v>70.444000000000003</v>
      </c>
      <c r="Z26" s="8">
        <v>0.67323654870463201</v>
      </c>
      <c r="AA26" s="8">
        <v>-0.26278499226573698</v>
      </c>
      <c r="AB26" s="8">
        <v>-0.91097334505943095</v>
      </c>
      <c r="AC26" s="8">
        <v>1.16283095851486</v>
      </c>
    </row>
    <row r="27">
      <c r="A27" s="65" t="s">
        <v>38</v>
      </c>
      <c r="B27" s="66" t="s">
        <v>11</v>
      </c>
      <c r="C27" s="66" t="s">
        <v>12</v>
      </c>
      <c r="D27" s="66" t="s">
        <v>15</v>
      </c>
      <c r="E27" s="66">
        <v>-3290252.074</v>
      </c>
      <c r="F27" s="66">
        <v>4018636.4029999999</v>
      </c>
      <c r="G27" s="66">
        <v>3690049.5210000002</v>
      </c>
      <c r="H27" s="66"/>
      <c r="I27" s="66"/>
      <c r="J27" s="66"/>
      <c r="K27" s="66"/>
      <c r="L27" s="66"/>
      <c r="M27" s="66"/>
      <c r="N27" s="67" t="s">
        <v>249</v>
      </c>
      <c r="O27" s="68" t="s">
        <v>249</v>
      </c>
      <c r="P27" s="68" t="s">
        <v>249</v>
      </c>
      <c r="Q27" s="69" t="s">
        <v>249</v>
      </c>
      <c r="R27" s="67" t="s">
        <v>249</v>
      </c>
      <c r="S27" s="68" t="s">
        <v>249</v>
      </c>
      <c r="T27" s="68" t="s">
        <v>249</v>
      </c>
      <c r="U27" s="69" t="s">
        <v>249</v>
      </c>
      <c r="W27" s="13">
        <v>35.574808449999999</v>
      </c>
      <c r="X27" s="13">
        <v>129.30884649999999</v>
      </c>
      <c r="Y27" s="13">
        <v>220.19300000000001</v>
      </c>
      <c r="Z27" s="8" t="s">
        <v>249</v>
      </c>
      <c r="AA27" s="8" t="s">
        <v>249</v>
      </c>
      <c r="AB27" s="8" t="s">
        <v>249</v>
      </c>
      <c r="AC27" s="8" t="s">
        <v>249</v>
      </c>
    </row>
    <row r="28">
      <c r="A28" s="65" t="s">
        <v>39</v>
      </c>
      <c r="B28" s="66" t="s">
        <v>11</v>
      </c>
      <c r="C28" s="66" t="s">
        <v>12</v>
      </c>
      <c r="D28" s="66" t="s">
        <v>15</v>
      </c>
      <c r="E28" s="66">
        <v>-3237760.31</v>
      </c>
      <c r="F28" s="66">
        <v>3941082.6970000002</v>
      </c>
      <c r="G28" s="66">
        <v>3816787.0090000001</v>
      </c>
      <c r="H28" s="66"/>
      <c r="I28" s="66"/>
      <c r="J28" s="66"/>
      <c r="K28" s="66"/>
      <c r="L28" s="66"/>
      <c r="M28" s="66"/>
      <c r="N28" s="67" t="s">
        <v>249</v>
      </c>
      <c r="O28" s="68" t="s">
        <v>249</v>
      </c>
      <c r="P28" s="68" t="s">
        <v>249</v>
      </c>
      <c r="Q28" s="69" t="s">
        <v>249</v>
      </c>
      <c r="R28" s="67" t="s">
        <v>249</v>
      </c>
      <c r="S28" s="68" t="s">
        <v>249</v>
      </c>
      <c r="T28" s="68" t="s">
        <v>249</v>
      </c>
      <c r="U28" s="69" t="s">
        <v>249</v>
      </c>
      <c r="W28" s="13">
        <v>36.992823199999997</v>
      </c>
      <c r="X28" s="13">
        <v>129.4045007</v>
      </c>
      <c r="Y28" s="13">
        <v>50.817999999999998</v>
      </c>
      <c r="Z28" s="8" t="s">
        <v>249</v>
      </c>
      <c r="AA28" s="8" t="s">
        <v>249</v>
      </c>
      <c r="AB28" s="8" t="s">
        <v>249</v>
      </c>
      <c r="AC28" s="8" t="s">
        <v>249</v>
      </c>
    </row>
    <row r="29">
      <c r="A29" s="9" t="s">
        <v>40</v>
      </c>
      <c r="B29" s="10" t="s">
        <v>11</v>
      </c>
      <c r="C29" s="10" t="s">
        <v>12</v>
      </c>
      <c r="D29" s="10" t="s">
        <v>13</v>
      </c>
      <c r="E29" s="10">
        <v>-3102738.5660000001</v>
      </c>
      <c r="F29" s="10">
        <v>4023043.719</v>
      </c>
      <c r="G29" s="10">
        <v>3843228.8620000002</v>
      </c>
      <c r="H29" s="10">
        <v>-3102739.0496</v>
      </c>
      <c r="I29" s="10">
        <v>4023044.3457999998</v>
      </c>
      <c r="J29" s="10">
        <v>3843229.4800999998</v>
      </c>
      <c r="K29" s="10">
        <v>0</v>
      </c>
      <c r="L29" s="10">
        <v>0</v>
      </c>
      <c r="M29" s="10">
        <v>0</v>
      </c>
      <c r="N29" s="25">
        <v>1.4711216855095501E-4</v>
      </c>
      <c r="O29" s="11">
        <v>1.2087596741039999E-2</v>
      </c>
      <c r="P29" s="11">
        <v>1.00431502739822</v>
      </c>
      <c r="Q29" s="12">
        <v>1.0043877766554301</v>
      </c>
      <c r="R29" s="25" t="s">
        <v>249</v>
      </c>
      <c r="S29" s="11" t="s">
        <v>249</v>
      </c>
      <c r="T29" s="11" t="s">
        <v>249</v>
      </c>
      <c r="U29" s="12" t="s">
        <v>249</v>
      </c>
      <c r="W29" s="13">
        <v>37.291414670000002</v>
      </c>
      <c r="X29" s="13">
        <v>127.6409031</v>
      </c>
      <c r="Y29" s="13">
        <v>94.096999999999994</v>
      </c>
      <c r="Z29" s="8">
        <v>-1.468821170418E-3</v>
      </c>
      <c r="AA29" s="8">
        <v>-3.24917112189351E-4</v>
      </c>
      <c r="AB29" s="8">
        <v>-1.6299125558953399E-5</v>
      </c>
      <c r="AC29" s="8">
        <v>1.5044176354839999E-3</v>
      </c>
    </row>
    <row r="30">
      <c r="A30" s="9" t="s">
        <v>41</v>
      </c>
      <c r="B30" s="10" t="s">
        <v>11</v>
      </c>
      <c r="C30" s="10" t="s">
        <v>12</v>
      </c>
      <c r="D30" s="10" t="s">
        <v>13</v>
      </c>
      <c r="E30" s="10">
        <v>-3259937.7590000001</v>
      </c>
      <c r="F30" s="10">
        <v>3972685.358</v>
      </c>
      <c r="G30" s="10">
        <v>3765153.1129999999</v>
      </c>
      <c r="H30" s="10">
        <v>-3259938.2508</v>
      </c>
      <c r="I30" s="10">
        <v>3972684.8739999998</v>
      </c>
      <c r="J30" s="10">
        <v>3765152.9298</v>
      </c>
      <c r="K30" s="10">
        <v>0</v>
      </c>
      <c r="L30" s="10">
        <v>0</v>
      </c>
      <c r="M30" s="10">
        <v>0</v>
      </c>
      <c r="N30" s="25">
        <v>0.68720951790351004</v>
      </c>
      <c r="O30" s="11">
        <v>-0.110523422358195</v>
      </c>
      <c r="P30" s="11">
        <v>-0.15878643943151</v>
      </c>
      <c r="Q30" s="12">
        <v>0.71392260206151203</v>
      </c>
      <c r="R30" s="25" t="s">
        <v>249</v>
      </c>
      <c r="S30" s="11" t="s">
        <v>249</v>
      </c>
      <c r="T30" s="11" t="s">
        <v>249</v>
      </c>
      <c r="U30" s="12" t="s">
        <v>249</v>
      </c>
      <c r="W30" s="13">
        <v>36.412445140000003</v>
      </c>
      <c r="X30" s="13">
        <v>129.37189000000001</v>
      </c>
      <c r="Y30" s="13">
        <v>56.689</v>
      </c>
      <c r="Z30" s="8">
        <v>0.68513978443771895</v>
      </c>
      <c r="AA30" s="8">
        <v>-0.12343528876436401</v>
      </c>
      <c r="AB30" s="8">
        <v>-1.16298841478115</v>
      </c>
      <c r="AC30" s="8">
        <v>1.3554316093580201</v>
      </c>
    </row>
    <row r="31">
      <c r="A31" s="65" t="s">
        <v>42</v>
      </c>
      <c r="B31" s="66" t="s">
        <v>11</v>
      </c>
      <c r="C31" s="66" t="s">
        <v>12</v>
      </c>
      <c r="D31" s="66" t="s">
        <v>15</v>
      </c>
      <c r="E31" s="66">
        <v>-3074203.193</v>
      </c>
      <c r="F31" s="66">
        <v>4049925.477</v>
      </c>
      <c r="G31" s="66">
        <v>3838034.898</v>
      </c>
      <c r="H31" s="66"/>
      <c r="I31" s="66"/>
      <c r="J31" s="66"/>
      <c r="K31" s="66"/>
      <c r="L31" s="66"/>
      <c r="M31" s="66"/>
      <c r="N31" s="67" t="s">
        <v>249</v>
      </c>
      <c r="O31" s="68" t="s">
        <v>249</v>
      </c>
      <c r="P31" s="68" t="s">
        <v>249</v>
      </c>
      <c r="Q31" s="69" t="s">
        <v>249</v>
      </c>
      <c r="R31" s="67" t="s">
        <v>249</v>
      </c>
      <c r="S31" s="68" t="s">
        <v>249</v>
      </c>
      <c r="T31" s="68" t="s">
        <v>249</v>
      </c>
      <c r="U31" s="69" t="s">
        <v>249</v>
      </c>
      <c r="W31" s="13">
        <v>37.232296689999998</v>
      </c>
      <c r="X31" s="13">
        <v>127.2012785</v>
      </c>
      <c r="Y31" s="13">
        <v>140.227</v>
      </c>
      <c r="Z31" s="8" t="s">
        <v>249</v>
      </c>
      <c r="AA31" s="8" t="s">
        <v>249</v>
      </c>
      <c r="AB31" s="8" t="s">
        <v>249</v>
      </c>
      <c r="AC31" s="8" t="s">
        <v>249</v>
      </c>
    </row>
    <row r="32" ht="16" thickBot="true">
      <c r="A32" s="60" t="s">
        <v>43</v>
      </c>
      <c r="B32" s="61" t="s">
        <v>11</v>
      </c>
      <c r="C32" s="61" t="s">
        <v>12</v>
      </c>
      <c r="D32" s="61" t="s">
        <v>15</v>
      </c>
      <c r="E32" s="61">
        <v>-3191448.54</v>
      </c>
      <c r="F32" s="61">
        <v>3994642.3250000002</v>
      </c>
      <c r="G32" s="61">
        <v>3800403.6630000002</v>
      </c>
      <c r="H32" s="61"/>
      <c r="I32" s="61"/>
      <c r="J32" s="61"/>
      <c r="K32" s="61"/>
      <c r="L32" s="61"/>
      <c r="M32" s="61"/>
      <c r="N32" s="62" t="s">
        <v>249</v>
      </c>
      <c r="O32" s="63" t="s">
        <v>249</v>
      </c>
      <c r="P32" s="63" t="s">
        <v>249</v>
      </c>
      <c r="Q32" s="64" t="s">
        <v>249</v>
      </c>
      <c r="R32" s="62">
        <v>0.609656400606432</v>
      </c>
      <c r="S32" s="63">
        <v>-0.12971414226618</v>
      </c>
      <c r="T32" s="63">
        <v>-6.5668594235706895E-2</v>
      </c>
      <c r="U32" s="64">
        <f t="shared" si="0"/>
        <v>0.62675278202265283</v>
      </c>
      <c r="W32" s="13">
        <v>36.807341839999999</v>
      </c>
      <c r="X32" s="13">
        <v>128.62248510000001</v>
      </c>
      <c r="Y32" s="13">
        <v>180.03200000000001</v>
      </c>
      <c r="Z32" s="8" t="s">
        <v>249</v>
      </c>
      <c r="AA32" s="8" t="s">
        <v>249</v>
      </c>
      <c r="AB32" s="8" t="s">
        <v>249</v>
      </c>
      <c r="AC32" s="8" t="s">
        <v>249</v>
      </c>
    </row>
    <row r="33">
      <c r="A33" s="55" t="s">
        <v>44</v>
      </c>
      <c r="B33" s="56" t="s">
        <v>11</v>
      </c>
      <c r="C33" s="56" t="s">
        <v>45</v>
      </c>
      <c r="D33" s="56" t="s">
        <v>13</v>
      </c>
      <c r="E33" s="56">
        <v>-3064279.2370000002</v>
      </c>
      <c r="F33" s="56">
        <v>4132450.679</v>
      </c>
      <c r="G33" s="56">
        <v>3757532.2620000001</v>
      </c>
      <c r="H33" s="56">
        <v>-3064280.7077000001</v>
      </c>
      <c r="I33" s="56">
        <v>4132450.9537</v>
      </c>
      <c r="J33" s="56">
        <v>3757529.4435999999</v>
      </c>
      <c r="K33" s="56">
        <v>0</v>
      </c>
      <c r="L33" s="56">
        <v>0</v>
      </c>
      <c r="M33" s="56">
        <v>0</v>
      </c>
      <c r="N33" s="57">
        <v>1.01773375775764</v>
      </c>
      <c r="O33" s="58">
        <v>-2.92028474439133</v>
      </c>
      <c r="P33" s="58">
        <v>-0.78609932900315205</v>
      </c>
      <c r="Q33" s="59">
        <v>3.1908928444972</v>
      </c>
      <c r="R33" s="57" t="s">
        <v>249</v>
      </c>
      <c r="S33" s="58" t="s">
        <v>249</v>
      </c>
      <c r="T33" s="58" t="s">
        <v>249</v>
      </c>
      <c r="U33" s="59" t="s">
        <v>249</v>
      </c>
      <c r="W33" s="13">
        <v>36.327249999999999</v>
      </c>
      <c r="X33" s="13">
        <v>126.55752778</v>
      </c>
      <c r="Y33" s="13">
        <v>40.578000000000003</v>
      </c>
      <c r="Z33" s="8">
        <v>1.6411872563559999</v>
      </c>
      <c r="AA33" s="8">
        <v>-3.0348721534437102</v>
      </c>
      <c r="AB33" s="8">
        <v>-2.0202733319640001E-3</v>
      </c>
      <c r="AC33" s="8">
        <v>3.45020994718839</v>
      </c>
    </row>
    <row r="34">
      <c r="A34" s="9" t="s">
        <v>46</v>
      </c>
      <c r="B34" s="10" t="s">
        <v>11</v>
      </c>
      <c r="C34" s="10" t="s">
        <v>45</v>
      </c>
      <c r="D34" s="10" t="s">
        <v>13</v>
      </c>
      <c r="E34" s="10">
        <v>-3172296.7850000001</v>
      </c>
      <c r="F34" s="10">
        <v>4177433.7140000002</v>
      </c>
      <c r="G34" s="10">
        <v>3616413.1529999999</v>
      </c>
      <c r="H34" s="10">
        <v>-3172297.2489999998</v>
      </c>
      <c r="I34" s="10">
        <v>4177433.1016000002</v>
      </c>
      <c r="J34" s="10">
        <v>3616411.7593</v>
      </c>
      <c r="K34" s="10">
        <v>0</v>
      </c>
      <c r="L34" s="10">
        <v>0</v>
      </c>
      <c r="M34" s="10">
        <v>0</v>
      </c>
      <c r="N34" s="25">
        <v>0.73989205998880703</v>
      </c>
      <c r="O34" s="11">
        <v>-1.02684724814275</v>
      </c>
      <c r="P34" s="11">
        <v>-0.96481807363962302</v>
      </c>
      <c r="Q34" s="12">
        <v>1.5914551349863699</v>
      </c>
      <c r="R34" s="25" t="s">
        <v>249</v>
      </c>
      <c r="S34" s="11" t="s">
        <v>249</v>
      </c>
      <c r="T34" s="11" t="s">
        <v>249</v>
      </c>
      <c r="U34" s="12" t="s">
        <v>249</v>
      </c>
      <c r="W34" s="13">
        <v>34.764083329999998</v>
      </c>
      <c r="X34" s="13">
        <v>127.21263888999999</v>
      </c>
      <c r="Y34" s="13">
        <v>29.283999999999999</v>
      </c>
      <c r="Z34" s="8">
        <v>0.22389099148292901</v>
      </c>
      <c r="AA34" s="8">
        <v>-1.7330089404703899</v>
      </c>
      <c r="AB34" s="8">
        <v>-0.96497551155296901</v>
      </c>
      <c r="AC34" s="8">
        <v>1.99615252466199</v>
      </c>
    </row>
    <row r="35">
      <c r="A35" s="9" t="s">
        <v>47</v>
      </c>
      <c r="B35" s="10" t="s">
        <v>11</v>
      </c>
      <c r="C35" s="10" t="s">
        <v>45</v>
      </c>
      <c r="D35" s="10" t="s">
        <v>13</v>
      </c>
      <c r="E35" s="10">
        <v>-2861186.02</v>
      </c>
      <c r="F35" s="10">
        <v>4142817.156</v>
      </c>
      <c r="G35" s="10">
        <v>3902688.1290000002</v>
      </c>
      <c r="H35" s="10">
        <v>-2861186.1578000002</v>
      </c>
      <c r="I35" s="10">
        <v>4142817.1908</v>
      </c>
      <c r="J35" s="10">
        <v>3902686.9345</v>
      </c>
      <c r="K35" s="10">
        <v>0</v>
      </c>
      <c r="L35" s="10">
        <v>0</v>
      </c>
      <c r="M35" s="10">
        <v>0</v>
      </c>
      <c r="N35" s="25">
        <v>9.3610456192005004E-2</v>
      </c>
      <c r="O35" s="11">
        <v>-1.00749226668401</v>
      </c>
      <c r="P35" s="11">
        <v>-0.65055864116006201</v>
      </c>
      <c r="Q35" s="12">
        <v>1.2029256546123701</v>
      </c>
      <c r="R35" s="25" t="s">
        <v>249</v>
      </c>
      <c r="S35" s="11" t="s">
        <v>249</v>
      </c>
      <c r="T35" s="11" t="s">
        <v>249</v>
      </c>
      <c r="U35" s="12" t="s">
        <v>249</v>
      </c>
      <c r="W35" s="13">
        <v>37.96722269</v>
      </c>
      <c r="X35" s="13">
        <v>124.6304238</v>
      </c>
      <c r="Y35" s="13">
        <v>180.97900000000001</v>
      </c>
      <c r="Z35" s="8">
        <v>9.3243920122570004E-2</v>
      </c>
      <c r="AA35" s="8">
        <v>-0.54186895446620298</v>
      </c>
      <c r="AB35" s="8">
        <v>-0.651054527709515</v>
      </c>
      <c r="AC35" s="8">
        <v>0.85216687949320202</v>
      </c>
    </row>
    <row r="36">
      <c r="A36" s="9" t="s">
        <v>48</v>
      </c>
      <c r="B36" s="10" t="s">
        <v>11</v>
      </c>
      <c r="C36" s="10" t="s">
        <v>45</v>
      </c>
      <c r="D36" s="10" t="s">
        <v>13</v>
      </c>
      <c r="E36" s="10">
        <v>-3137827.1830000002</v>
      </c>
      <c r="F36" s="10">
        <v>4023087.7059999998</v>
      </c>
      <c r="G36" s="10">
        <v>3814861.4539999999</v>
      </c>
      <c r="H36" s="10">
        <v>-3137827.4334999998</v>
      </c>
      <c r="I36" s="10">
        <v>4023085.4855</v>
      </c>
      <c r="J36" s="10">
        <v>3814865.7941000001</v>
      </c>
      <c r="K36" s="10">
        <v>0</v>
      </c>
      <c r="L36" s="10">
        <v>0</v>
      </c>
      <c r="M36" s="10">
        <v>0</v>
      </c>
      <c r="N36" s="25">
        <v>1.56315321304592</v>
      </c>
      <c r="O36" s="11">
        <v>4.4278530125873301</v>
      </c>
      <c r="P36" s="11">
        <v>1.33435686015134</v>
      </c>
      <c r="Q36" s="12">
        <v>4.8815815571152203</v>
      </c>
      <c r="R36" s="25" t="s">
        <v>249</v>
      </c>
      <c r="S36" s="11" t="s">
        <v>249</v>
      </c>
      <c r="T36" s="11" t="s">
        <v>249</v>
      </c>
      <c r="U36" s="12" t="s">
        <v>249</v>
      </c>
      <c r="W36" s="13">
        <v>36.970480559999999</v>
      </c>
      <c r="X36" s="13">
        <v>127.95263056</v>
      </c>
      <c r="Y36" s="13">
        <v>141.833</v>
      </c>
      <c r="Z36" s="8">
        <v>1.16965146186637</v>
      </c>
      <c r="AA36" s="8">
        <v>4.2081339540351399</v>
      </c>
      <c r="AB36" s="8">
        <v>1.3340140368105899</v>
      </c>
      <c r="AC36" s="8">
        <v>4.5668445745128299</v>
      </c>
    </row>
    <row r="37">
      <c r="A37" s="9" t="s">
        <v>49</v>
      </c>
      <c r="B37" s="10" t="s">
        <v>11</v>
      </c>
      <c r="C37" s="10" t="s">
        <v>45</v>
      </c>
      <c r="D37" s="10" t="s">
        <v>13</v>
      </c>
      <c r="E37" s="10">
        <v>-3084089.1269999999</v>
      </c>
      <c r="F37" s="10">
        <v>3985154.96</v>
      </c>
      <c r="G37" s="10">
        <v>3897001.358</v>
      </c>
      <c r="H37" s="10">
        <v>-3083469.6701000002</v>
      </c>
      <c r="I37" s="10">
        <v>3981736.5786000001</v>
      </c>
      <c r="J37" s="10">
        <v>3900980.9761000001</v>
      </c>
      <c r="K37" s="10">
        <v>0</v>
      </c>
      <c r="L37" s="10">
        <v>0</v>
      </c>
      <c r="M37" s="10">
        <v>0</v>
      </c>
      <c r="N37" s="25">
        <v>1602.24559930186</v>
      </c>
      <c r="O37" s="11">
        <v>5033.79291931851</v>
      </c>
      <c r="P37" s="11">
        <v>12.5041438049952</v>
      </c>
      <c r="Q37" s="12">
        <v>5282.65259776522</v>
      </c>
      <c r="R37" s="25" t="s">
        <v>249</v>
      </c>
      <c r="S37" s="11" t="s">
        <v>249</v>
      </c>
      <c r="T37" s="11" t="s">
        <v>249</v>
      </c>
      <c r="U37" s="12" t="s">
        <v>249</v>
      </c>
      <c r="W37" s="13">
        <v>37.90276944</v>
      </c>
      <c r="X37" s="13">
        <v>127.73608889</v>
      </c>
      <c r="Y37" s="13">
        <v>109.92100000000001</v>
      </c>
      <c r="Z37" s="8">
        <v>1602.11232628635</v>
      </c>
      <c r="AA37" s="8">
        <v>5033.5832453285502</v>
      </c>
      <c r="AB37" s="8">
        <v>12.504035855421</v>
      </c>
      <c r="AC37" s="8">
        <v>5282.4123792642004</v>
      </c>
    </row>
    <row r="38">
      <c r="A38" s="9" t="s">
        <v>50</v>
      </c>
      <c r="B38" s="10" t="s">
        <v>11</v>
      </c>
      <c r="C38" s="10" t="s">
        <v>45</v>
      </c>
      <c r="D38" s="10" t="s">
        <v>13</v>
      </c>
      <c r="E38" s="10">
        <v>-3043896.6379999998</v>
      </c>
      <c r="F38" s="10">
        <v>3994963.5860000001</v>
      </c>
      <c r="G38" s="10">
        <v>3918482.5589999999</v>
      </c>
      <c r="H38" s="10">
        <v>-3043894.3294000002</v>
      </c>
      <c r="I38" s="10">
        <v>3994959.9208</v>
      </c>
      <c r="J38" s="10">
        <v>3918481.1869000001</v>
      </c>
      <c r="K38" s="10">
        <v>0</v>
      </c>
      <c r="L38" s="10">
        <v>0</v>
      </c>
      <c r="M38" s="10">
        <v>0</v>
      </c>
      <c r="N38" s="25">
        <v>0.38501440738258103</v>
      </c>
      <c r="O38" s="11">
        <v>1.58600564617234</v>
      </c>
      <c r="P38" s="11">
        <v>-4.2405581465056796</v>
      </c>
      <c r="Q38" s="12">
        <v>4.5437851398892599</v>
      </c>
      <c r="R38" s="25" t="s">
        <v>249</v>
      </c>
      <c r="S38" s="11" t="s">
        <v>249</v>
      </c>
      <c r="T38" s="11" t="s">
        <v>249</v>
      </c>
      <c r="U38" s="12" t="s">
        <v>249</v>
      </c>
      <c r="W38" s="13">
        <v>38.147888889999997</v>
      </c>
      <c r="X38" s="13">
        <v>127.30498889</v>
      </c>
      <c r="Y38" s="13">
        <v>187.61799999999999</v>
      </c>
      <c r="Z38" s="8">
        <v>0.52852687033212098</v>
      </c>
      <c r="AA38" s="8">
        <v>1.9454911364199501</v>
      </c>
      <c r="AB38" s="8">
        <v>-4.2400359300285198</v>
      </c>
      <c r="AC38" s="8">
        <v>4.6949101271999298</v>
      </c>
    </row>
    <row r="39">
      <c r="A39" s="9" t="s">
        <v>51</v>
      </c>
      <c r="B39" s="10" t="s">
        <v>11</v>
      </c>
      <c r="C39" s="10" t="s">
        <v>45</v>
      </c>
      <c r="D39" s="10" t="s">
        <v>13</v>
      </c>
      <c r="E39" s="10">
        <v>-3099657.5320000001</v>
      </c>
      <c r="F39" s="10">
        <v>4069948.085</v>
      </c>
      <c r="G39" s="10">
        <v>3796388.9350000001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25">
        <v>0</v>
      </c>
      <c r="O39" s="11">
        <v>20496.945973835798</v>
      </c>
      <c r="P39" s="11">
        <v>-6370596.7578615099</v>
      </c>
      <c r="Q39" s="12">
        <v>6370629.7315155501</v>
      </c>
      <c r="R39" s="25" t="s">
        <v>249</v>
      </c>
      <c r="S39" s="11" t="s">
        <v>249</v>
      </c>
      <c r="T39" s="11" t="s">
        <v>249</v>
      </c>
      <c r="U39" s="12" t="s">
        <v>249</v>
      </c>
      <c r="W39" s="13">
        <v>36.762638889999998</v>
      </c>
      <c r="X39" s="13">
        <v>127.29277777999999</v>
      </c>
      <c r="Y39" s="13">
        <v>111.57899999999999</v>
      </c>
      <c r="Z39" s="8">
        <v>0</v>
      </c>
      <c r="AA39" s="8">
        <v>20496.948779456299</v>
      </c>
      <c r="AB39" s="8">
        <v>-6370596.7537413798</v>
      </c>
      <c r="AC39" s="8">
        <v>6370629.7274044696</v>
      </c>
    </row>
    <row r="40">
      <c r="A40" s="9" t="s">
        <v>52</v>
      </c>
      <c r="B40" s="10" t="s">
        <v>11</v>
      </c>
      <c r="C40" s="10" t="s">
        <v>45</v>
      </c>
      <c r="D40" s="10" t="s">
        <v>13</v>
      </c>
      <c r="E40" s="10">
        <v>-3161914.72</v>
      </c>
      <c r="F40" s="10">
        <v>3944070.8849999998</v>
      </c>
      <c r="G40" s="10">
        <v>3877656.665</v>
      </c>
      <c r="H40" s="10">
        <v>-3161915.5244999998</v>
      </c>
      <c r="I40" s="10">
        <v>3944069.5392</v>
      </c>
      <c r="J40" s="10">
        <v>3877655.6453</v>
      </c>
      <c r="K40" s="10">
        <v>0</v>
      </c>
      <c r="L40" s="10">
        <v>0</v>
      </c>
      <c r="M40" s="10">
        <v>0</v>
      </c>
      <c r="N40" s="25">
        <v>1.4694867192119401</v>
      </c>
      <c r="O40" s="11">
        <v>-0.47283581120198898</v>
      </c>
      <c r="P40" s="11">
        <v>-1.05604026966886</v>
      </c>
      <c r="Q40" s="12">
        <v>1.8703438115644899</v>
      </c>
      <c r="R40" s="25" t="s">
        <v>249</v>
      </c>
      <c r="S40" s="11" t="s">
        <v>249</v>
      </c>
      <c r="T40" s="11" t="s">
        <v>249</v>
      </c>
      <c r="U40" s="12" t="s">
        <v>249</v>
      </c>
      <c r="W40" s="13">
        <v>37.677388890000003</v>
      </c>
      <c r="X40" s="13">
        <v>13.41041667</v>
      </c>
      <c r="Y40" s="13">
        <v>809.27466000000004</v>
      </c>
      <c r="Z40" s="8">
        <v>4569855.9554440603</v>
      </c>
      <c r="AA40" s="8">
        <v>4410528.5395848202</v>
      </c>
      <c r="AB40" s="8">
        <v>-5711220.6721031601</v>
      </c>
      <c r="AC40" s="8">
        <v>8541334.0303174108</v>
      </c>
    </row>
    <row r="41">
      <c r="A41" s="9" t="s">
        <v>53</v>
      </c>
      <c r="B41" s="10" t="s">
        <v>11</v>
      </c>
      <c r="C41" s="10" t="s">
        <v>45</v>
      </c>
      <c r="D41" s="10" t="s">
        <v>13</v>
      </c>
      <c r="E41" s="10">
        <v>-2999174.6349999998</v>
      </c>
      <c r="F41" s="10">
        <v>4106124.5970000001</v>
      </c>
      <c r="G41" s="10">
        <v>3837521.327</v>
      </c>
      <c r="H41" s="10">
        <v>-2994694.1581999999</v>
      </c>
      <c r="I41" s="10">
        <v>4106357.9764</v>
      </c>
      <c r="J41" s="10">
        <v>3840728.6334000002</v>
      </c>
      <c r="K41" s="10">
        <v>0</v>
      </c>
      <c r="L41" s="10">
        <v>0</v>
      </c>
      <c r="M41" s="10">
        <v>0</v>
      </c>
      <c r="N41" s="25">
        <v>-3755.7619746324899</v>
      </c>
      <c r="O41" s="11">
        <v>4038.56571699394</v>
      </c>
      <c r="P41" s="11">
        <v>-13.8413363637916</v>
      </c>
      <c r="Q41" s="12">
        <v>5515.0659690675002</v>
      </c>
      <c r="R41" s="25" t="s">
        <v>249</v>
      </c>
      <c r="S41" s="11" t="s">
        <v>249</v>
      </c>
      <c r="T41" s="11" t="s">
        <v>249</v>
      </c>
      <c r="U41" s="12" t="s">
        <v>249</v>
      </c>
      <c r="W41" s="13">
        <v>37.227166670000003</v>
      </c>
      <c r="X41" s="13">
        <v>13.14497222</v>
      </c>
      <c r="Y41" s="13">
        <v>131.56700000000001</v>
      </c>
      <c r="Z41" s="8">
        <v>4679802.7632087404</v>
      </c>
      <c r="AA41" s="8">
        <v>4278038.3733202601</v>
      </c>
      <c r="AB41" s="8">
        <v>-5625352.1721238801</v>
      </c>
      <c r="AC41" s="8">
        <v>8476246.4149265904</v>
      </c>
    </row>
    <row r="42">
      <c r="A42" s="9" t="s">
        <v>54</v>
      </c>
      <c r="B42" s="10" t="s">
        <v>11</v>
      </c>
      <c r="C42" s="10" t="s">
        <v>45</v>
      </c>
      <c r="D42" s="10" t="s">
        <v>13</v>
      </c>
      <c r="E42" s="10">
        <v>-3036976.8489999999</v>
      </c>
      <c r="F42" s="10">
        <v>4021267.6809999999</v>
      </c>
      <c r="G42" s="10">
        <v>3896966.8810000001</v>
      </c>
      <c r="H42" s="10">
        <v>-3036973.057</v>
      </c>
      <c r="I42" s="10">
        <v>4021261.2223999999</v>
      </c>
      <c r="J42" s="10">
        <v>3896966.2938999999</v>
      </c>
      <c r="K42" s="10">
        <v>0</v>
      </c>
      <c r="L42" s="10">
        <v>0</v>
      </c>
      <c r="M42" s="10">
        <v>0</v>
      </c>
      <c r="N42" s="25">
        <v>0.866396866459193</v>
      </c>
      <c r="O42" s="11">
        <v>4.1067664110316802</v>
      </c>
      <c r="P42" s="11">
        <v>-6.23067335699516</v>
      </c>
      <c r="Q42" s="12">
        <v>7.5124872290445603</v>
      </c>
      <c r="R42" s="25" t="s">
        <v>249</v>
      </c>
      <c r="S42" s="11" t="s">
        <v>249</v>
      </c>
      <c r="T42" s="11" t="s">
        <v>249</v>
      </c>
      <c r="U42" s="12" t="s">
        <v>249</v>
      </c>
      <c r="W42" s="13">
        <v>37.90211111</v>
      </c>
      <c r="X42" s="13">
        <v>127.06115</v>
      </c>
      <c r="Y42" s="13">
        <v>147.95599999999999</v>
      </c>
      <c r="Z42" s="8">
        <v>0.90831898598415595</v>
      </c>
      <c r="AA42" s="8">
        <v>3.6630006148019301</v>
      </c>
      <c r="AB42" s="8">
        <v>-6.22997849942871</v>
      </c>
      <c r="AC42" s="8">
        <v>7.2839034169655603</v>
      </c>
    </row>
    <row r="43">
      <c r="A43" s="9" t="s">
        <v>55</v>
      </c>
      <c r="B43" s="10" t="s">
        <v>11</v>
      </c>
      <c r="C43" s="10" t="s">
        <v>45</v>
      </c>
      <c r="D43" s="10" t="s">
        <v>13</v>
      </c>
      <c r="E43" s="10">
        <v>-2997010.17</v>
      </c>
      <c r="F43" s="10">
        <v>4066495.7230000002</v>
      </c>
      <c r="G43" s="10">
        <v>3880879.372</v>
      </c>
      <c r="H43" s="10">
        <v>-3001489.6172000002</v>
      </c>
      <c r="I43" s="10">
        <v>4064235.9249</v>
      </c>
      <c r="J43" s="10">
        <v>3879837.2444000002</v>
      </c>
      <c r="K43" s="10">
        <v>0</v>
      </c>
      <c r="L43" s="10">
        <v>0</v>
      </c>
      <c r="M43" s="10">
        <v>0</v>
      </c>
      <c r="N43" s="25">
        <v>4946.6290293766197</v>
      </c>
      <c r="O43" s="11">
        <v>-1337.29857643389</v>
      </c>
      <c r="P43" s="11">
        <v>25.658687623867799</v>
      </c>
      <c r="Q43" s="12">
        <v>5124.2721048998001</v>
      </c>
      <c r="R43" s="25" t="s">
        <v>249</v>
      </c>
      <c r="S43" s="11" t="s">
        <v>249</v>
      </c>
      <c r="T43" s="11" t="s">
        <v>249</v>
      </c>
      <c r="U43" s="12" t="s">
        <v>249</v>
      </c>
      <c r="W43" s="13">
        <v>37.707333329999997</v>
      </c>
      <c r="X43" s="13">
        <v>126.44633333</v>
      </c>
      <c r="Y43" s="13">
        <v>43.500999999999998</v>
      </c>
      <c r="Z43" s="8">
        <v>0.282004222074342</v>
      </c>
      <c r="AA43" s="8">
        <v>-1.8309565096379901</v>
      </c>
      <c r="AB43" s="8">
        <v>27.715014278957501</v>
      </c>
      <c r="AC43" s="8">
        <v>27.7768598766</v>
      </c>
    </row>
    <row r="44">
      <c r="A44" s="9" t="s">
        <v>56</v>
      </c>
      <c r="B44" s="10" t="s">
        <v>11</v>
      </c>
      <c r="C44" s="10" t="s">
        <v>45</v>
      </c>
      <c r="D44" s="10" t="s">
        <v>13</v>
      </c>
      <c r="E44" s="10">
        <v>-2980439.5380000002</v>
      </c>
      <c r="F44" s="10">
        <v>4169252.1209999998</v>
      </c>
      <c r="G44" s="10">
        <v>3784183.26</v>
      </c>
      <c r="H44" s="10">
        <v>-2980440.2796999998</v>
      </c>
      <c r="I44" s="10">
        <v>4169251.5292000002</v>
      </c>
      <c r="J44" s="10">
        <v>3784184.7363999998</v>
      </c>
      <c r="K44" s="10">
        <v>0</v>
      </c>
      <c r="L44" s="10">
        <v>0</v>
      </c>
      <c r="M44" s="10">
        <v>0</v>
      </c>
      <c r="N44" s="25">
        <v>0.94754205757876397</v>
      </c>
      <c r="O44" s="11">
        <v>1.21477960852503</v>
      </c>
      <c r="P44" s="11">
        <v>0.84058172714394896</v>
      </c>
      <c r="Q44" s="12">
        <v>1.7550222472029</v>
      </c>
      <c r="R44" s="25" t="s">
        <v>249</v>
      </c>
      <c r="S44" s="11" t="s">
        <v>249</v>
      </c>
      <c r="T44" s="11" t="s">
        <v>249</v>
      </c>
      <c r="U44" s="12" t="s">
        <v>249</v>
      </c>
      <c r="W44" s="13">
        <v>36.62536111</v>
      </c>
      <c r="X44" s="13">
        <v>125.55952778</v>
      </c>
      <c r="Y44" s="13">
        <v>125.616</v>
      </c>
      <c r="Z44" s="8">
        <v>1.3439953444735599</v>
      </c>
      <c r="AA44" s="8">
        <v>1.4331654944707499</v>
      </c>
      <c r="AB44" s="8">
        <v>0.84098443499773701</v>
      </c>
      <c r="AC44" s="8">
        <v>2.1371807692417302</v>
      </c>
    </row>
    <row r="45">
      <c r="A45" s="9" t="s">
        <v>57</v>
      </c>
      <c r="B45" s="10" t="s">
        <v>11</v>
      </c>
      <c r="C45" s="10" t="s">
        <v>45</v>
      </c>
      <c r="D45" s="10" t="s">
        <v>13</v>
      </c>
      <c r="E45" s="10">
        <v>-3103288.5490000001</v>
      </c>
      <c r="F45" s="10">
        <v>3989175.517</v>
      </c>
      <c r="G45" s="10">
        <v>3877832.071</v>
      </c>
      <c r="H45" s="10">
        <v>-3103279.023</v>
      </c>
      <c r="I45" s="10">
        <v>3989181.753</v>
      </c>
      <c r="J45" s="10">
        <v>3877827.8972</v>
      </c>
      <c r="K45" s="10">
        <v>0</v>
      </c>
      <c r="L45" s="10">
        <v>0</v>
      </c>
      <c r="M45" s="10">
        <v>0</v>
      </c>
      <c r="N45" s="25">
        <v>-11.347816575687199</v>
      </c>
      <c r="O45" s="11">
        <v>-2.7364200873083502</v>
      </c>
      <c r="P45" s="11">
        <v>-3.2851244318136601</v>
      </c>
      <c r="Q45" s="12">
        <v>12.1265402511254</v>
      </c>
      <c r="R45" s="25" t="s">
        <v>249</v>
      </c>
      <c r="S45" s="11" t="s">
        <v>249</v>
      </c>
      <c r="T45" s="11" t="s">
        <v>249</v>
      </c>
      <c r="U45" s="12" t="s">
        <v>249</v>
      </c>
      <c r="W45" s="13">
        <v>37.683772910000002</v>
      </c>
      <c r="X45" s="13">
        <v>127.8803212</v>
      </c>
      <c r="Y45" s="13">
        <v>173.56399999999999</v>
      </c>
      <c r="Z45" s="8">
        <v>-11.343626175881299</v>
      </c>
      <c r="AA45" s="8">
        <v>-2.7367697250978602</v>
      </c>
      <c r="AB45" s="8">
        <v>-3.2850295719368101</v>
      </c>
      <c r="AC45" s="8">
        <v>12.122672256348899</v>
      </c>
    </row>
    <row r="46">
      <c r="A46" s="9" t="s">
        <v>58</v>
      </c>
      <c r="B46" s="10" t="s">
        <v>11</v>
      </c>
      <c r="C46" s="10" t="s">
        <v>45</v>
      </c>
      <c r="D46" s="10" t="s">
        <v>13</v>
      </c>
      <c r="E46" s="10">
        <v>-3092843.5049999999</v>
      </c>
      <c r="F46" s="10">
        <v>4032979.0720000002</v>
      </c>
      <c r="G46" s="10">
        <v>3840833.1150000002</v>
      </c>
      <c r="H46" s="10">
        <v>-3092846.179</v>
      </c>
      <c r="I46" s="10">
        <v>4032980.3339</v>
      </c>
      <c r="J46" s="10">
        <v>3840836.1534000002</v>
      </c>
      <c r="K46" s="10">
        <v>0</v>
      </c>
      <c r="L46" s="10">
        <v>0</v>
      </c>
      <c r="M46" s="10">
        <v>0</v>
      </c>
      <c r="N46" s="25">
        <v>1.3539571753635899</v>
      </c>
      <c r="O46" s="11">
        <v>0.82653190061075799</v>
      </c>
      <c r="P46" s="11">
        <v>3.93169011477227</v>
      </c>
      <c r="Q46" s="12">
        <v>4.2396393919817896</v>
      </c>
      <c r="R46" s="25" t="s">
        <v>249</v>
      </c>
      <c r="S46" s="11" t="s">
        <v>249</v>
      </c>
      <c r="T46" s="11" t="s">
        <v>249</v>
      </c>
      <c r="U46" s="12" t="s">
        <v>249</v>
      </c>
      <c r="W46" s="13">
        <v>37.26418056</v>
      </c>
      <c r="X46" s="13">
        <v>127.48416944</v>
      </c>
      <c r="Y46" s="13">
        <v>108.80200000000001</v>
      </c>
      <c r="Z46" s="8">
        <v>1.2151817660006601</v>
      </c>
      <c r="AA46" s="8">
        <v>0.58830425851044399</v>
      </c>
      <c r="AB46" s="8">
        <v>3.9309968849477399</v>
      </c>
      <c r="AC46" s="8">
        <v>4.1563812547059298</v>
      </c>
    </row>
    <row r="47">
      <c r="A47" s="9" t="s">
        <v>59</v>
      </c>
      <c r="B47" s="10" t="s">
        <v>11</v>
      </c>
      <c r="C47" s="10" t="s">
        <v>45</v>
      </c>
      <c r="D47" s="10" t="s">
        <v>13</v>
      </c>
      <c r="E47" s="10">
        <v>-3100210.645</v>
      </c>
      <c r="F47" s="10">
        <v>4050444.1209999998</v>
      </c>
      <c r="G47" s="10">
        <v>3816729.4739999999</v>
      </c>
      <c r="H47" s="10">
        <v>-3100212.6216000002</v>
      </c>
      <c r="I47" s="10">
        <v>4050446.9896999998</v>
      </c>
      <c r="J47" s="10">
        <v>3816730.0323999999</v>
      </c>
      <c r="K47" s="10">
        <v>0</v>
      </c>
      <c r="L47" s="10">
        <v>0</v>
      </c>
      <c r="M47" s="10">
        <v>0</v>
      </c>
      <c r="N47" s="25">
        <v>-0.17398826253581301</v>
      </c>
      <c r="O47" s="11">
        <v>-1.6475120435751001</v>
      </c>
      <c r="P47" s="11">
        <v>3.1150650009257999</v>
      </c>
      <c r="Q47" s="12">
        <v>3.5282003640975499</v>
      </c>
      <c r="R47" s="25" t="s">
        <v>249</v>
      </c>
      <c r="S47" s="11" t="s">
        <v>249</v>
      </c>
      <c r="T47" s="11" t="s">
        <v>249</v>
      </c>
      <c r="U47" s="12" t="s">
        <v>249</v>
      </c>
      <c r="W47" s="13">
        <v>36.991250000000001</v>
      </c>
      <c r="X47" s="13">
        <v>127.43044444</v>
      </c>
      <c r="Y47" s="13">
        <v>110.08</v>
      </c>
      <c r="Z47" s="8">
        <v>0.290211709330222</v>
      </c>
      <c r="AA47" s="8">
        <v>-1.5444699418968899</v>
      </c>
      <c r="AB47" s="8">
        <v>78.833950450500197</v>
      </c>
      <c r="AC47" s="8">
        <v>78.849612262011604</v>
      </c>
    </row>
    <row r="48">
      <c r="A48" s="65" t="s">
        <v>60</v>
      </c>
      <c r="B48" s="66" t="s">
        <v>11</v>
      </c>
      <c r="C48" s="66" t="s">
        <v>45</v>
      </c>
      <c r="D48" s="66" t="s">
        <v>15</v>
      </c>
      <c r="E48" s="66">
        <v>-3010789.9440000001</v>
      </c>
      <c r="F48" s="66">
        <v>4076492.6609999998</v>
      </c>
      <c r="G48" s="66">
        <v>3859786.6830000002</v>
      </c>
      <c r="H48" s="66"/>
      <c r="I48" s="66"/>
      <c r="J48" s="66"/>
      <c r="K48" s="66"/>
      <c r="L48" s="66"/>
      <c r="M48" s="66"/>
      <c r="N48" s="67" t="s">
        <v>249</v>
      </c>
      <c r="O48" s="68" t="s">
        <v>249</v>
      </c>
      <c r="P48" s="68" t="s">
        <v>249</v>
      </c>
      <c r="Q48" s="69" t="s">
        <v>249</v>
      </c>
      <c r="R48" s="67" t="s">
        <v>249</v>
      </c>
      <c r="S48" s="68" t="s">
        <v>249</v>
      </c>
      <c r="T48" s="68" t="s">
        <v>249</v>
      </c>
      <c r="U48" s="69" t="s">
        <v>249</v>
      </c>
      <c r="W48" s="13"/>
      <c r="X48" s="13"/>
      <c r="Y48" s="13"/>
      <c r="Z48" s="8" t="s">
        <v>249</v>
      </c>
      <c r="AA48" s="8" t="s">
        <v>249</v>
      </c>
      <c r="AB48" s="8" t="s">
        <v>249</v>
      </c>
      <c r="AC48" s="8" t="s">
        <v>249</v>
      </c>
    </row>
    <row r="49">
      <c r="A49" s="9" t="s">
        <v>61</v>
      </c>
      <c r="B49" s="10" t="s">
        <v>11</v>
      </c>
      <c r="C49" s="10" t="s">
        <v>45</v>
      </c>
      <c r="D49" s="10" t="s">
        <v>13</v>
      </c>
      <c r="E49" s="10">
        <v>-3023374.2829999998</v>
      </c>
      <c r="F49" s="10">
        <v>4067395.236</v>
      </c>
      <c r="G49" s="10">
        <v>3859669.0260000001</v>
      </c>
      <c r="H49" s="10">
        <v>-3023374.6450999998</v>
      </c>
      <c r="I49" s="10">
        <v>4067395.8418999999</v>
      </c>
      <c r="J49" s="10">
        <v>3859669.1856999998</v>
      </c>
      <c r="K49" s="10">
        <v>0</v>
      </c>
      <c r="L49" s="10">
        <v>0</v>
      </c>
      <c r="M49" s="10">
        <v>0</v>
      </c>
      <c r="N49" s="25">
        <v>-7.0848373761117994E-2</v>
      </c>
      <c r="O49" s="11">
        <v>-0.30057486956011498</v>
      </c>
      <c r="P49" s="11">
        <v>0.65450024132185702</v>
      </c>
      <c r="Q49" s="12">
        <v>0.72369559219746904</v>
      </c>
      <c r="R49" s="25" t="s">
        <v>249</v>
      </c>
      <c r="S49" s="11" t="s">
        <v>249</v>
      </c>
      <c r="T49" s="11" t="s">
        <v>249</v>
      </c>
      <c r="U49" s="12" t="s">
        <v>249</v>
      </c>
      <c r="W49" s="13">
        <v>37.477777779999997</v>
      </c>
      <c r="X49" s="13">
        <v>126.62413889</v>
      </c>
      <c r="Y49" s="13">
        <v>102.413</v>
      </c>
      <c r="Z49" s="8">
        <v>0.26279588192728698</v>
      </c>
      <c r="AA49" s="8">
        <v>-0.79167306348740996</v>
      </c>
      <c r="AB49" s="8">
        <v>0.65496368789456705</v>
      </c>
      <c r="AC49" s="8">
        <v>1.06055897877955</v>
      </c>
    </row>
    <row r="50">
      <c r="A50" s="9" t="s">
        <v>62</v>
      </c>
      <c r="B50" s="10" t="s">
        <v>11</v>
      </c>
      <c r="C50" s="10" t="s">
        <v>45</v>
      </c>
      <c r="D50" s="10" t="s">
        <v>13</v>
      </c>
      <c r="E50" s="10">
        <v>-3143115.2149999999</v>
      </c>
      <c r="F50" s="10">
        <v>3968797.622</v>
      </c>
      <c r="G50" s="10">
        <v>3867357.1030000001</v>
      </c>
      <c r="H50" s="10">
        <v>-3143114.5833999999</v>
      </c>
      <c r="I50" s="10">
        <v>3968798.8413</v>
      </c>
      <c r="J50" s="10">
        <v>3867356.6090000002</v>
      </c>
      <c r="K50" s="10">
        <v>0</v>
      </c>
      <c r="L50" s="10">
        <v>0</v>
      </c>
      <c r="M50" s="10">
        <v>0</v>
      </c>
      <c r="N50" s="25">
        <v>-1.2521269008910301</v>
      </c>
      <c r="O50" s="11">
        <v>-0.73525038269800203</v>
      </c>
      <c r="P50" s="11">
        <v>0.145712563138438</v>
      </c>
      <c r="Q50" s="12">
        <v>1.459331029016</v>
      </c>
      <c r="R50" s="25" t="s">
        <v>249</v>
      </c>
      <c r="S50" s="11" t="s">
        <v>249</v>
      </c>
      <c r="T50" s="11" t="s">
        <v>249</v>
      </c>
      <c r="U50" s="12" t="s">
        <v>249</v>
      </c>
      <c r="W50" s="13">
        <v>37.561944439999998</v>
      </c>
      <c r="X50" s="13">
        <v>128.37769444</v>
      </c>
      <c r="Y50" s="13">
        <v>559.48429999999996</v>
      </c>
      <c r="Z50" s="8">
        <v>-1.3345818396509099</v>
      </c>
      <c r="AA50" s="8">
        <v>-0.93837411879611698</v>
      </c>
      <c r="AB50" s="8">
        <v>0.14569237096570201</v>
      </c>
      <c r="AC50" s="8">
        <v>1.6379502252846401</v>
      </c>
    </row>
    <row r="51">
      <c r="A51" s="9" t="s">
        <v>63</v>
      </c>
      <c r="B51" s="10" t="s">
        <v>11</v>
      </c>
      <c r="C51" s="10" t="s">
        <v>45</v>
      </c>
      <c r="D51" s="10" t="s">
        <v>13</v>
      </c>
      <c r="E51" s="10">
        <v>-3016817.7949999999</v>
      </c>
      <c r="F51" s="10">
        <v>4037690.9010000001</v>
      </c>
      <c r="G51" s="10">
        <v>3895518.6460000002</v>
      </c>
      <c r="H51" s="10">
        <v>-3016817.5014</v>
      </c>
      <c r="I51" s="10">
        <v>4037690.0918999999</v>
      </c>
      <c r="J51" s="10">
        <v>3895520.1630000002</v>
      </c>
      <c r="K51" s="10">
        <v>0</v>
      </c>
      <c r="L51" s="10">
        <v>0</v>
      </c>
      <c r="M51" s="10">
        <v>0</v>
      </c>
      <c r="N51" s="25">
        <v>0.24908304184170499</v>
      </c>
      <c r="O51" s="11">
        <v>1.7032145468749</v>
      </c>
      <c r="P51" s="11">
        <v>0.28133718809925101</v>
      </c>
      <c r="Q51" s="12">
        <v>1.7441710833020301</v>
      </c>
      <c r="R51" s="25" t="s">
        <v>249</v>
      </c>
      <c r="S51" s="11" t="s">
        <v>249</v>
      </c>
      <c r="T51" s="11" t="s">
        <v>249</v>
      </c>
      <c r="U51" s="12" t="s">
        <v>249</v>
      </c>
      <c r="W51" s="13">
        <v>37.886138889999998</v>
      </c>
      <c r="X51" s="13">
        <v>126.76577777999999</v>
      </c>
      <c r="Y51" s="13">
        <v>66.052000000000007</v>
      </c>
      <c r="Z51" s="8">
        <v>-0.74136429849732599</v>
      </c>
      <c r="AA51" s="8">
        <v>2.6742151458236099</v>
      </c>
      <c r="AB51" s="8">
        <v>0.28197082926533801</v>
      </c>
      <c r="AC51" s="8">
        <v>2.7893646620324501</v>
      </c>
    </row>
    <row r="52">
      <c r="A52" s="9" t="s">
        <v>64</v>
      </c>
      <c r="B52" s="10" t="s">
        <v>11</v>
      </c>
      <c r="C52" s="10" t="s">
        <v>45</v>
      </c>
      <c r="D52" s="10" t="s">
        <v>13</v>
      </c>
      <c r="E52" s="10">
        <v>-3043790.5920000002</v>
      </c>
      <c r="F52" s="10">
        <v>4044233.3280000002</v>
      </c>
      <c r="G52" s="10">
        <v>3867920.0329999998</v>
      </c>
      <c r="H52" s="10">
        <v>-3043790.1148000001</v>
      </c>
      <c r="I52" s="10">
        <v>4044233.4495999999</v>
      </c>
      <c r="J52" s="10">
        <v>3867921.0975000001</v>
      </c>
      <c r="K52" s="10">
        <v>0</v>
      </c>
      <c r="L52" s="10">
        <v>0</v>
      </c>
      <c r="M52" s="10">
        <v>0</v>
      </c>
      <c r="N52" s="25">
        <v>-0.45440218930552001</v>
      </c>
      <c r="O52" s="11">
        <v>0.95944842518615803</v>
      </c>
      <c r="P52" s="11">
        <v>0.49864217712895398</v>
      </c>
      <c r="Q52" s="12">
        <v>1.17288816647187</v>
      </c>
      <c r="R52" s="25" t="s">
        <v>249</v>
      </c>
      <c r="S52" s="11" t="s">
        <v>249</v>
      </c>
      <c r="T52" s="11" t="s">
        <v>249</v>
      </c>
      <c r="U52" s="12" t="s">
        <v>249</v>
      </c>
      <c r="W52" s="13">
        <v>37.571416669999998</v>
      </c>
      <c r="X52" s="13">
        <v>126.96602778</v>
      </c>
      <c r="Y52" s="13">
        <v>116.383</v>
      </c>
      <c r="Z52" s="8">
        <v>-0.37640335250135898</v>
      </c>
      <c r="AA52" s="8">
        <v>0.41033131874829398</v>
      </c>
      <c r="AB52" s="8">
        <v>0.49795902118504298</v>
      </c>
      <c r="AC52" s="8">
        <v>0.74700365574710703</v>
      </c>
    </row>
    <row r="53">
      <c r="A53" s="9" t="s">
        <v>65</v>
      </c>
      <c r="B53" s="10" t="s">
        <v>11</v>
      </c>
      <c r="C53" s="10" t="s">
        <v>45</v>
      </c>
      <c r="D53" s="10" t="s">
        <v>13</v>
      </c>
      <c r="E53" s="10">
        <v>-3057267.1949999998</v>
      </c>
      <c r="F53" s="10">
        <v>4059274.7220000001</v>
      </c>
      <c r="G53" s="10">
        <v>3841546.8640000001</v>
      </c>
      <c r="H53" s="10">
        <v>-3057692.1721000001</v>
      </c>
      <c r="I53" s="10">
        <v>4060217.6198999998</v>
      </c>
      <c r="J53" s="10">
        <v>3840213.2721000002</v>
      </c>
      <c r="K53" s="10">
        <v>0</v>
      </c>
      <c r="L53" s="10">
        <v>0</v>
      </c>
      <c r="M53" s="10">
        <v>0</v>
      </c>
      <c r="N53" s="25">
        <v>-227.79215996554001</v>
      </c>
      <c r="O53" s="11">
        <v>-1672.1892126999901</v>
      </c>
      <c r="P53" s="11">
        <v>-4.8280309841775297</v>
      </c>
      <c r="Q53" s="12">
        <v>1687.64016931785</v>
      </c>
      <c r="R53" s="25" t="s">
        <v>249</v>
      </c>
      <c r="S53" s="11" t="s">
        <v>249</v>
      </c>
      <c r="T53" s="11" t="s">
        <v>249</v>
      </c>
      <c r="U53" s="12" t="s">
        <v>249</v>
      </c>
      <c r="W53" s="13">
        <v>37.272519440000003</v>
      </c>
      <c r="X53" s="13">
        <v>126.98545</v>
      </c>
      <c r="Y53" s="13">
        <v>70.677999999999997</v>
      </c>
      <c r="Z53" s="8">
        <v>-227.659984180284</v>
      </c>
      <c r="AA53" s="8">
        <v>-1672.0164246915101</v>
      </c>
      <c r="AB53" s="8">
        <v>-4.8287649070263097</v>
      </c>
      <c r="AC53" s="8">
        <v>1687.45112812361</v>
      </c>
    </row>
    <row r="54">
      <c r="A54" s="65" t="s">
        <v>66</v>
      </c>
      <c r="B54" s="66" t="s">
        <v>11</v>
      </c>
      <c r="C54" s="66" t="s">
        <v>45</v>
      </c>
      <c r="D54" s="66" t="s">
        <v>15</v>
      </c>
      <c r="E54" s="66">
        <v>-3081372.0010000002</v>
      </c>
      <c r="F54" s="66">
        <v>4046976.0970000001</v>
      </c>
      <c r="G54" s="66">
        <v>3835950.642</v>
      </c>
      <c r="H54" s="66"/>
      <c r="I54" s="66"/>
      <c r="J54" s="66"/>
      <c r="K54" s="66"/>
      <c r="L54" s="66"/>
      <c r="M54" s="66"/>
      <c r="N54" s="67" t="s">
        <v>249</v>
      </c>
      <c r="O54" s="68" t="s">
        <v>249</v>
      </c>
      <c r="P54" s="68" t="s">
        <v>249</v>
      </c>
      <c r="Q54" s="69" t="s">
        <v>249</v>
      </c>
      <c r="R54" s="67" t="s">
        <v>249</v>
      </c>
      <c r="S54" s="68" t="s">
        <v>249</v>
      </c>
      <c r="T54" s="68" t="s">
        <v>249</v>
      </c>
      <c r="U54" s="69" t="s">
        <v>249</v>
      </c>
      <c r="W54" s="13"/>
      <c r="X54" s="13"/>
      <c r="Y54" s="13"/>
      <c r="Z54" s="8" t="s">
        <v>249</v>
      </c>
      <c r="AA54" s="8" t="s">
        <v>249</v>
      </c>
      <c r="AB54" s="8" t="s">
        <v>249</v>
      </c>
      <c r="AC54" s="8" t="s">
        <v>249</v>
      </c>
    </row>
    <row r="55">
      <c r="A55" s="9" t="s">
        <v>67</v>
      </c>
      <c r="B55" s="10" t="s">
        <v>11</v>
      </c>
      <c r="C55" s="10" t="s">
        <v>45</v>
      </c>
      <c r="D55" s="10" t="s">
        <v>13</v>
      </c>
      <c r="E55" s="10">
        <v>-3084348.1510000001</v>
      </c>
      <c r="F55" s="10">
        <v>4020409.03</v>
      </c>
      <c r="G55" s="10">
        <v>3860599.963</v>
      </c>
      <c r="H55" s="10">
        <v>-3084350.5317000002</v>
      </c>
      <c r="I55" s="10">
        <v>4020410.0751</v>
      </c>
      <c r="J55" s="10">
        <v>3860602.6168</v>
      </c>
      <c r="K55" s="10">
        <v>0</v>
      </c>
      <c r="L55" s="10">
        <v>0</v>
      </c>
      <c r="M55" s="10">
        <v>0</v>
      </c>
      <c r="N55" s="25">
        <v>1.25274096018493</v>
      </c>
      <c r="O55" s="11">
        <v>0.71915033051059196</v>
      </c>
      <c r="P55" s="11">
        <v>3.4228765434623201</v>
      </c>
      <c r="Q55" s="12">
        <v>3.7151878745203599</v>
      </c>
      <c r="R55" s="25" t="s">
        <v>249</v>
      </c>
      <c r="S55" s="11" t="s">
        <v>249</v>
      </c>
      <c r="T55" s="11" t="s">
        <v>249</v>
      </c>
      <c r="U55" s="12" t="s">
        <v>249</v>
      </c>
      <c r="W55" s="13">
        <v>37.488555560000002</v>
      </c>
      <c r="X55" s="13">
        <v>127.49444444</v>
      </c>
      <c r="Y55" s="13">
        <v>73.581000000000003</v>
      </c>
      <c r="Z55" s="8">
        <v>0.54822619578563103</v>
      </c>
      <c r="AA55" s="8">
        <v>-0.71271807711836999</v>
      </c>
      <c r="AB55" s="8">
        <v>3.4229906092328899</v>
      </c>
      <c r="AC55" s="8">
        <v>3.5391218868659302</v>
      </c>
    </row>
    <row r="56" ht="16" thickBot="true">
      <c r="A56" s="60" t="s">
        <v>68</v>
      </c>
      <c r="B56" s="61" t="s">
        <v>11</v>
      </c>
      <c r="C56" s="61" t="s">
        <v>45</v>
      </c>
      <c r="D56" s="61" t="s">
        <v>13</v>
      </c>
      <c r="E56" s="61">
        <v>-2950144.585</v>
      </c>
      <c r="F56" s="61">
        <v>4105207.3730000001</v>
      </c>
      <c r="G56" s="61">
        <v>3876047.713</v>
      </c>
      <c r="H56" s="61">
        <v>-2950144.2995000002</v>
      </c>
      <c r="I56" s="61">
        <v>4105199.7340000002</v>
      </c>
      <c r="J56" s="61">
        <v>3876069.3568000002</v>
      </c>
      <c r="K56" s="61">
        <v>0</v>
      </c>
      <c r="L56" s="61">
        <v>0</v>
      </c>
      <c r="M56" s="61">
        <v>0</v>
      </c>
      <c r="N56" s="62">
        <v>4.2260812118994799</v>
      </c>
      <c r="O56" s="63">
        <v>21.025555887866801</v>
      </c>
      <c r="P56" s="63">
        <v>8.1826735781940698</v>
      </c>
      <c r="Q56" s="64">
        <v>22.9540826366608</v>
      </c>
      <c r="R56" s="62" t="s">
        <v>249</v>
      </c>
      <c r="S56" s="63" t="s">
        <v>249</v>
      </c>
      <c r="T56" s="63" t="s">
        <v>249</v>
      </c>
      <c r="U56" s="64" t="s">
        <v>249</v>
      </c>
      <c r="W56" s="13">
        <v>37.66443056</v>
      </c>
      <c r="X56" s="13">
        <v>125.70233888999999</v>
      </c>
      <c r="Y56" s="13">
        <v>35.03</v>
      </c>
      <c r="Z56" s="8">
        <v>3.9980332266440501</v>
      </c>
      <c r="AA56" s="8">
        <v>20.4442877789552</v>
      </c>
      <c r="AB56" s="8">
        <v>8.1829726846255699</v>
      </c>
      <c r="AC56" s="8">
        <v>22.381112895193901</v>
      </c>
    </row>
    <row r="57">
      <c r="A57" s="26" t="s">
        <v>69</v>
      </c>
      <c r="B57" s="27" t="s">
        <v>11</v>
      </c>
      <c r="C57" s="27" t="s">
        <v>70</v>
      </c>
      <c r="D57" s="27" t="s">
        <v>15</v>
      </c>
      <c r="E57" s="27">
        <v>-3020236.8569999998</v>
      </c>
      <c r="F57" s="27">
        <v>4136468.6159999999</v>
      </c>
      <c r="G57" s="27">
        <v>3788431.9879999999</v>
      </c>
      <c r="H57" s="27">
        <v>-3020236.8572999998</v>
      </c>
      <c r="I57" s="27">
        <v>4136468.6150000002</v>
      </c>
      <c r="J57" s="27">
        <v>3788431.9879999999</v>
      </c>
      <c r="K57" s="27">
        <v>0</v>
      </c>
      <c r="L57" s="27">
        <v>0</v>
      </c>
      <c r="M57" s="27">
        <v>0</v>
      </c>
      <c r="N57" s="28">
        <v>8.31976860580262E-4</v>
      </c>
      <c r="O57" s="29">
        <v>3.76703208535236E-4</v>
      </c>
      <c r="P57" s="29">
        <v>-5.0587139218808796E-4</v>
      </c>
      <c r="Q57" s="30">
        <v>1.044029055772E-3</v>
      </c>
      <c r="R57" s="28">
        <v>8.3197686058026298E-4</v>
      </c>
      <c r="S57" s="29">
        <v>4.56908480627632E-4</v>
      </c>
      <c r="T57" s="29">
        <v>-4.4614557292805499E-4</v>
      </c>
      <c r="U57" s="30">
        <f t="shared" si="0"/>
        <v>1.0488072885205099E-3</v>
      </c>
      <c r="W57" s="13">
        <v>36.673655310000001</v>
      </c>
      <c r="X57" s="13">
        <v>126.13499883</v>
      </c>
      <c r="Y57" s="13">
        <v>40.35</v>
      </c>
      <c r="Z57" s="8">
        <v>3.0182049417870101E-4</v>
      </c>
      <c r="AA57" s="8">
        <v>-5.6146541458171296E-4</v>
      </c>
      <c r="AB57" s="8">
        <v>2.1663382582766E-5</v>
      </c>
      <c r="AC57" s="8">
        <v>6.3781527468587498E-4</v>
      </c>
    </row>
    <row r="58">
      <c r="A58" s="31" t="s">
        <v>71</v>
      </c>
      <c r="B58" s="32" t="s">
        <v>11</v>
      </c>
      <c r="C58" s="32" t="s">
        <v>70</v>
      </c>
      <c r="D58" s="32" t="s">
        <v>15</v>
      </c>
      <c r="E58" s="32">
        <v>-3123433.2609999999</v>
      </c>
      <c r="F58" s="32">
        <v>4033298.1869999999</v>
      </c>
      <c r="G58" s="32">
        <v>3815900.7590000001</v>
      </c>
      <c r="H58" s="32">
        <v>-3123433.2606000002</v>
      </c>
      <c r="I58" s="32">
        <v>4033298.1866000001</v>
      </c>
      <c r="J58" s="32">
        <v>3815900.7593999999</v>
      </c>
      <c r="K58" s="32">
        <v>0</v>
      </c>
      <c r="L58" s="32">
        <v>0</v>
      </c>
      <c r="M58" s="32">
        <v>0</v>
      </c>
      <c r="N58" s="33">
        <v>-7.1342984798385305E-5</v>
      </c>
      <c r="O58" s="34">
        <v>6.5710808500242101E-4</v>
      </c>
      <c r="P58" s="34">
        <v>-2.0764846470006299E-4</v>
      </c>
      <c r="Q58" s="35">
        <v>6.92819414961637E-4</v>
      </c>
      <c r="R58" s="33">
        <v>-7.1342984798385305E-5</v>
      </c>
      <c r="S58" s="34">
        <v>6.5710808500242101E-4</v>
      </c>
      <c r="T58" s="34">
        <v>-2.0764846470006299E-4</v>
      </c>
      <c r="U58" s="35">
        <f t="shared" si="0"/>
        <v>6.9281941496163689E-4</v>
      </c>
      <c r="W58" s="13">
        <v>36.982137420000001</v>
      </c>
      <c r="X58" s="13">
        <v>127.75461919</v>
      </c>
      <c r="Y58" s="13">
        <v>151.19800000000001</v>
      </c>
      <c r="Z58" s="8">
        <v>3.5199118546801102E-4</v>
      </c>
      <c r="AA58" s="8">
        <v>-3.4189779448721199E-4</v>
      </c>
      <c r="AB58" s="8">
        <v>2.8750039907829199E-5</v>
      </c>
      <c r="AC58" s="8">
        <v>4.9154700824752999E-4</v>
      </c>
    </row>
    <row r="59">
      <c r="A59" s="31" t="s">
        <v>72</v>
      </c>
      <c r="B59" s="32" t="s">
        <v>11</v>
      </c>
      <c r="C59" s="32" t="s">
        <v>70</v>
      </c>
      <c r="D59" s="32" t="s">
        <v>15</v>
      </c>
      <c r="E59" s="32">
        <v>-3078831.3760000002</v>
      </c>
      <c r="F59" s="32">
        <v>3981392.55</v>
      </c>
      <c r="G59" s="32">
        <v>3905083.34</v>
      </c>
      <c r="H59" s="32">
        <v>-3078831.3760000002</v>
      </c>
      <c r="I59" s="32">
        <v>3981392.5499</v>
      </c>
      <c r="J59" s="32">
        <v>3905083.34</v>
      </c>
      <c r="K59" s="32">
        <v>0</v>
      </c>
      <c r="L59" s="32">
        <v>0</v>
      </c>
      <c r="M59" s="32">
        <v>0</v>
      </c>
      <c r="N59" s="33">
        <v>6.1172778993212699E-5</v>
      </c>
      <c r="O59" s="34">
        <v>4.8695086799935499E-5</v>
      </c>
      <c r="P59" s="34">
        <v>-6.2340727168630502E-5</v>
      </c>
      <c r="Q59" s="35">
        <v>9.9998433148321505E-5</v>
      </c>
      <c r="R59" s="33">
        <v>-4.8621432016613998E-10</v>
      </c>
      <c r="S59" s="34">
        <v>-1.5895893476584699E-9</v>
      </c>
      <c r="T59" s="34">
        <v>5.2207990158164004E-10</v>
      </c>
      <c r="U59" s="35">
        <f t="shared" si="0"/>
        <v>1.7423449953896606E-9</v>
      </c>
      <c r="W59" s="13">
        <v>37.994494809999999</v>
      </c>
      <c r="X59" s="13">
        <v>127.71496596999999</v>
      </c>
      <c r="Y59" s="13">
        <v>196.41300000000001</v>
      </c>
      <c r="Z59" s="8">
        <v>2.1789715404445299E-4</v>
      </c>
      <c r="AA59" s="8">
        <v>-4.7560756122205799E-4</v>
      </c>
      <c r="AB59" s="8">
        <v>4.00288335519161E-6</v>
      </c>
      <c r="AC59" s="8">
        <v>5.2316129932117599E-4</v>
      </c>
    </row>
    <row r="60">
      <c r="A60" s="31" t="s">
        <v>73</v>
      </c>
      <c r="B60" s="32" t="s">
        <v>11</v>
      </c>
      <c r="C60" s="32" t="s">
        <v>70</v>
      </c>
      <c r="D60" s="32" t="s">
        <v>15</v>
      </c>
      <c r="E60" s="32">
        <v>-3152604.5819999999</v>
      </c>
      <c r="F60" s="32">
        <v>4244559.5369999995</v>
      </c>
      <c r="G60" s="32">
        <v>3555538.7259999998</v>
      </c>
      <c r="H60" s="32">
        <v>-3152604.5811999999</v>
      </c>
      <c r="I60" s="32">
        <v>4244559.5376000004</v>
      </c>
      <c r="J60" s="32">
        <v>3555538.7264999999</v>
      </c>
      <c r="K60" s="32">
        <v>0</v>
      </c>
      <c r="L60" s="32">
        <v>0</v>
      </c>
      <c r="M60" s="32">
        <v>0</v>
      </c>
      <c r="N60" s="33">
        <v>-9.9998836076504506E-4</v>
      </c>
      <c r="O60" s="34">
        <v>4.1142475759151401E-4</v>
      </c>
      <c r="P60" s="34">
        <v>2.8416725471392703E-4</v>
      </c>
      <c r="Q60" s="35">
        <v>1.1180331307600001E-3</v>
      </c>
      <c r="R60" s="33">
        <v>-9.9998836076504506E-4</v>
      </c>
      <c r="S60" s="34">
        <v>4.9423284397303701E-4</v>
      </c>
      <c r="T60" s="34">
        <v>3.4022864951933402E-4</v>
      </c>
      <c r="U60" s="35">
        <f t="shared" si="0"/>
        <v>1.1661896756878737E-3</v>
      </c>
      <c r="W60" s="13">
        <v>34.098152249999998</v>
      </c>
      <c r="X60" s="13">
        <v>126.60275325000001</v>
      </c>
      <c r="Y60" s="13">
        <v>127.261</v>
      </c>
      <c r="Z60" s="8">
        <v>1.5464952076683001E-5</v>
      </c>
      <c r="AA60" s="8">
        <v>-3.4171142969827697E-5</v>
      </c>
      <c r="AB60" s="8">
        <v>4.0157651030937603E-5</v>
      </c>
      <c r="AC60" s="8">
        <v>5.4949692364207801E-5</v>
      </c>
    </row>
    <row r="61">
      <c r="A61" s="31" t="s">
        <v>74</v>
      </c>
      <c r="B61" s="32" t="s">
        <v>11</v>
      </c>
      <c r="C61" s="32" t="s">
        <v>70</v>
      </c>
      <c r="D61" s="32" t="s">
        <v>15</v>
      </c>
      <c r="E61" s="32">
        <v>-3393317.0860000001</v>
      </c>
      <c r="F61" s="32">
        <v>3785917.142</v>
      </c>
      <c r="G61" s="32">
        <v>3838651.9369999999</v>
      </c>
      <c r="H61" s="32">
        <v>-3393317.0861</v>
      </c>
      <c r="I61" s="32">
        <v>3785917.1412</v>
      </c>
      <c r="J61" s="32">
        <v>3838651.9374000002</v>
      </c>
      <c r="K61" s="32">
        <v>0</v>
      </c>
      <c r="L61" s="32">
        <v>0</v>
      </c>
      <c r="M61" s="32">
        <v>0</v>
      </c>
      <c r="N61" s="33">
        <v>6.0841737063639504E-4</v>
      </c>
      <c r="O61" s="34">
        <v>6.3855916172514599E-4</v>
      </c>
      <c r="P61" s="34">
        <v>-1.79075219966204E-4</v>
      </c>
      <c r="Q61" s="35">
        <v>8.9999857462174304E-4</v>
      </c>
      <c r="R61" s="33">
        <v>6.8288350873380195E-4</v>
      </c>
      <c r="S61" s="34">
        <v>6.7778066668266199E-4</v>
      </c>
      <c r="T61" s="34">
        <v>-6.5424879551015695E-5</v>
      </c>
      <c r="U61" s="35">
        <f t="shared" si="0"/>
        <v>9.6436348618850513E-4</v>
      </c>
      <c r="W61" s="13">
        <v>37.239324529999998</v>
      </c>
      <c r="X61" s="13">
        <v>131.86986906000001</v>
      </c>
      <c r="Y61" s="13">
        <v>132.68899999999999</v>
      </c>
      <c r="Z61" s="8">
        <v>-4.1208873283464699E-4</v>
      </c>
      <c r="AA61" s="8">
        <v>-2.6506785254636598E-4</v>
      </c>
      <c r="AB61" s="8">
        <v>-2.0192125220940001E-5</v>
      </c>
      <c r="AC61" s="8">
        <v>4.9039352779553004E-4</v>
      </c>
    </row>
    <row r="62">
      <c r="A62" s="14" t="s">
        <v>75</v>
      </c>
      <c r="B62" s="15" t="s">
        <v>11</v>
      </c>
      <c r="C62" s="15" t="s">
        <v>70</v>
      </c>
      <c r="D62" s="15" t="s">
        <v>15</v>
      </c>
      <c r="E62" s="15">
        <v>-3161258.9810000001</v>
      </c>
      <c r="F62" s="15">
        <v>3974731.0380000002</v>
      </c>
      <c r="G62" s="15">
        <v>3846954.26</v>
      </c>
      <c r="H62" s="15">
        <v>-3161262.2859999998</v>
      </c>
      <c r="I62" s="15">
        <v>3974730.0496</v>
      </c>
      <c r="J62" s="15">
        <v>3846952.8094000001</v>
      </c>
      <c r="K62" s="15">
        <v>0</v>
      </c>
      <c r="L62" s="15">
        <v>0</v>
      </c>
      <c r="M62" s="15">
        <v>0</v>
      </c>
      <c r="N62" s="24">
        <v>3.2018895602867499</v>
      </c>
      <c r="O62" s="16">
        <v>-1.9318868380701</v>
      </c>
      <c r="P62" s="16">
        <v>0.14112552635072401</v>
      </c>
      <c r="Q62" s="17">
        <v>3.74221858334993</v>
      </c>
      <c r="R62" s="24">
        <v>3.2019678250255899</v>
      </c>
      <c r="S62" s="16">
        <v>-1.93184506711118</v>
      </c>
      <c r="T62" s="16">
        <v>0.14123566191640299</v>
      </c>
      <c r="U62" s="17">
        <f t="shared" si="0"/>
        <v>3.7422681395135049</v>
      </c>
      <c r="W62" s="18">
        <v>37.328766330000001</v>
      </c>
      <c r="X62" s="18">
        <v>128.49660208</v>
      </c>
      <c r="Y62" s="18">
        <v>799.26499999999999</v>
      </c>
      <c r="Z62" s="16">
        <v>3.2035378543122102</v>
      </c>
      <c r="AA62" s="16">
        <v>-1.9328062540014199</v>
      </c>
      <c r="AB62" s="16">
        <v>0.14101210506723399</v>
      </c>
      <c r="AC62" s="16">
        <v>3.7440992525965102</v>
      </c>
    </row>
    <row r="63">
      <c r="A63" s="31" t="s">
        <v>76</v>
      </c>
      <c r="B63" s="32" t="s">
        <v>11</v>
      </c>
      <c r="C63" s="32" t="s">
        <v>70</v>
      </c>
      <c r="D63" s="32" t="s">
        <v>15</v>
      </c>
      <c r="E63" s="32">
        <v>-3029436.9909999999</v>
      </c>
      <c r="F63" s="32">
        <v>4174489.8650000002</v>
      </c>
      <c r="G63" s="32">
        <v>3739474.67</v>
      </c>
      <c r="H63" s="32">
        <v>-3029436.9901999999</v>
      </c>
      <c r="I63" s="32">
        <v>4174489.8645000001</v>
      </c>
      <c r="J63" s="32">
        <v>3739474.6705</v>
      </c>
      <c r="K63" s="32">
        <v>0.20469999999999999</v>
      </c>
      <c r="L63" s="32">
        <v>0</v>
      </c>
      <c r="M63" s="32">
        <v>0</v>
      </c>
      <c r="N63" s="33">
        <v>-3.5380175036715898E-4</v>
      </c>
      <c r="O63" s="34">
        <v>9.1945313534232099E-4</v>
      </c>
      <c r="P63" s="34">
        <v>-4.11618431314677E-4</v>
      </c>
      <c r="Q63" s="35">
        <v>1.067707581528E-3</v>
      </c>
      <c r="R63" s="33">
        <v>-4.1253565956606898E-4</v>
      </c>
      <c r="S63" s="34">
        <v>8.7173842177231298E-4</v>
      </c>
      <c r="T63" s="34">
        <v>-3.4624565376524503E-4</v>
      </c>
      <c r="U63" s="35">
        <f t="shared" si="0"/>
        <v>1.0246948810055687E-3</v>
      </c>
      <c r="W63" s="13">
        <v>36.125204889999999</v>
      </c>
      <c r="X63" s="13">
        <v>125.96847922000001</v>
      </c>
      <c r="Y63" s="13">
        <v>88.968000000000004</v>
      </c>
      <c r="Z63" s="8">
        <v>2.3838375473755899E-4</v>
      </c>
      <c r="AA63" s="8">
        <v>-1.13169186900806E-4</v>
      </c>
      <c r="AB63" s="8">
        <v>-0.20469456188072699</v>
      </c>
      <c r="AC63" s="8">
        <v>0.20469473197330301</v>
      </c>
    </row>
    <row r="64">
      <c r="A64" s="14" t="s">
        <v>77</v>
      </c>
      <c r="B64" s="15" t="s">
        <v>11</v>
      </c>
      <c r="C64" s="15" t="s">
        <v>70</v>
      </c>
      <c r="D64" s="15" t="s">
        <v>15</v>
      </c>
      <c r="E64" s="15">
        <v>-304228.41200000001</v>
      </c>
      <c r="F64" s="15">
        <v>4325981.2929999996</v>
      </c>
      <c r="G64" s="15">
        <v>3555224.2250000001</v>
      </c>
      <c r="H64" s="15">
        <v>-3040228.4117000001</v>
      </c>
      <c r="I64" s="15">
        <v>4325981.2933999998</v>
      </c>
      <c r="J64" s="15">
        <v>3555224.2253999999</v>
      </c>
      <c r="K64" s="15">
        <v>0</v>
      </c>
      <c r="L64" s="15">
        <v>0</v>
      </c>
      <c r="M64" s="15">
        <v>0</v>
      </c>
      <c r="N64" s="24">
        <v>2729259.2363684298</v>
      </c>
      <c r="O64" s="16">
        <v>-122241.28716557899</v>
      </c>
      <c r="P64" s="16">
        <v>147976.642643692</v>
      </c>
      <c r="Q64" s="17">
        <v>2735999.9997</v>
      </c>
      <c r="R64" s="24">
        <v>2729259.2363614198</v>
      </c>
      <c r="S64" s="16">
        <v>-122241.287152014</v>
      </c>
      <c r="T64" s="16">
        <v>147976.64278428699</v>
      </c>
      <c r="U64" s="17">
        <f t="shared" si="0"/>
        <v>2735999.9997000019</v>
      </c>
      <c r="W64" s="19">
        <v>34.094895610000002</v>
      </c>
      <c r="X64" s="19">
        <v>125.09891694</v>
      </c>
      <c r="Y64" s="19">
        <v>99.87</v>
      </c>
      <c r="Z64" s="11">
        <v>4.2170378486169901E-4</v>
      </c>
      <c r="AA64" s="11">
        <v>1.07299936416159E-4</v>
      </c>
      <c r="AB64" s="11">
        <v>1.1603050489278999E-5</v>
      </c>
      <c r="AC64" s="11">
        <v>4.3529528977723897E-4</v>
      </c>
    </row>
    <row r="65">
      <c r="A65" s="31" t="s">
        <v>78</v>
      </c>
      <c r="B65" s="32" t="s">
        <v>11</v>
      </c>
      <c r="C65" s="32" t="s">
        <v>70</v>
      </c>
      <c r="D65" s="32" t="s">
        <v>15</v>
      </c>
      <c r="E65" s="32">
        <v>-3097626.9890000001</v>
      </c>
      <c r="F65" s="32">
        <v>4256824.4840000002</v>
      </c>
      <c r="G65" s="32">
        <v>3588741.4350000001</v>
      </c>
      <c r="H65" s="32">
        <v>-3097626.9901000001</v>
      </c>
      <c r="I65" s="32">
        <v>4256824.4844000004</v>
      </c>
      <c r="J65" s="32">
        <v>3588741.4341000002</v>
      </c>
      <c r="K65" s="32">
        <v>0</v>
      </c>
      <c r="L65" s="32">
        <v>0</v>
      </c>
      <c r="M65" s="32">
        <v>0</v>
      </c>
      <c r="N65" s="33">
        <v>6.5407983032576096E-4</v>
      </c>
      <c r="O65" s="34">
        <v>-1.291302154932E-3</v>
      </c>
      <c r="P65" s="34">
        <v>2.9106915233146702E-4</v>
      </c>
      <c r="Q65" s="35">
        <v>1.4764832986559999E-3</v>
      </c>
      <c r="R65" s="33">
        <v>7.3493744463442895E-4</v>
      </c>
      <c r="S65" s="34">
        <v>-1.3245955447670199E-3</v>
      </c>
      <c r="T65" s="34">
        <v>3.3958268062013198E-4</v>
      </c>
      <c r="U65" s="35">
        <f t="shared" si="0"/>
        <v>1.5524183719988556E-3</v>
      </c>
      <c r="W65" s="13">
        <v>34.460649250000003</v>
      </c>
      <c r="X65" s="13">
        <v>126.04281714</v>
      </c>
      <c r="Y65" s="13">
        <v>84.539000000000001</v>
      </c>
      <c r="Z65" s="8">
        <v>-1.3483253427983799E-4</v>
      </c>
      <c r="AA65" s="8">
        <v>1.3288995674137901E-5</v>
      </c>
      <c r="AB65" s="8">
        <v>4.8194809948992498E-5</v>
      </c>
      <c r="AC65" s="8">
        <v>1.4380246664216301E-4</v>
      </c>
    </row>
    <row r="66">
      <c r="A66" s="31" t="s">
        <v>79</v>
      </c>
      <c r="B66" s="32" t="s">
        <v>11</v>
      </c>
      <c r="C66" s="32" t="s">
        <v>70</v>
      </c>
      <c r="D66" s="32" t="s">
        <v>15</v>
      </c>
      <c r="E66" s="32">
        <v>-3209052.409</v>
      </c>
      <c r="F66" s="32">
        <v>4209084.0669999998</v>
      </c>
      <c r="G66" s="32">
        <v>3547202.1809999999</v>
      </c>
      <c r="H66" s="32">
        <v>-3209052.4098999999</v>
      </c>
      <c r="I66" s="32">
        <v>4209084.0678000003</v>
      </c>
      <c r="J66" s="32">
        <v>3547202.179</v>
      </c>
      <c r="K66" s="32">
        <v>8.5000000000000006E-2</v>
      </c>
      <c r="L66" s="32">
        <v>0</v>
      </c>
      <c r="M66" s="32">
        <v>0</v>
      </c>
      <c r="N66" s="33">
        <v>2.30674478784143E-4</v>
      </c>
      <c r="O66" s="34">
        <v>-2.3189446299510001E-3</v>
      </c>
      <c r="P66" s="34">
        <v>-1.3888959861720499E-4</v>
      </c>
      <c r="Q66" s="35">
        <v>2.3345246266740002E-3</v>
      </c>
      <c r="R66" s="33">
        <v>1.7004478670637401E-4</v>
      </c>
      <c r="S66" s="34">
        <v>-2.2805262999034599E-3</v>
      </c>
      <c r="T66" s="34">
        <v>-1.70372108454935E-5</v>
      </c>
      <c r="U66" s="35">
        <f t="shared" si="0"/>
        <v>2.2869205715526668E-3</v>
      </c>
      <c r="W66" s="13">
        <v>34.007636890000001</v>
      </c>
      <c r="X66" s="13">
        <v>127.32229936</v>
      </c>
      <c r="Y66" s="13">
        <v>95.418000000000006</v>
      </c>
      <c r="Z66" s="8">
        <v>1.9611463792689999E-3</v>
      </c>
      <c r="AA66" s="8">
        <v>-1.4994618902779499E-4</v>
      </c>
      <c r="AB66" s="8">
        <v>-8.6018335107850993E-2</v>
      </c>
      <c r="AC66" s="8">
        <v>8.6040819113413006E-2</v>
      </c>
    </row>
    <row r="67">
      <c r="A67" s="14" t="s">
        <v>80</v>
      </c>
      <c r="B67" s="15" t="s">
        <v>11</v>
      </c>
      <c r="C67" s="15" t="s">
        <v>70</v>
      </c>
      <c r="D67" s="15" t="s">
        <v>15</v>
      </c>
      <c r="E67" s="15">
        <v>-3025924.946</v>
      </c>
      <c r="F67" s="15">
        <v>428817.01799999998</v>
      </c>
      <c r="G67" s="15">
        <v>3611645.0389999999</v>
      </c>
      <c r="H67" s="15">
        <v>-3025924.9449</v>
      </c>
      <c r="I67" s="15">
        <v>4288817.0177999996</v>
      </c>
      <c r="J67" s="15">
        <v>3611645.0408000001</v>
      </c>
      <c r="K67" s="15">
        <v>0</v>
      </c>
      <c r="L67" s="15">
        <v>0</v>
      </c>
      <c r="M67" s="15">
        <v>0</v>
      </c>
      <c r="N67" s="24">
        <v>-3821814.09873184</v>
      </c>
      <c r="O67" s="16">
        <v>-414999.49926144799</v>
      </c>
      <c r="P67" s="16">
        <v>348012.08140410599</v>
      </c>
      <c r="Q67" s="17">
        <v>3859999.9997999999</v>
      </c>
      <c r="R67" s="24">
        <v>-3821814.0988308601</v>
      </c>
      <c r="S67" s="16">
        <v>-414999.499272199</v>
      </c>
      <c r="T67" s="16">
        <v>348012.08141312201</v>
      </c>
      <c r="U67" s="17">
        <f t="shared" si="0"/>
        <v>3859999.9999000011</v>
      </c>
      <c r="W67" s="19">
        <v>34.71125722</v>
      </c>
      <c r="X67" s="19">
        <v>125.20443628</v>
      </c>
      <c r="Y67" s="19">
        <v>112.08499999999999</v>
      </c>
      <c r="Z67" s="11">
        <v>-2.05353387473903E-4</v>
      </c>
      <c r="AA67" s="11">
        <v>2.81405160900298E-4</v>
      </c>
      <c r="AB67" s="11">
        <v>3.2219643559315699E-5</v>
      </c>
      <c r="AC67" s="11">
        <v>3.49852802989228E-4</v>
      </c>
    </row>
    <row r="68">
      <c r="A68" s="14" t="s">
        <v>81</v>
      </c>
      <c r="B68" s="15" t="s">
        <v>11</v>
      </c>
      <c r="C68" s="15" t="s">
        <v>70</v>
      </c>
      <c r="D68" s="15" t="s">
        <v>15</v>
      </c>
      <c r="E68" s="15">
        <v>-3287391.3709999998</v>
      </c>
      <c r="F68" s="15">
        <v>3978484.96</v>
      </c>
      <c r="G68" s="15">
        <v>3735216.0589999999</v>
      </c>
      <c r="H68" s="15">
        <v>-3287391.37</v>
      </c>
      <c r="I68" s="15">
        <v>3978484.6002000002</v>
      </c>
      <c r="J68" s="15">
        <v>3735219.1260000002</v>
      </c>
      <c r="K68" s="15">
        <v>0</v>
      </c>
      <c r="L68" s="15">
        <v>0</v>
      </c>
      <c r="M68" s="15">
        <v>0</v>
      </c>
      <c r="N68" s="24">
        <v>0.228412907500049</v>
      </c>
      <c r="O68" s="16">
        <v>2.6425090064752399</v>
      </c>
      <c r="P68" s="16">
        <v>1.5814296483480801</v>
      </c>
      <c r="Q68" s="17">
        <v>3.08803271328037</v>
      </c>
      <c r="R68" s="24">
        <v>0.228412907500049</v>
      </c>
      <c r="S68" s="16">
        <v>2.6425898279218401</v>
      </c>
      <c r="T68" s="16">
        <v>1.5814885368851299</v>
      </c>
      <c r="U68" s="17">
        <f t="shared" ref="U68:U131" si="1">SQRT(R68^2+S68^2+T68^2)</f>
        <v>3.0881320320296659</v>
      </c>
      <c r="W68" s="13">
        <v>36.078011140000001</v>
      </c>
      <c r="X68" s="13">
        <v>129.56668550000001</v>
      </c>
      <c r="Y68" s="13">
        <v>42.32</v>
      </c>
      <c r="Z68" s="8">
        <v>-2.12677130971031</v>
      </c>
      <c r="AA68" s="8">
        <v>3.7879790915127698</v>
      </c>
      <c r="AB68" s="8">
        <v>9.0002185248030005E-3</v>
      </c>
      <c r="AC68" s="8">
        <v>4.3441941491464604</v>
      </c>
    </row>
    <row r="69">
      <c r="A69" s="31" t="s">
        <v>82</v>
      </c>
      <c r="B69" s="32" t="s">
        <v>11</v>
      </c>
      <c r="C69" s="32" t="s">
        <v>70</v>
      </c>
      <c r="D69" s="32" t="s">
        <v>15</v>
      </c>
      <c r="E69" s="32">
        <v>-3102607.9580000001</v>
      </c>
      <c r="F69" s="32">
        <v>3989929.8709999998</v>
      </c>
      <c r="G69" s="32">
        <v>3877576.7420000001</v>
      </c>
      <c r="H69" s="32">
        <v>-3102607.9577000001</v>
      </c>
      <c r="I69" s="32">
        <v>3989929.8703999999</v>
      </c>
      <c r="J69" s="32">
        <v>3877576.7433000002</v>
      </c>
      <c r="K69" s="32">
        <v>0</v>
      </c>
      <c r="L69" s="32">
        <v>0</v>
      </c>
      <c r="M69" s="32">
        <v>0</v>
      </c>
      <c r="N69" s="33">
        <v>1.3148911438482601E-4</v>
      </c>
      <c r="O69" s="34">
        <v>1.4309486030970001E-3</v>
      </c>
      <c r="P69" s="34">
        <v>2.7403760454135402E-4</v>
      </c>
      <c r="Q69" s="35">
        <v>1.462873849862E-3</v>
      </c>
      <c r="R69" s="33">
        <v>2.10430633661873E-4</v>
      </c>
      <c r="S69" s="34">
        <v>1.4725682470785599E-3</v>
      </c>
      <c r="T69" s="34">
        <v>3.8374619043983097E-4</v>
      </c>
      <c r="U69" s="35">
        <f t="shared" si="1"/>
        <v>1.5362289648891676E-3</v>
      </c>
      <c r="W69" s="13">
        <v>37.680974169999999</v>
      </c>
      <c r="X69" s="13">
        <v>127.86898094</v>
      </c>
      <c r="Y69" s="13">
        <v>158.05199999999999</v>
      </c>
      <c r="Z69" s="8">
        <v>3.5539185374626399E-4</v>
      </c>
      <c r="AA69" s="8">
        <v>-4.1830731417179598E-4</v>
      </c>
      <c r="AB69" s="8">
        <v>3.0989261470119899E-6</v>
      </c>
      <c r="AC69" s="8">
        <v>5.4890252517372502E-4</v>
      </c>
    </row>
    <row r="70">
      <c r="A70" s="31" t="s">
        <v>83</v>
      </c>
      <c r="B70" s="32" t="s">
        <v>11</v>
      </c>
      <c r="C70" s="32" t="s">
        <v>70</v>
      </c>
      <c r="D70" s="32" t="s">
        <v>15</v>
      </c>
      <c r="E70" s="32">
        <v>-3102269.318</v>
      </c>
      <c r="F70" s="32">
        <v>3914266.0180000002</v>
      </c>
      <c r="G70" s="32">
        <v>3953618.6970000002</v>
      </c>
      <c r="H70" s="32">
        <v>-3102269.3171000001</v>
      </c>
      <c r="I70" s="32">
        <v>3914266.0189999999</v>
      </c>
      <c r="J70" s="32">
        <v>3953618.6968</v>
      </c>
      <c r="K70" s="32">
        <v>0</v>
      </c>
      <c r="L70" s="32">
        <v>0</v>
      </c>
      <c r="M70" s="32">
        <v>0</v>
      </c>
      <c r="N70" s="33">
        <v>-1.3264683494940001E-3</v>
      </c>
      <c r="O70" s="34">
        <v>-2.9644061181495197E-4</v>
      </c>
      <c r="P70" s="34">
        <v>5.10712068475933E-5</v>
      </c>
      <c r="Q70" s="35">
        <v>1.360148369374E-3</v>
      </c>
      <c r="R70" s="33">
        <v>-1.2480977753485799E-3</v>
      </c>
      <c r="S70" s="34">
        <v>-2.5694693262529598E-4</v>
      </c>
      <c r="T70" s="34">
        <v>1.61968611970253E-4</v>
      </c>
      <c r="U70" s="35">
        <f t="shared" si="1"/>
        <v>1.2845246647220103E-3</v>
      </c>
      <c r="W70" s="13">
        <v>38.552077079999997</v>
      </c>
      <c r="X70" s="13">
        <v>128.39874406000001</v>
      </c>
      <c r="Y70" s="13">
        <v>107.128</v>
      </c>
      <c r="Z70" s="8">
        <v>-4.19274688742796E-4</v>
      </c>
      <c r="AA70" s="8">
        <v>3.3939609487278302E-4</v>
      </c>
      <c r="AB70" s="8">
        <v>-4.5413119557962597E-5</v>
      </c>
      <c r="AC70" s="8">
        <v>5.4133476265916095E-4</v>
      </c>
    </row>
    <row r="71">
      <c r="A71" s="31" t="s">
        <v>84</v>
      </c>
      <c r="B71" s="32" t="s">
        <v>11</v>
      </c>
      <c r="C71" s="32" t="s">
        <v>70</v>
      </c>
      <c r="D71" s="32" t="s">
        <v>15</v>
      </c>
      <c r="E71" s="32">
        <v>-3236668.844</v>
      </c>
      <c r="F71" s="32">
        <v>3936353.4</v>
      </c>
      <c r="G71" s="32">
        <v>3822579.0469999998</v>
      </c>
      <c r="H71" s="32">
        <v>-3236668.8377999999</v>
      </c>
      <c r="I71" s="32">
        <v>3936353.3941000002</v>
      </c>
      <c r="J71" s="32">
        <v>3822579.0411999999</v>
      </c>
      <c r="K71" s="32">
        <v>0</v>
      </c>
      <c r="L71" s="32">
        <v>0</v>
      </c>
      <c r="M71" s="32">
        <v>0</v>
      </c>
      <c r="N71" s="33">
        <v>-1.0417728124080001E-3</v>
      </c>
      <c r="O71" s="34">
        <v>4.9073632473476997E-4</v>
      </c>
      <c r="P71" s="34">
        <v>-1.0274429279209E-2</v>
      </c>
      <c r="Q71" s="35">
        <v>1.0338762486224E-2</v>
      </c>
      <c r="R71" s="33">
        <v>-1.02804284836185E-3</v>
      </c>
      <c r="S71" s="34">
        <v>4.8571767788220597E-4</v>
      </c>
      <c r="T71" s="34">
        <v>-1.0101841951714E-2</v>
      </c>
      <c r="U71" s="35">
        <f t="shared" si="1"/>
        <v>1.0165628587455089E-2</v>
      </c>
      <c r="W71" s="13">
        <v>37.05807497</v>
      </c>
      <c r="X71" s="13">
        <v>129.42877139000001</v>
      </c>
      <c r="Y71" s="13">
        <v>67.378</v>
      </c>
      <c r="Z71" s="8">
        <v>-9.70497058302051E-5</v>
      </c>
      <c r="AA71" s="8">
        <v>2.8108079180913899E-4</v>
      </c>
      <c r="AB71" s="8">
        <v>-1.0012318483265999E-2</v>
      </c>
      <c r="AC71" s="8">
        <v>1.0016733323158999E-2</v>
      </c>
    </row>
    <row r="72">
      <c r="A72" s="31" t="s">
        <v>85</v>
      </c>
      <c r="B72" s="32" t="s">
        <v>11</v>
      </c>
      <c r="C72" s="32" t="s">
        <v>70</v>
      </c>
      <c r="D72" s="32" t="s">
        <v>15</v>
      </c>
      <c r="E72" s="32">
        <v>-3160056.1409999998</v>
      </c>
      <c r="F72" s="32">
        <v>3925576.9929999998</v>
      </c>
      <c r="G72" s="32">
        <v>3896541.8650000002</v>
      </c>
      <c r="H72" s="32">
        <v>-3160056.1408000002</v>
      </c>
      <c r="I72" s="32">
        <v>3925576.9929999998</v>
      </c>
      <c r="J72" s="32">
        <v>3896541.8654999998</v>
      </c>
      <c r="K72" s="32">
        <v>0</v>
      </c>
      <c r="L72" s="32">
        <v>0</v>
      </c>
      <c r="M72" s="32">
        <v>0</v>
      </c>
      <c r="N72" s="33">
        <v>-1.5579409289781E-4</v>
      </c>
      <c r="O72" s="34">
        <v>4.7158892726048899E-4</v>
      </c>
      <c r="P72" s="34">
        <v>2.08163917685078E-4</v>
      </c>
      <c r="Q72" s="35">
        <v>5.3851660357184003E-4</v>
      </c>
      <c r="R72" s="33">
        <v>-1.5579409289781E-4</v>
      </c>
      <c r="S72" s="34">
        <v>5.5049989603992203E-4</v>
      </c>
      <c r="T72" s="34">
        <v>2.69589630249027E-4</v>
      </c>
      <c r="U72" s="35">
        <f t="shared" si="1"/>
        <v>6.3245593021144441E-4</v>
      </c>
      <c r="W72" s="13">
        <v>37.897829610000002</v>
      </c>
      <c r="X72" s="13">
        <v>128.83376969</v>
      </c>
      <c r="Y72" s="13">
        <v>65.962000000000003</v>
      </c>
      <c r="Z72" s="8">
        <v>3.6578896092548E-4</v>
      </c>
      <c r="AA72" s="8">
        <v>5.98364722840003E-5</v>
      </c>
      <c r="AB72" s="8">
        <v>-9.0106294223156904E-7</v>
      </c>
      <c r="AC72" s="8">
        <v>3.7065183024607003E-4</v>
      </c>
    </row>
    <row r="73">
      <c r="A73" s="31" t="s">
        <v>86</v>
      </c>
      <c r="B73" s="32" t="s">
        <v>11</v>
      </c>
      <c r="C73" s="32" t="s">
        <v>70</v>
      </c>
      <c r="D73" s="32" t="s">
        <v>15</v>
      </c>
      <c r="E73" s="32">
        <v>-3163444.449</v>
      </c>
      <c r="F73" s="32">
        <v>4311372.2070000004</v>
      </c>
      <c r="G73" s="32">
        <v>3464865.2220000001</v>
      </c>
      <c r="H73" s="32">
        <v>-3163444.4501</v>
      </c>
      <c r="I73" s="32">
        <v>4311372.2071000002</v>
      </c>
      <c r="J73" s="32">
        <v>3464865.2207999998</v>
      </c>
      <c r="K73" s="32">
        <v>3.4000000000000002E-2</v>
      </c>
      <c r="L73" s="32">
        <v>0</v>
      </c>
      <c r="M73" s="32">
        <v>0</v>
      </c>
      <c r="N73" s="33">
        <v>8.27714425990354E-4</v>
      </c>
      <c r="O73" s="34">
        <v>-1.404647986873E-3</v>
      </c>
      <c r="P73" s="34">
        <v>-4.3063230299041303E-5</v>
      </c>
      <c r="Q73" s="35">
        <v>1.6309511273559999E-3</v>
      </c>
      <c r="R73" s="33">
        <v>8.2771442599035498E-4</v>
      </c>
      <c r="S73" s="34">
        <v>-1.40464798687307E-3</v>
      </c>
      <c r="T73" s="34">
        <v>-4.3063230299041303E-5</v>
      </c>
      <c r="U73" s="35">
        <f t="shared" si="1"/>
        <v>1.6309511273557215E-3</v>
      </c>
      <c r="W73" s="13">
        <v>33.116931139999998</v>
      </c>
      <c r="X73" s="13">
        <v>126.269144</v>
      </c>
      <c r="Y73" s="13">
        <v>68.926000000000002</v>
      </c>
      <c r="Z73" s="8">
        <v>-7.9314333622305705E-6</v>
      </c>
      <c r="AA73" s="8">
        <v>-1.01406219333141E-4</v>
      </c>
      <c r="AB73" s="8">
        <v>-3.3949665453659003E-2</v>
      </c>
      <c r="AC73" s="8">
        <v>3.3949817827852002E-2</v>
      </c>
    </row>
    <row r="74">
      <c r="A74" s="31" t="s">
        <v>87</v>
      </c>
      <c r="B74" s="32" t="s">
        <v>11</v>
      </c>
      <c r="C74" s="32" t="s">
        <v>70</v>
      </c>
      <c r="D74" s="32" t="s">
        <v>15</v>
      </c>
      <c r="E74" s="32">
        <v>-3064945.1370000001</v>
      </c>
      <c r="F74" s="32">
        <v>4170122.4410000001</v>
      </c>
      <c r="G74" s="32">
        <v>3715473.9380000001</v>
      </c>
      <c r="H74" s="32">
        <v>-3064945.1373000001</v>
      </c>
      <c r="I74" s="32">
        <v>4170122.44</v>
      </c>
      <c r="J74" s="32">
        <v>3715473.9385000002</v>
      </c>
      <c r="K74" s="32">
        <v>0</v>
      </c>
      <c r="L74" s="32">
        <v>0</v>
      </c>
      <c r="M74" s="32">
        <v>0</v>
      </c>
      <c r="N74" s="33">
        <v>8.3395793460245399E-4</v>
      </c>
      <c r="O74" s="34">
        <v>7.7316673462721002E-4</v>
      </c>
      <c r="P74" s="34">
        <v>-2.1617269552061901E-4</v>
      </c>
      <c r="Q74" s="35">
        <v>1.157585102923E-3</v>
      </c>
      <c r="R74" s="33">
        <v>9.1453508272363703E-4</v>
      </c>
      <c r="S74" s="34">
        <v>8.1952260940661495E-4</v>
      </c>
      <c r="T74" s="34">
        <v>-1.0959695660760101E-4</v>
      </c>
      <c r="U74" s="35">
        <f t="shared" si="1"/>
        <v>1.2328841055665391E-3</v>
      </c>
      <c r="W74" s="13">
        <v>35.857960749999997</v>
      </c>
      <c r="X74" s="13">
        <v>126.31504025</v>
      </c>
      <c r="Y74" s="13">
        <v>75.319000000000003</v>
      </c>
      <c r="Z74" s="8">
        <v>2.17237037695192E-6</v>
      </c>
      <c r="AA74" s="8">
        <v>-1.8760249285035099E-5</v>
      </c>
      <c r="AB74" s="8">
        <v>-6.9194112555120196E-6</v>
      </c>
      <c r="AC74" s="8">
        <v>2.0113289099851899E-5</v>
      </c>
    </row>
    <row r="75">
      <c r="A75" s="31" t="s">
        <v>88</v>
      </c>
      <c r="B75" s="32" t="s">
        <v>11</v>
      </c>
      <c r="C75" s="32" t="s">
        <v>70</v>
      </c>
      <c r="D75" s="32" t="s">
        <v>15</v>
      </c>
      <c r="E75" s="32">
        <v>-3154854.8569999998</v>
      </c>
      <c r="F75" s="32">
        <v>4099170.4440000001</v>
      </c>
      <c r="G75" s="32">
        <v>3719782.8169999998</v>
      </c>
      <c r="H75" s="32">
        <v>-3154854.8565000002</v>
      </c>
      <c r="I75" s="32">
        <v>4099170.4459000002</v>
      </c>
      <c r="J75" s="32">
        <v>3719782.8147</v>
      </c>
      <c r="K75" s="32">
        <v>0</v>
      </c>
      <c r="L75" s="32">
        <v>0</v>
      </c>
      <c r="M75" s="32">
        <v>0</v>
      </c>
      <c r="N75" s="33">
        <v>-1.5550655788060001E-3</v>
      </c>
      <c r="O75" s="34">
        <v>-2.567151971067E-3</v>
      </c>
      <c r="P75" s="34">
        <v>-3.76163566104293E-4</v>
      </c>
      <c r="Q75" s="35">
        <v>3.0248962338240001E-3</v>
      </c>
      <c r="R75" s="33">
        <v>-1.5368096753116201E-3</v>
      </c>
      <c r="S75" s="34">
        <v>-2.5683899505673001E-3</v>
      </c>
      <c r="T75" s="34">
        <v>-2.0392800801453601E-4</v>
      </c>
      <c r="U75" s="35">
        <f t="shared" si="1"/>
        <v>2.9999995914598526E-3</v>
      </c>
      <c r="W75" s="13">
        <v>35.903462470000001</v>
      </c>
      <c r="X75" s="13">
        <v>127.58305055</v>
      </c>
      <c r="Y75" s="13">
        <v>447.33300000000003</v>
      </c>
      <c r="Z75" s="8">
        <v>-2.00822802085E-3</v>
      </c>
      <c r="AA75" s="8">
        <v>-2.7874912862090001E-3</v>
      </c>
      <c r="AB75" s="8">
        <v>-9.96174324250598E-4</v>
      </c>
      <c r="AC75" s="8">
        <v>3.577072928906E-3</v>
      </c>
    </row>
    <row r="76">
      <c r="A76" s="31" t="s">
        <v>89</v>
      </c>
      <c r="B76" s="32" t="s">
        <v>11</v>
      </c>
      <c r="C76" s="32" t="s">
        <v>70</v>
      </c>
      <c r="D76" s="32" t="s">
        <v>15</v>
      </c>
      <c r="E76" s="32">
        <v>-3169577.6439999999</v>
      </c>
      <c r="F76" s="32">
        <v>4030299.571</v>
      </c>
      <c r="G76" s="32">
        <v>3781067.3149999999</v>
      </c>
      <c r="H76" s="32">
        <v>-3169577.6447000001</v>
      </c>
      <c r="I76" s="32">
        <v>4030299.571</v>
      </c>
      <c r="J76" s="32">
        <v>3781067.3152999999</v>
      </c>
      <c r="K76" s="32">
        <v>0</v>
      </c>
      <c r="L76" s="32">
        <v>0</v>
      </c>
      <c r="M76" s="32">
        <v>0</v>
      </c>
      <c r="N76" s="33">
        <v>5.50228757135628E-4</v>
      </c>
      <c r="O76" s="34">
        <v>-1.70652476670637E-5</v>
      </c>
      <c r="P76" s="34">
        <v>5.2626676207300003E-4</v>
      </c>
      <c r="Q76" s="35">
        <v>7.61577056324411E-4</v>
      </c>
      <c r="R76" s="33">
        <v>6.2883284296350202E-4</v>
      </c>
      <c r="S76" s="34">
        <v>-5.3913803332196198E-5</v>
      </c>
      <c r="T76" s="34">
        <v>5.7590090014287296E-4</v>
      </c>
      <c r="U76" s="35">
        <f t="shared" si="1"/>
        <v>8.5439995866378317E-4</v>
      </c>
      <c r="W76" s="13">
        <v>36.590320499999997</v>
      </c>
      <c r="X76" s="13">
        <v>128.18282858000001</v>
      </c>
      <c r="Y76" s="13">
        <v>135.18600000000001</v>
      </c>
      <c r="Z76" s="8">
        <v>3.1671702640535701E-4</v>
      </c>
      <c r="AA76" s="8">
        <v>6.6958660693865598E-6</v>
      </c>
      <c r="AB76" s="8">
        <v>4.0491333881032301E-5</v>
      </c>
      <c r="AC76" s="8">
        <v>3.1936508506243399E-4</v>
      </c>
    </row>
    <row r="77">
      <c r="A77" s="31" t="s">
        <v>90</v>
      </c>
      <c r="B77" s="32" t="s">
        <v>11</v>
      </c>
      <c r="C77" s="32" t="s">
        <v>70</v>
      </c>
      <c r="D77" s="32" t="s">
        <v>15</v>
      </c>
      <c r="E77" s="32">
        <v>-3138633.9929999998</v>
      </c>
      <c r="F77" s="32">
        <v>4078412.585</v>
      </c>
      <c r="G77" s="32">
        <v>3755410.0090000001</v>
      </c>
      <c r="H77" s="32">
        <v>-3138633.9923999999</v>
      </c>
      <c r="I77" s="32">
        <v>4078412.5872</v>
      </c>
      <c r="J77" s="32">
        <v>3755410.0065000001</v>
      </c>
      <c r="K77" s="32">
        <v>0</v>
      </c>
      <c r="L77" s="32">
        <v>0</v>
      </c>
      <c r="M77" s="32">
        <v>0</v>
      </c>
      <c r="N77" s="33">
        <v>-1.8172338971389999E-3</v>
      </c>
      <c r="O77" s="34">
        <v>-2.8303346308500002E-3</v>
      </c>
      <c r="P77" s="34">
        <v>-3.6995623237389899E-4</v>
      </c>
      <c r="Q77" s="35">
        <v>3.3837849774139999E-3</v>
      </c>
      <c r="R77" s="33">
        <v>-1.73798435191101E-3</v>
      </c>
      <c r="S77" s="34">
        <v>-2.8664428514166601E-3</v>
      </c>
      <c r="T77" s="34">
        <v>-3.2080579853621498E-4</v>
      </c>
      <c r="U77" s="35">
        <f t="shared" si="1"/>
        <v>3.3674917354463789E-3</v>
      </c>
      <c r="W77" s="13">
        <v>36.302754110000002</v>
      </c>
      <c r="X77" s="13">
        <v>127.58088945999999</v>
      </c>
      <c r="Y77" s="13">
        <v>156.06100000000001</v>
      </c>
      <c r="Z77" s="8">
        <v>-1.4167071625280001E-3</v>
      </c>
      <c r="AA77" s="8">
        <v>-2.9300967559950002E-3</v>
      </c>
      <c r="AB77" s="8">
        <v>2.4852150602574101E-5</v>
      </c>
      <c r="AC77" s="8">
        <v>3.2547110183910001E-3</v>
      </c>
    </row>
    <row r="78">
      <c r="A78" s="31" t="s">
        <v>91</v>
      </c>
      <c r="B78" s="32" t="s">
        <v>11</v>
      </c>
      <c r="C78" s="32" t="s">
        <v>70</v>
      </c>
      <c r="D78" s="32" t="s">
        <v>15</v>
      </c>
      <c r="E78" s="32">
        <v>-3020139.7990000001</v>
      </c>
      <c r="F78" s="32">
        <v>4079807.145</v>
      </c>
      <c r="G78" s="32">
        <v>3849130.6269999999</v>
      </c>
      <c r="H78" s="32">
        <v>-3020139.7996</v>
      </c>
      <c r="I78" s="32">
        <v>4079807.1452000001</v>
      </c>
      <c r="J78" s="32">
        <v>3849130.6261999998</v>
      </c>
      <c r="K78" s="32">
        <v>0</v>
      </c>
      <c r="L78" s="32">
        <v>0</v>
      </c>
      <c r="M78" s="32">
        <v>0</v>
      </c>
      <c r="N78" s="33">
        <v>3.6324829553696202E-4</v>
      </c>
      <c r="O78" s="34">
        <v>-9.5004631531969903E-4</v>
      </c>
      <c r="P78" s="34">
        <v>-7.3912466666222097E-5</v>
      </c>
      <c r="Q78" s="35">
        <v>1.019804088142E-3</v>
      </c>
      <c r="R78" s="33">
        <v>4.4362215052901998E-4</v>
      </c>
      <c r="S78" s="34">
        <v>-9.0666372429165003E-4</v>
      </c>
      <c r="T78" s="34">
        <v>3.4059841878549899E-5</v>
      </c>
      <c r="U78" s="35">
        <f t="shared" si="1"/>
        <v>1.0099503919575403E-3</v>
      </c>
      <c r="W78" s="13">
        <v>37.35833461</v>
      </c>
      <c r="X78" s="13">
        <v>126.51126317000001</v>
      </c>
      <c r="Y78" s="13">
        <v>85.876000000000005</v>
      </c>
      <c r="Z78" s="8">
        <v>-3.23348400350271E-4</v>
      </c>
      <c r="AA78" s="8">
        <v>1.16910752241387E-4</v>
      </c>
      <c r="AB78" s="8">
        <v>2.5324680798001199E-5</v>
      </c>
      <c r="AC78" s="8">
        <v>3.4476608223003402E-4</v>
      </c>
    </row>
    <row r="79">
      <c r="A79" s="31" t="s">
        <v>92</v>
      </c>
      <c r="B79" s="32" t="s">
        <v>11</v>
      </c>
      <c r="C79" s="32" t="s">
        <v>70</v>
      </c>
      <c r="D79" s="32" t="s">
        <v>15</v>
      </c>
      <c r="E79" s="32">
        <v>-3159577.5210000002</v>
      </c>
      <c r="F79" s="32">
        <v>3973889.6409999998</v>
      </c>
      <c r="G79" s="32">
        <v>3848566.324</v>
      </c>
      <c r="H79" s="32">
        <v>-3159577.5208999999</v>
      </c>
      <c r="I79" s="32">
        <v>3973889.6405000002</v>
      </c>
      <c r="J79" s="32">
        <v>3848566.3237999999</v>
      </c>
      <c r="K79" s="32">
        <v>0</v>
      </c>
      <c r="L79" s="32">
        <v>0</v>
      </c>
      <c r="M79" s="32">
        <v>0</v>
      </c>
      <c r="N79" s="33">
        <v>2.3289652953701999E-4</v>
      </c>
      <c r="O79" s="34">
        <v>1.16202942996088E-4</v>
      </c>
      <c r="P79" s="34">
        <v>-4.8192993299905998E-4</v>
      </c>
      <c r="Q79" s="35">
        <v>5.4772290234371098E-4</v>
      </c>
      <c r="R79" s="33">
        <v>1.7066202680033699E-4</v>
      </c>
      <c r="S79" s="34">
        <v>6.8715836403766798E-5</v>
      </c>
      <c r="T79" s="34">
        <v>-4.1970608385752498E-4</v>
      </c>
      <c r="U79" s="35">
        <f t="shared" si="1"/>
        <v>4.5825821366483763E-4</v>
      </c>
      <c r="W79" s="13">
        <v>37.349631189999997</v>
      </c>
      <c r="X79" s="13">
        <v>128.48766114</v>
      </c>
      <c r="Y79" s="13">
        <v>421.37200000000001</v>
      </c>
      <c r="Z79" s="8">
        <v>-8.7405463853392498E-5</v>
      </c>
      <c r="AA79" s="8">
        <v>5.2145015288048596E-4</v>
      </c>
      <c r="AB79" s="8">
        <v>-4.4934179963102499E-5</v>
      </c>
      <c r="AC79" s="8">
        <v>5.3063081099712398E-4</v>
      </c>
    </row>
    <row r="80">
      <c r="A80" s="31" t="s">
        <v>93</v>
      </c>
      <c r="B80" s="32" t="s">
        <v>11</v>
      </c>
      <c r="C80" s="32" t="s">
        <v>70</v>
      </c>
      <c r="D80" s="32" t="s">
        <v>15</v>
      </c>
      <c r="E80" s="32">
        <v>-3204049.2080000001</v>
      </c>
      <c r="F80" s="32">
        <v>3930214.5389999999</v>
      </c>
      <c r="G80" s="32">
        <v>3855959.4330000002</v>
      </c>
      <c r="H80" s="32">
        <v>-3204049.2086</v>
      </c>
      <c r="I80" s="32">
        <v>3930214.5386999999</v>
      </c>
      <c r="J80" s="32">
        <v>3855959.4342</v>
      </c>
      <c r="K80" s="32">
        <v>0</v>
      </c>
      <c r="L80" s="32">
        <v>0</v>
      </c>
      <c r="M80" s="32">
        <v>0</v>
      </c>
      <c r="N80" s="33">
        <v>6.5460423429753703E-4</v>
      </c>
      <c r="O80" s="34">
        <v>8.6372316033220405E-4</v>
      </c>
      <c r="P80" s="34">
        <v>8.4585592798416299E-4</v>
      </c>
      <c r="Q80" s="35">
        <v>1.3747714908889999E-3</v>
      </c>
      <c r="R80" s="33">
        <v>6.6892458151920605E-4</v>
      </c>
      <c r="S80" s="34">
        <v>7.7819829855944704E-4</v>
      </c>
      <c r="T80" s="34">
        <v>9.5757186622611899E-4</v>
      </c>
      <c r="U80" s="35">
        <f t="shared" si="1"/>
        <v>1.4035656616735947E-3</v>
      </c>
      <c r="W80" s="13">
        <v>37.436096859999999</v>
      </c>
      <c r="X80" s="13">
        <v>129.18813036</v>
      </c>
      <c r="Y80" s="13">
        <v>40.314999999999998</v>
      </c>
      <c r="Z80" s="8">
        <v>1.3245641211793299E-4</v>
      </c>
      <c r="AA80" s="8">
        <v>1.6248114349967801E-4</v>
      </c>
      <c r="AB80" s="8">
        <v>1.1032578919658601E-5</v>
      </c>
      <c r="AC80" s="8">
        <v>2.0992032036403001E-4</v>
      </c>
    </row>
    <row r="81">
      <c r="A81" s="31" t="s">
        <v>94</v>
      </c>
      <c r="B81" s="32" t="s">
        <v>11</v>
      </c>
      <c r="C81" s="32" t="s">
        <v>70</v>
      </c>
      <c r="D81" s="32" t="s">
        <v>15</v>
      </c>
      <c r="E81" s="32">
        <v>-3196187.1239999998</v>
      </c>
      <c r="F81" s="32">
        <v>4064068.8659999999</v>
      </c>
      <c r="G81" s="32">
        <v>3722851.5380000002</v>
      </c>
      <c r="H81" s="32">
        <v>-3196187.1233000001</v>
      </c>
      <c r="I81" s="32">
        <v>4064068.8672000002</v>
      </c>
      <c r="J81" s="32">
        <v>3722851.5372000001</v>
      </c>
      <c r="K81" s="32">
        <v>0</v>
      </c>
      <c r="L81" s="32">
        <v>0</v>
      </c>
      <c r="M81" s="32">
        <v>0</v>
      </c>
      <c r="N81" s="33">
        <v>-1.292042564989E-3</v>
      </c>
      <c r="O81" s="34">
        <v>-9.4735152832982805E-4</v>
      </c>
      <c r="P81" s="34">
        <v>-5.6186200962221697E-5</v>
      </c>
      <c r="Q81" s="35">
        <v>1.603123762269E-3</v>
      </c>
      <c r="R81" s="33">
        <v>-1.35386036676585E-3</v>
      </c>
      <c r="S81" s="34">
        <v>-9.1251991709387901E-4</v>
      </c>
      <c r="T81" s="34">
        <v>6.6146338833914593E-5</v>
      </c>
      <c r="U81" s="35">
        <f t="shared" si="1"/>
        <v>1.6340152477665295E-3</v>
      </c>
      <c r="W81" s="13">
        <v>35.938146439999997</v>
      </c>
      <c r="X81" s="13">
        <v>128.18328194</v>
      </c>
      <c r="Y81" s="13">
        <v>365.40699999999998</v>
      </c>
      <c r="Z81" s="8">
        <v>3.9048133271817601E-4</v>
      </c>
      <c r="AA81" s="8">
        <v>4.6523051606470401E-4</v>
      </c>
      <c r="AB81" s="8">
        <v>2.5737354252739601E-5</v>
      </c>
      <c r="AC81" s="8">
        <v>6.0792887386858403E-4</v>
      </c>
    </row>
    <row r="82">
      <c r="A82" s="31" t="s">
        <v>95</v>
      </c>
      <c r="B82" s="32" t="s">
        <v>11</v>
      </c>
      <c r="C82" s="32" t="s">
        <v>70</v>
      </c>
      <c r="D82" s="32" t="s">
        <v>15</v>
      </c>
      <c r="E82" s="32">
        <v>-3281490.5660000001</v>
      </c>
      <c r="F82" s="32">
        <v>4090421.6290000002</v>
      </c>
      <c r="G82" s="32">
        <v>3618634.1919999998</v>
      </c>
      <c r="H82" s="32">
        <v>-3281490.5655999999</v>
      </c>
      <c r="I82" s="32">
        <v>4090421.6288999999</v>
      </c>
      <c r="J82" s="32">
        <v>3618634.1932999999</v>
      </c>
      <c r="K82" s="32">
        <v>0</v>
      </c>
      <c r="L82" s="32">
        <v>0</v>
      </c>
      <c r="M82" s="32">
        <v>0</v>
      </c>
      <c r="N82" s="33">
        <v>-2.4943188207179298E-4</v>
      </c>
      <c r="O82" s="34">
        <v>1.254962880872E-3</v>
      </c>
      <c r="P82" s="34">
        <v>4.7207292749757698E-4</v>
      </c>
      <c r="Q82" s="35">
        <v>1.3638185161660001E-3</v>
      </c>
      <c r="R82" s="33">
        <v>-3.1200794482776799E-4</v>
      </c>
      <c r="S82" s="34">
        <v>1.29258726044344E-3</v>
      </c>
      <c r="T82" s="34">
        <v>5.9318758700338298E-4</v>
      </c>
      <c r="U82" s="35">
        <f t="shared" si="1"/>
        <v>1.4560227666047057E-3</v>
      </c>
      <c r="W82" s="13">
        <v>34.787721779999998</v>
      </c>
      <c r="X82" s="13">
        <v>128.73790133</v>
      </c>
      <c r="Y82" s="13">
        <v>145.78299999999999</v>
      </c>
      <c r="Z82" s="8">
        <v>3.2551717213212501E-4</v>
      </c>
      <c r="AA82" s="8">
        <v>-2.5877582187168902E-4</v>
      </c>
      <c r="AB82" s="8">
        <v>2.4893814631826701E-5</v>
      </c>
      <c r="AC82" s="8">
        <v>4.1658859483330502E-4</v>
      </c>
    </row>
    <row r="83">
      <c r="A83" s="31" t="s">
        <v>96</v>
      </c>
      <c r="B83" s="32" t="s">
        <v>11</v>
      </c>
      <c r="C83" s="32" t="s">
        <v>70</v>
      </c>
      <c r="D83" s="32" t="s">
        <v>15</v>
      </c>
      <c r="E83" s="32">
        <v>-2876283.7549999999</v>
      </c>
      <c r="F83" s="32">
        <v>4149428.4079999998</v>
      </c>
      <c r="G83" s="32">
        <v>3884508.4819999998</v>
      </c>
      <c r="H83" s="32">
        <v>-2876283.7546000001</v>
      </c>
      <c r="I83" s="32">
        <v>4149428.4087999999</v>
      </c>
      <c r="J83" s="32">
        <v>3884508.4822</v>
      </c>
      <c r="K83" s="32">
        <v>0</v>
      </c>
      <c r="L83" s="32">
        <v>0</v>
      </c>
      <c r="M83" s="32">
        <v>0</v>
      </c>
      <c r="N83" s="33">
        <v>-7.8449561298273897E-4</v>
      </c>
      <c r="O83" s="34">
        <v>-1.0496200590810499E-4</v>
      </c>
      <c r="P83" s="34">
        <v>4.6211280741664199E-4</v>
      </c>
      <c r="Q83" s="35">
        <v>9.1651439500528705E-4</v>
      </c>
      <c r="R83" s="33">
        <v>-8.4146500490454303E-4</v>
      </c>
      <c r="S83" s="34">
        <v>-1.55289472236151E-4</v>
      </c>
      <c r="T83" s="34">
        <v>5.2708736916781402E-4</v>
      </c>
      <c r="U83" s="35">
        <f t="shared" si="1"/>
        <v>1.0049871986262473E-3</v>
      </c>
      <c r="W83" s="13">
        <v>37.760355029999999</v>
      </c>
      <c r="X83" s="13">
        <v>124.72876708</v>
      </c>
      <c r="Y83" s="13">
        <v>96.608000000000004</v>
      </c>
      <c r="Z83" s="8">
        <v>3.2502661236752801E-4</v>
      </c>
      <c r="AA83" s="8">
        <v>-2.41679753717428E-4</v>
      </c>
      <c r="AB83" s="8">
        <v>5.0380528997094598E-5</v>
      </c>
      <c r="AC83" s="8">
        <v>4.0815389230785902E-4</v>
      </c>
    </row>
    <row r="84">
      <c r="A84" s="14" t="s">
        <v>97</v>
      </c>
      <c r="B84" s="15" t="s">
        <v>11</v>
      </c>
      <c r="C84" s="15" t="s">
        <v>70</v>
      </c>
      <c r="D84" s="15" t="s">
        <v>15</v>
      </c>
      <c r="E84" s="15">
        <v>-3130518.159</v>
      </c>
      <c r="F84" s="15">
        <v>3921543.8220000002</v>
      </c>
      <c r="G84" s="15">
        <v>3924167.74</v>
      </c>
      <c r="H84" s="15">
        <v>-3130518.159</v>
      </c>
      <c r="I84" s="15">
        <v>3921543.8215999999</v>
      </c>
      <c r="J84" s="15">
        <v>3924167.7409000001</v>
      </c>
      <c r="K84" s="15">
        <v>0</v>
      </c>
      <c r="L84" s="15">
        <v>0</v>
      </c>
      <c r="M84" s="15">
        <v>0</v>
      </c>
      <c r="N84" s="24">
        <v>2.4955227835097199E-4</v>
      </c>
      <c r="O84" s="16">
        <v>9.0051452417680899E-4</v>
      </c>
      <c r="P84" s="16">
        <v>3.11119815868551E-4</v>
      </c>
      <c r="Q84" s="17">
        <v>9.8488491089549499E-4</v>
      </c>
      <c r="R84" s="24">
        <v>-4.6437429375855404</v>
      </c>
      <c r="S84" s="16">
        <v>-4.0382961910062196</v>
      </c>
      <c r="T84" s="16">
        <v>-3.1655852251470502E-2</v>
      </c>
      <c r="U84" s="17">
        <f t="shared" si="1"/>
        <v>6.1541194893869822</v>
      </c>
      <c r="W84" s="18">
        <v>38.213882220000002</v>
      </c>
      <c r="X84" s="18">
        <v>128.59991839</v>
      </c>
      <c r="Y84" s="18">
        <v>69.906000000000006</v>
      </c>
      <c r="Z84" s="16">
        <v>-1.4367469857726501E-4</v>
      </c>
      <c r="AA84" s="16">
        <v>2.7071841343343899E-4</v>
      </c>
      <c r="AB84" s="16">
        <v>4.64997607458361E-5</v>
      </c>
      <c r="AC84" s="16">
        <v>3.09988880659623E-4</v>
      </c>
    </row>
    <row r="85">
      <c r="A85" s="31" t="s">
        <v>98</v>
      </c>
      <c r="B85" s="32" t="s">
        <v>11</v>
      </c>
      <c r="C85" s="32" t="s">
        <v>70</v>
      </c>
      <c r="D85" s="32" t="s">
        <v>15</v>
      </c>
      <c r="E85" s="32">
        <v>-3228667.9509999999</v>
      </c>
      <c r="F85" s="32">
        <v>4162214.11</v>
      </c>
      <c r="G85" s="32">
        <v>3584296.7560000001</v>
      </c>
      <c r="H85" s="32">
        <v>-3228667.9514000001</v>
      </c>
      <c r="I85" s="32">
        <v>4162214.1091999998</v>
      </c>
      <c r="J85" s="32">
        <v>3584296.7559000002</v>
      </c>
      <c r="K85" s="32">
        <v>0</v>
      </c>
      <c r="L85" s="32">
        <v>0</v>
      </c>
      <c r="M85" s="32">
        <v>0</v>
      </c>
      <c r="N85" s="33">
        <v>8.06394970216447E-4</v>
      </c>
      <c r="O85" s="34">
        <v>1.3617850188015301E-4</v>
      </c>
      <c r="P85" s="34">
        <v>-3.7574361149959098E-4</v>
      </c>
      <c r="Q85" s="35">
        <v>9.00000385526286E-4</v>
      </c>
      <c r="R85" s="33">
        <v>7.4510261688857601E-4</v>
      </c>
      <c r="S85" s="34">
        <v>1.7402382555052999E-4</v>
      </c>
      <c r="T85" s="34">
        <v>-2.5404314279509299E-4</v>
      </c>
      <c r="U85" s="35">
        <f t="shared" si="1"/>
        <v>8.0622584922256948E-4</v>
      </c>
      <c r="W85" s="13">
        <v>34.411885920000003</v>
      </c>
      <c r="X85" s="13">
        <v>127.80106352999999</v>
      </c>
      <c r="Y85" s="13">
        <v>114.191</v>
      </c>
      <c r="Z85" s="8">
        <v>-2.2284562235385901E-4</v>
      </c>
      <c r="AA85" s="8">
        <v>-3.64085465993172E-4</v>
      </c>
      <c r="AB85" s="8">
        <v>-7.3796702209955701E-6</v>
      </c>
      <c r="AC85" s="8">
        <v>4.26934254285498E-4</v>
      </c>
    </row>
    <row r="86">
      <c r="A86" s="31" t="s">
        <v>99</v>
      </c>
      <c r="B86" s="32" t="s">
        <v>11</v>
      </c>
      <c r="C86" s="32" t="s">
        <v>70</v>
      </c>
      <c r="D86" s="32" t="s">
        <v>15</v>
      </c>
      <c r="E86" s="32">
        <v>-3309631.0019999999</v>
      </c>
      <c r="F86" s="32">
        <v>3834554.8480000002</v>
      </c>
      <c r="G86" s="32">
        <v>3863307.8489999999</v>
      </c>
      <c r="H86" s="32">
        <v>-3309631.0022999998</v>
      </c>
      <c r="I86" s="32">
        <v>3834554.85</v>
      </c>
      <c r="J86" s="32">
        <v>3863307.8472000002</v>
      </c>
      <c r="K86" s="32">
        <v>0</v>
      </c>
      <c r="L86" s="32">
        <v>0</v>
      </c>
      <c r="M86" s="32">
        <v>0</v>
      </c>
      <c r="N86" s="33">
        <v>-1.079673499421E-3</v>
      </c>
      <c r="O86" s="34">
        <v>-2.4691380657430001E-3</v>
      </c>
      <c r="P86" s="34">
        <v>2.60117113741951E-4</v>
      </c>
      <c r="Q86" s="35">
        <v>2.70739700929E-3</v>
      </c>
      <c r="R86" s="33">
        <v>-1.0796734994207499E-3</v>
      </c>
      <c r="S86" s="34">
        <v>-2.38982243415222E-3</v>
      </c>
      <c r="T86" s="34">
        <v>3.21018645830846E-4</v>
      </c>
      <c r="U86" s="35">
        <f t="shared" si="1"/>
        <v>2.6419687929837023E-3</v>
      </c>
      <c r="W86" s="13">
        <v>37.518413000000002</v>
      </c>
      <c r="X86" s="13">
        <v>130.79770558000001</v>
      </c>
      <c r="Y86" s="13">
        <v>201.38800000000001</v>
      </c>
      <c r="Z86" s="8">
        <v>3.2731519763277598E-4</v>
      </c>
      <c r="AA86" s="8">
        <v>-3.1420318498059999E-3</v>
      </c>
      <c r="AB86" s="8">
        <v>-1.0025172006900001E-3</v>
      </c>
      <c r="AC86" s="8">
        <v>3.3142933064940002E-3</v>
      </c>
    </row>
    <row r="87">
      <c r="A87" s="31" t="s">
        <v>100</v>
      </c>
      <c r="B87" s="32" t="s">
        <v>11</v>
      </c>
      <c r="C87" s="32" t="s">
        <v>70</v>
      </c>
      <c r="D87" s="32" t="s">
        <v>15</v>
      </c>
      <c r="E87" s="32">
        <v>-3294232.51</v>
      </c>
      <c r="F87" s="32">
        <v>4057786.202</v>
      </c>
      <c r="G87" s="32">
        <v>3643626.8190000001</v>
      </c>
      <c r="H87" s="32">
        <v>-3294232.5106000002</v>
      </c>
      <c r="I87" s="32">
        <v>4057786.2009000001</v>
      </c>
      <c r="J87" s="32">
        <v>3643626.8185000001</v>
      </c>
      <c r="K87" s="32">
        <v>0</v>
      </c>
      <c r="L87" s="32">
        <v>0</v>
      </c>
      <c r="M87" s="32">
        <v>0</v>
      </c>
      <c r="N87" s="33">
        <v>1.1591282738179999E-3</v>
      </c>
      <c r="O87" s="34">
        <v>-1.3591263594127099E-4</v>
      </c>
      <c r="P87" s="34">
        <v>-6.7671921644764496E-4</v>
      </c>
      <c r="Q87" s="35">
        <v>1.3490735701519999E-3</v>
      </c>
      <c r="R87" s="33">
        <v>1.0961004566405E-3</v>
      </c>
      <c r="S87" s="34">
        <v>-9.8659470038378803E-5</v>
      </c>
      <c r="T87" s="34">
        <v>-5.5572488623825504E-4</v>
      </c>
      <c r="U87" s="35">
        <f t="shared" si="1"/>
        <v>1.232882821382587E-3</v>
      </c>
      <c r="W87" s="13">
        <v>35.062189279999998</v>
      </c>
      <c r="X87" s="13">
        <v>129.07072755999999</v>
      </c>
      <c r="Y87" s="13">
        <v>192.251</v>
      </c>
      <c r="Z87" s="8">
        <v>-3.4908276098643198E-4</v>
      </c>
      <c r="AA87" s="8">
        <v>-2.3034919526255599E-4</v>
      </c>
      <c r="AB87" s="8">
        <v>1.1097647397855299E-5</v>
      </c>
      <c r="AC87" s="8">
        <v>4.1838102676123402E-4</v>
      </c>
    </row>
    <row r="88" ht="16" thickBot="true">
      <c r="A88" s="36" t="s">
        <v>101</v>
      </c>
      <c r="B88" s="37" t="s">
        <v>11</v>
      </c>
      <c r="C88" s="37" t="s">
        <v>70</v>
      </c>
      <c r="D88" s="37" t="s">
        <v>15</v>
      </c>
      <c r="E88" s="37">
        <v>-3183643.8709999998</v>
      </c>
      <c r="F88" s="37">
        <v>3995960.3840000001</v>
      </c>
      <c r="G88" s="37">
        <v>3805622.05</v>
      </c>
      <c r="H88" s="37">
        <v>-3183643.8714999999</v>
      </c>
      <c r="I88" s="37">
        <v>3995960.3846999998</v>
      </c>
      <c r="J88" s="37">
        <v>3805622.0490999999</v>
      </c>
      <c r="K88" s="37">
        <v>0</v>
      </c>
      <c r="L88" s="37">
        <v>0</v>
      </c>
      <c r="M88" s="37">
        <v>0</v>
      </c>
      <c r="N88" s="38">
        <v>-4.5129403350705498E-5</v>
      </c>
      <c r="O88" s="39">
        <v>-1.235417856214E-3</v>
      </c>
      <c r="P88" s="39">
        <v>1.4732958575121999E-4</v>
      </c>
      <c r="Q88" s="40">
        <v>1.2449899394520001E-3</v>
      </c>
      <c r="R88" s="38">
        <v>-4.5129403350705498E-5</v>
      </c>
      <c r="S88" s="39">
        <v>-1.1554136014391501E-3</v>
      </c>
      <c r="T88" s="39">
        <v>2.0732362914970299E-4</v>
      </c>
      <c r="U88" s="40">
        <f t="shared" si="1"/>
        <v>1.1747341574335792E-3</v>
      </c>
      <c r="W88" s="13">
        <v>36.865704639999997</v>
      </c>
      <c r="X88" s="13">
        <v>128.54487807999999</v>
      </c>
      <c r="Y88" s="13">
        <v>236.59700000000001</v>
      </c>
      <c r="Z88" s="8">
        <v>2.80284680076509E-4</v>
      </c>
      <c r="AA88" s="8">
        <v>-1.4304351881647899E-4</v>
      </c>
      <c r="AB88" s="8">
        <v>-1.1238759587254699E-5</v>
      </c>
      <c r="AC88" s="8">
        <v>3.1487657880199999E-4</v>
      </c>
    </row>
    <row r="89">
      <c r="A89" s="55" t="s">
        <v>102</v>
      </c>
      <c r="B89" s="56" t="s">
        <v>11</v>
      </c>
      <c r="C89" s="56" t="s">
        <v>103</v>
      </c>
      <c r="D89" s="56" t="s">
        <v>13</v>
      </c>
      <c r="E89" s="56">
        <v>-3087667.42</v>
      </c>
      <c r="F89" s="56">
        <v>4058167.38</v>
      </c>
      <c r="G89" s="56">
        <v>3818526.443</v>
      </c>
      <c r="H89" s="56">
        <v>-3087667.42</v>
      </c>
      <c r="I89" s="56">
        <v>4058167.38</v>
      </c>
      <c r="J89" s="56">
        <v>3818526.443</v>
      </c>
      <c r="K89" s="56">
        <v>1E-4</v>
      </c>
      <c r="L89" s="56">
        <v>0</v>
      </c>
      <c r="M89" s="56">
        <v>0</v>
      </c>
      <c r="N89" s="57">
        <v>-1.0231433752613201E-9</v>
      </c>
      <c r="O89" s="58">
        <v>-2.5544738556003598E-10</v>
      </c>
      <c r="P89" s="58">
        <v>-4.3470320202640199E-10</v>
      </c>
      <c r="Q89" s="59">
        <v>1.1406325468715101E-9</v>
      </c>
      <c r="R89" s="57" t="s">
        <v>249</v>
      </c>
      <c r="S89" s="58" t="s">
        <v>249</v>
      </c>
      <c r="T89" s="58" t="s">
        <v>249</v>
      </c>
      <c r="U89" s="59" t="s">
        <v>249</v>
      </c>
      <c r="W89" s="13">
        <v>37.01215217</v>
      </c>
      <c r="X89" s="13">
        <v>127.26578822</v>
      </c>
      <c r="Y89" s="13">
        <v>93.546000000000006</v>
      </c>
      <c r="Z89" s="8">
        <v>-8.4781074460623697E-4</v>
      </c>
      <c r="AA89" s="8">
        <v>-1.0993803054770001E-3</v>
      </c>
      <c r="AB89" s="8">
        <v>7.9859112565720195E-5</v>
      </c>
      <c r="AC89" s="8">
        <v>1.3906105107470001E-3</v>
      </c>
    </row>
    <row r="90">
      <c r="A90" s="31" t="s">
        <v>104</v>
      </c>
      <c r="B90" s="32" t="s">
        <v>11</v>
      </c>
      <c r="C90" s="32" t="s">
        <v>103</v>
      </c>
      <c r="D90" s="32" t="s">
        <v>13</v>
      </c>
      <c r="E90" s="32">
        <v>-3141804.9360000002</v>
      </c>
      <c r="F90" s="32">
        <v>4060585.55</v>
      </c>
      <c r="G90" s="32">
        <v>3772023.1069999998</v>
      </c>
      <c r="H90" s="32">
        <v>-3141804.9360000002</v>
      </c>
      <c r="I90" s="32">
        <v>4060585.55</v>
      </c>
      <c r="J90" s="32">
        <v>3772023.1069999998</v>
      </c>
      <c r="K90" s="32">
        <v>2.8000000000000001E-2</v>
      </c>
      <c r="L90" s="32">
        <v>0</v>
      </c>
      <c r="M90" s="32">
        <v>0</v>
      </c>
      <c r="N90" s="33">
        <v>0</v>
      </c>
      <c r="O90" s="34">
        <v>-7.48762487729409E-10</v>
      </c>
      <c r="P90" s="34">
        <v>-5.5381989397065697E-10</v>
      </c>
      <c r="Q90" s="35">
        <v>9.31322574615478E-10</v>
      </c>
      <c r="R90" s="33">
        <v>9.4620023706625997E-4</v>
      </c>
      <c r="S90" s="34">
        <v>5.6292595522269698E-4</v>
      </c>
      <c r="T90" s="34">
        <v>-8.8421239746089395E-5</v>
      </c>
      <c r="U90" s="35">
        <f t="shared" si="1"/>
        <v>1.1045355744953931E-3</v>
      </c>
      <c r="W90" s="13">
        <v>36.488368360000003</v>
      </c>
      <c r="X90" s="13">
        <v>127.73026689</v>
      </c>
      <c r="Y90" s="13">
        <v>212.238</v>
      </c>
      <c r="Z90" s="8">
        <v>-9.7412781445179396E-4</v>
      </c>
      <c r="AA90" s="8">
        <v>-4.7796441314889503E-4</v>
      </c>
      <c r="AB90" s="8">
        <v>-2.8086358514970999E-2</v>
      </c>
      <c r="AC90" s="8">
        <v>2.8107310607928999E-2</v>
      </c>
    </row>
    <row r="91">
      <c r="A91" s="31" t="s">
        <v>105</v>
      </c>
      <c r="B91" s="32" t="s">
        <v>11</v>
      </c>
      <c r="C91" s="32" t="s">
        <v>103</v>
      </c>
      <c r="D91" s="32" t="s">
        <v>13</v>
      </c>
      <c r="E91" s="32">
        <v>-3206138.602</v>
      </c>
      <c r="F91" s="32">
        <v>3971351.412</v>
      </c>
      <c r="G91" s="32">
        <v>3812642.3089999999</v>
      </c>
      <c r="H91" s="32">
        <v>-3206138.602</v>
      </c>
      <c r="I91" s="32">
        <v>3971351.412</v>
      </c>
      <c r="J91" s="32">
        <v>3812642.3089999999</v>
      </c>
      <c r="K91" s="32">
        <v>0</v>
      </c>
      <c r="L91" s="32">
        <v>0</v>
      </c>
      <c r="M91" s="32">
        <v>0</v>
      </c>
      <c r="N91" s="33">
        <v>-1.2398533304945901E-9</v>
      </c>
      <c r="O91" s="34">
        <v>-1.05330920770405E-10</v>
      </c>
      <c r="P91" s="34">
        <v>9.1482998172295698E-10</v>
      </c>
      <c r="Q91" s="35">
        <v>1.5444237693936499E-9</v>
      </c>
      <c r="R91" s="33">
        <v>-1.4993587866653499E-5</v>
      </c>
      <c r="S91" s="34">
        <v>4.5976682062788696E-6</v>
      </c>
      <c r="T91" s="34">
        <v>-1.72492528685104E-4</v>
      </c>
      <c r="U91" s="35">
        <f t="shared" si="1"/>
        <v>1.7320397998380843E-4</v>
      </c>
      <c r="W91" s="13">
        <v>36.944010499999997</v>
      </c>
      <c r="X91" s="13">
        <v>128.91451950000001</v>
      </c>
      <c r="Y91" s="13">
        <v>354.95499999999998</v>
      </c>
      <c r="Z91" s="8">
        <v>7.0681487405102898E-4</v>
      </c>
      <c r="AA91" s="8">
        <v>-8.1303090425661605E-4</v>
      </c>
      <c r="AB91" s="8">
        <v>-3.5604922229872299E-4</v>
      </c>
      <c r="AC91" s="8">
        <v>1.13462661971E-3</v>
      </c>
    </row>
    <row r="92">
      <c r="A92" s="31" t="s">
        <v>106</v>
      </c>
      <c r="B92" s="32" t="s">
        <v>11</v>
      </c>
      <c r="C92" s="32" t="s">
        <v>103</v>
      </c>
      <c r="D92" s="32" t="s">
        <v>13</v>
      </c>
      <c r="E92" s="32">
        <v>-3161757.5920000002</v>
      </c>
      <c r="F92" s="32">
        <v>4175292.6444000001</v>
      </c>
      <c r="G92" s="32">
        <v>3628212.3141999999</v>
      </c>
      <c r="H92" s="32">
        <v>-3161757.5920000002</v>
      </c>
      <c r="I92" s="32">
        <v>4175292.6444000001</v>
      </c>
      <c r="J92" s="32">
        <v>3628212.3141999999</v>
      </c>
      <c r="K92" s="32">
        <v>0</v>
      </c>
      <c r="L92" s="32">
        <v>0</v>
      </c>
      <c r="M92" s="32">
        <v>0</v>
      </c>
      <c r="N92" s="33">
        <v>-1.80230274035818E-10</v>
      </c>
      <c r="O92" s="34">
        <v>1.1282924425469999E-9</v>
      </c>
      <c r="P92" s="34">
        <v>-8.0376434536884102E-10</v>
      </c>
      <c r="Q92" s="35">
        <v>1.3969838619232099E-9</v>
      </c>
      <c r="R92" s="33">
        <v>-7.9721970871366E-5</v>
      </c>
      <c r="S92" s="34">
        <v>3.4535283416984198E-5</v>
      </c>
      <c r="T92" s="34">
        <v>-4.9517340239642403E-5</v>
      </c>
      <c r="U92" s="35">
        <f t="shared" si="1"/>
        <v>1.0000122711604524E-4</v>
      </c>
      <c r="W92" s="13">
        <v>34.892948410000002</v>
      </c>
      <c r="X92" s="13">
        <v>127.13497655</v>
      </c>
      <c r="Y92" s="13">
        <v>140.24379999999999</v>
      </c>
      <c r="Z92" s="8">
        <v>-1.4947170179939801E-4</v>
      </c>
      <c r="AA92" s="8">
        <v>-2.16333416486652E-4</v>
      </c>
      <c r="AB92" s="8">
        <v>-5.9456126873157299E-5</v>
      </c>
      <c r="AC92" s="8">
        <v>2.69586660928082E-4</v>
      </c>
    </row>
    <row r="93">
      <c r="A93" s="31" t="s">
        <v>107</v>
      </c>
      <c r="B93" s="32" t="s">
        <v>11</v>
      </c>
      <c r="C93" s="32" t="s">
        <v>103</v>
      </c>
      <c r="D93" s="32" t="s">
        <v>13</v>
      </c>
      <c r="E93" s="32">
        <v>-3083533.8838</v>
      </c>
      <c r="F93" s="32">
        <v>3981731.8969000001</v>
      </c>
      <c r="G93" s="32">
        <v>3900931.7773000002</v>
      </c>
      <c r="H93" s="32">
        <v>-3083533.8838</v>
      </c>
      <c r="I93" s="32">
        <v>3981731.8969000001</v>
      </c>
      <c r="J93" s="32">
        <v>3900931.7773000002</v>
      </c>
      <c r="K93" s="32">
        <v>0</v>
      </c>
      <c r="L93" s="32">
        <v>0</v>
      </c>
      <c r="M93" s="32">
        <v>0</v>
      </c>
      <c r="N93" s="33">
        <v>1.67474212071303E-9</v>
      </c>
      <c r="O93" s="34">
        <v>-4.4039515140960402E-10</v>
      </c>
      <c r="P93" s="34">
        <v>-1.92502006960794E-10</v>
      </c>
      <c r="Q93" s="35">
        <v>1.74234499538966E-9</v>
      </c>
      <c r="R93" s="33">
        <v>-7.9061883993114705E-5</v>
      </c>
      <c r="S93" s="34">
        <v>3.7651373411471499E-5</v>
      </c>
      <c r="T93" s="34">
        <v>-4.8283322294644903E-5</v>
      </c>
      <c r="U93" s="35">
        <f t="shared" si="1"/>
        <v>9.99984331483216E-5</v>
      </c>
      <c r="W93" s="13">
        <v>37.947569919999999</v>
      </c>
      <c r="X93" s="13">
        <v>127.75492647</v>
      </c>
      <c r="Y93" s="13">
        <v>122.4487</v>
      </c>
      <c r="Z93" s="8">
        <v>2.8870381357680702E-4</v>
      </c>
      <c r="AA93" s="8">
        <v>-3.9435500608936901E-4</v>
      </c>
      <c r="AB93" s="8">
        <v>-2.24976234446319E-5</v>
      </c>
      <c r="AC93" s="8">
        <v>4.8925648269818002E-4</v>
      </c>
    </row>
    <row r="94">
      <c r="A94" s="31" t="s">
        <v>108</v>
      </c>
      <c r="B94" s="32" t="s">
        <v>11</v>
      </c>
      <c r="C94" s="32" t="s">
        <v>103</v>
      </c>
      <c r="D94" s="32" t="s">
        <v>13</v>
      </c>
      <c r="E94" s="32">
        <v>-3085225.3080000002</v>
      </c>
      <c r="F94" s="32">
        <v>4071232.7110000001</v>
      </c>
      <c r="G94" s="32">
        <v>3806614.1660000002</v>
      </c>
      <c r="H94" s="32">
        <v>-3085225.3080000002</v>
      </c>
      <c r="I94" s="32">
        <v>4071232.7110000001</v>
      </c>
      <c r="J94" s="32">
        <v>3806614.1660000002</v>
      </c>
      <c r="K94" s="32">
        <v>3.5999999999999997E-2</v>
      </c>
      <c r="L94" s="32">
        <v>0</v>
      </c>
      <c r="M94" s="32">
        <v>0</v>
      </c>
      <c r="N94" s="33">
        <v>3.7113291204858199E-10</v>
      </c>
      <c r="O94" s="34">
        <v>-1.68781032568752E-10</v>
      </c>
      <c r="P94" s="34">
        <v>2.2497501891646901E-10</v>
      </c>
      <c r="Q94" s="35">
        <v>4.65661287307739E-10</v>
      </c>
      <c r="R94" s="33">
        <v>-2.8019526600173698E-4</v>
      </c>
      <c r="S94" s="34">
        <v>-3.43133556512836E-4</v>
      </c>
      <c r="T94" s="34">
        <v>-2.0916477947274499E-4</v>
      </c>
      <c r="U94" s="35">
        <f t="shared" si="1"/>
        <v>4.8989787677312284E-4</v>
      </c>
      <c r="W94" s="13">
        <v>36.87800867</v>
      </c>
      <c r="X94" s="13">
        <v>127.15525267</v>
      </c>
      <c r="Y94" s="13">
        <v>69.545000000000002</v>
      </c>
      <c r="Z94" s="8">
        <v>-2.4652643773752599E-5</v>
      </c>
      <c r="AA94" s="8">
        <v>3.1973210151638997E-5</v>
      </c>
      <c r="AB94" s="8">
        <v>1.20967050356077E-4</v>
      </c>
      <c r="AC94" s="8">
        <v>1.27526727725156E-4</v>
      </c>
    </row>
    <row r="95">
      <c r="A95" s="31" t="s">
        <v>109</v>
      </c>
      <c r="B95" s="32" t="s">
        <v>11</v>
      </c>
      <c r="C95" s="32" t="s">
        <v>103</v>
      </c>
      <c r="D95" s="32" t="s">
        <v>13</v>
      </c>
      <c r="E95" s="32">
        <v>-3168622.344</v>
      </c>
      <c r="F95" s="32">
        <v>4277489.5930000003</v>
      </c>
      <c r="G95" s="32">
        <v>3501650.023</v>
      </c>
      <c r="H95" s="32">
        <v>-3168622.344</v>
      </c>
      <c r="I95" s="32">
        <v>4277489.5930000003</v>
      </c>
      <c r="J95" s="32">
        <v>3501650.023</v>
      </c>
      <c r="K95" s="32">
        <v>-3.6999999999999998E-2</v>
      </c>
      <c r="L95" s="32">
        <v>0</v>
      </c>
      <c r="M95" s="32">
        <v>0</v>
      </c>
      <c r="N95" s="33">
        <v>-1.12254243125935E-9</v>
      </c>
      <c r="O95" s="34">
        <v>4.59127413687691E-10</v>
      </c>
      <c r="P95" s="34">
        <v>-6.9329965995714399E-10</v>
      </c>
      <c r="Q95" s="35">
        <v>1.3969838619232099E-9</v>
      </c>
      <c r="R95" s="33">
        <v>9.0176380095241798E-4</v>
      </c>
      <c r="S95" s="34">
        <v>-7.9313794290526504E-5</v>
      </c>
      <c r="T95" s="34">
        <v>3.00880103081363E-4</v>
      </c>
      <c r="U95" s="35">
        <f t="shared" si="1"/>
        <v>9.5393787381734864E-4</v>
      </c>
      <c r="W95" s="13">
        <v>33.513926439999999</v>
      </c>
      <c r="X95" s="13">
        <v>126.52982003</v>
      </c>
      <c r="Y95" s="13">
        <v>50.337000000000003</v>
      </c>
      <c r="Z95" s="8">
        <v>-1.045700643473E-3</v>
      </c>
      <c r="AA95" s="8">
        <v>5.0362765632547897E-4</v>
      </c>
      <c r="AB95" s="8">
        <v>-4.4567543440751103E-4</v>
      </c>
      <c r="AC95" s="8">
        <v>1.2432848606849999E-3</v>
      </c>
    </row>
    <row r="96">
      <c r="A96" s="31" t="s">
        <v>110</v>
      </c>
      <c r="B96" s="32" t="s">
        <v>11</v>
      </c>
      <c r="C96" s="32" t="s">
        <v>103</v>
      </c>
      <c r="D96" s="32" t="s">
        <v>13</v>
      </c>
      <c r="E96" s="32">
        <v>-3050945.0759999999</v>
      </c>
      <c r="F96" s="32">
        <v>3988270.8539999998</v>
      </c>
      <c r="G96" s="32">
        <v>3920005.514</v>
      </c>
      <c r="H96" s="32">
        <v>-3050945.0759999999</v>
      </c>
      <c r="I96" s="32">
        <v>3988270.8539999998</v>
      </c>
      <c r="J96" s="32">
        <v>3920005.514</v>
      </c>
      <c r="K96" s="32">
        <v>0.112</v>
      </c>
      <c r="L96" s="32">
        <v>0</v>
      </c>
      <c r="M96" s="32">
        <v>0</v>
      </c>
      <c r="N96" s="33">
        <v>-1.30556540088222E-9</v>
      </c>
      <c r="O96" s="34">
        <v>-1.07423166391695E-10</v>
      </c>
      <c r="P96" s="34">
        <v>1.3668475891053499E-10</v>
      </c>
      <c r="Q96" s="35">
        <v>1.3170890159654299E-9</v>
      </c>
      <c r="R96" s="33">
        <v>-6.0760203603683197E-5</v>
      </c>
      <c r="S96" s="34">
        <v>1.8679316999689399E-4</v>
      </c>
      <c r="T96" s="34">
        <v>2.4782398663163201E-4</v>
      </c>
      <c r="U96" s="35">
        <f t="shared" si="1"/>
        <v>3.1622811236423125E-4</v>
      </c>
      <c r="W96" s="13">
        <v>38.164482530000001</v>
      </c>
      <c r="X96" s="13">
        <v>127.41524432999999</v>
      </c>
      <c r="Y96" s="13">
        <v>308.77800000000002</v>
      </c>
      <c r="Z96" s="8">
        <v>3.55274444359772E-4</v>
      </c>
      <c r="AA96" s="8">
        <v>-3.8703082185766798E-4</v>
      </c>
      <c r="AB96" s="8">
        <v>-1.0411236100975601E-4</v>
      </c>
      <c r="AC96" s="8">
        <v>5.3558582094561898E-4</v>
      </c>
    </row>
    <row r="97">
      <c r="A97" s="31" t="s">
        <v>111</v>
      </c>
      <c r="B97" s="32" t="s">
        <v>11</v>
      </c>
      <c r="C97" s="32" t="s">
        <v>103</v>
      </c>
      <c r="D97" s="32" t="s">
        <v>13</v>
      </c>
      <c r="E97" s="32">
        <v>-3233224.3110000002</v>
      </c>
      <c r="F97" s="32">
        <v>4067916.3730000001</v>
      </c>
      <c r="G97" s="32">
        <v>3686212.1209999998</v>
      </c>
      <c r="H97" s="32">
        <v>-3233224.3110000002</v>
      </c>
      <c r="I97" s="32">
        <v>4067916.3730000001</v>
      </c>
      <c r="J97" s="32">
        <v>3686212.1209999998</v>
      </c>
      <c r="K97" s="32">
        <v>8.5999999999999993E-2</v>
      </c>
      <c r="L97" s="32">
        <v>0</v>
      </c>
      <c r="M97" s="32">
        <v>0</v>
      </c>
      <c r="N97" s="33">
        <v>-4.29883003431668E-10</v>
      </c>
      <c r="O97" s="34">
        <v>-8.0528766150773698E-10</v>
      </c>
      <c r="P97" s="34">
        <v>1.9288238670296102E-9</v>
      </c>
      <c r="Q97" s="35">
        <v>2.1339280972982901E-9</v>
      </c>
      <c r="R97" s="33">
        <v>1.6062698406922701E-5</v>
      </c>
      <c r="S97" s="34">
        <v>-1.6303712543215001E-4</v>
      </c>
      <c r="T97" s="34">
        <v>5.6224987255697999E-5</v>
      </c>
      <c r="U97" s="35">
        <f t="shared" si="1"/>
        <v>1.7320613078408562E-4</v>
      </c>
      <c r="W97" s="13">
        <v>35.533311249999997</v>
      </c>
      <c r="X97" s="13">
        <v>128.47806039</v>
      </c>
      <c r="Y97" s="13">
        <v>61.753</v>
      </c>
      <c r="Z97" s="8">
        <v>4.1040959330185202E-4</v>
      </c>
      <c r="AA97" s="8">
        <v>-4.9651322522350995E-4</v>
      </c>
      <c r="AB97" s="8">
        <v>-1.7227223434883201E-4</v>
      </c>
      <c r="AC97" s="8">
        <v>6.6681267221280595E-4</v>
      </c>
    </row>
    <row r="98">
      <c r="A98" s="31" t="s">
        <v>112</v>
      </c>
      <c r="B98" s="32" t="s">
        <v>11</v>
      </c>
      <c r="C98" s="32" t="s">
        <v>103</v>
      </c>
      <c r="D98" s="32" t="s">
        <v>13</v>
      </c>
      <c r="E98" s="32">
        <v>-3237145.7990000001</v>
      </c>
      <c r="F98" s="32">
        <v>3989513.6869999999</v>
      </c>
      <c r="G98" s="32">
        <v>3767338.57</v>
      </c>
      <c r="H98" s="32">
        <v>-3237145.7990000001</v>
      </c>
      <c r="I98" s="32">
        <v>3989513.6869999999</v>
      </c>
      <c r="J98" s="32">
        <v>3767338.57</v>
      </c>
      <c r="K98" s="32">
        <v>3.1E-2</v>
      </c>
      <c r="L98" s="32">
        <v>0</v>
      </c>
      <c r="M98" s="32">
        <v>0</v>
      </c>
      <c r="N98" s="33">
        <v>4.97983486201817E-10</v>
      </c>
      <c r="O98" s="34">
        <v>-5.7766281574177998E-10</v>
      </c>
      <c r="P98" s="34">
        <v>1.5665516913715201E-9</v>
      </c>
      <c r="Q98" s="35">
        <v>1.74234499538966E-9</v>
      </c>
      <c r="R98" s="33">
        <v>-8.1910923225201303E-4</v>
      </c>
      <c r="S98" s="34">
        <v>-7.6045771743603503E-4</v>
      </c>
      <c r="T98" s="34">
        <v>6.9337330262427401E-4</v>
      </c>
      <c r="U98" s="35">
        <f t="shared" si="1"/>
        <v>1.3152955603820001E-3</v>
      </c>
      <c r="W98" s="13">
        <v>36.43562833</v>
      </c>
      <c r="X98" s="13">
        <v>129.05634597</v>
      </c>
      <c r="Y98" s="13">
        <v>250.03100000000001</v>
      </c>
      <c r="Z98" s="8">
        <v>9.5501148502316201E-4</v>
      </c>
      <c r="AA98" s="8">
        <v>1.1060520187429999E-3</v>
      </c>
      <c r="AB98" s="8">
        <v>-6.1013678273805097E-4</v>
      </c>
      <c r="AC98" s="8">
        <v>1.583560828747E-3</v>
      </c>
    </row>
    <row r="99">
      <c r="A99" s="31" t="s">
        <v>113</v>
      </c>
      <c r="B99" s="32" t="s">
        <v>11</v>
      </c>
      <c r="C99" s="32" t="s">
        <v>103</v>
      </c>
      <c r="D99" s="32" t="s">
        <v>13</v>
      </c>
      <c r="E99" s="32">
        <v>-3027594.13</v>
      </c>
      <c r="F99" s="32">
        <v>3996637.9730000002</v>
      </c>
      <c r="G99" s="32">
        <v>3929480.7220000001</v>
      </c>
      <c r="H99" s="32">
        <v>-3027594.13</v>
      </c>
      <c r="I99" s="32">
        <v>3996637.9730000002</v>
      </c>
      <c r="J99" s="32">
        <v>3929480.7220000001</v>
      </c>
      <c r="K99" s="32">
        <v>3.3000000000000002E-2</v>
      </c>
      <c r="L99" s="32">
        <v>0</v>
      </c>
      <c r="M99" s="32">
        <v>0</v>
      </c>
      <c r="N99" s="33">
        <v>-8.4355078286542303E-10</v>
      </c>
      <c r="O99" s="34">
        <v>-6.8974502849338896E-10</v>
      </c>
      <c r="P99" s="34">
        <v>8.7420694510492896E-10</v>
      </c>
      <c r="Q99" s="35">
        <v>1.3969838619232099E-9</v>
      </c>
      <c r="R99" s="33">
        <v>-6.0384458057044202E-5</v>
      </c>
      <c r="S99" s="34">
        <v>-4.93744782046613E-5</v>
      </c>
      <c r="T99" s="34">
        <v>6.2578938556076197E-5</v>
      </c>
      <c r="U99" s="35">
        <f t="shared" si="1"/>
        <v>1.0000122711062431E-4</v>
      </c>
      <c r="W99" s="13">
        <v>38.273268190000003</v>
      </c>
      <c r="X99" s="13">
        <v>127.14521191999999</v>
      </c>
      <c r="Y99" s="13">
        <v>289.03199999999998</v>
      </c>
      <c r="Z99" s="8">
        <v>-2.3032117154635201E-4</v>
      </c>
      <c r="AA99" s="8">
        <v>1.062870131707E-3</v>
      </c>
      <c r="AB99" s="8">
        <v>4.2934756727999799E-4</v>
      </c>
      <c r="AC99" s="8">
        <v>1.169222003072E-3</v>
      </c>
    </row>
    <row r="100">
      <c r="A100" s="31" t="s">
        <v>114</v>
      </c>
      <c r="B100" s="32" t="s">
        <v>11</v>
      </c>
      <c r="C100" s="32" t="s">
        <v>103</v>
      </c>
      <c r="D100" s="32" t="s">
        <v>13</v>
      </c>
      <c r="E100" s="32">
        <v>-3260411.2940000002</v>
      </c>
      <c r="F100" s="32">
        <v>4070678.4190000002</v>
      </c>
      <c r="G100" s="32">
        <v>3659345.2850000001</v>
      </c>
      <c r="H100" s="32">
        <v>-3260411.2940000002</v>
      </c>
      <c r="I100" s="32">
        <v>4070678.4190000002</v>
      </c>
      <c r="J100" s="32">
        <v>3659345.2850000001</v>
      </c>
      <c r="K100" s="32">
        <v>4.7E-2</v>
      </c>
      <c r="L100" s="32">
        <v>0</v>
      </c>
      <c r="M100" s="32">
        <v>0</v>
      </c>
      <c r="N100" s="33">
        <v>-1.30911737575017E-9</v>
      </c>
      <c r="O100" s="34">
        <v>2.96864983053874E-10</v>
      </c>
      <c r="P100" s="34">
        <v>3.86842072193959E-10</v>
      </c>
      <c r="Q100" s="35">
        <v>1.3969838619232099E-9</v>
      </c>
      <c r="R100" s="33">
        <v>1.09121477131304E-4</v>
      </c>
      <c r="S100" s="34">
        <v>1.2844744144246601E-4</v>
      </c>
      <c r="T100" s="34">
        <v>5.1146222826565601E-4</v>
      </c>
      <c r="U100" s="35">
        <f t="shared" si="1"/>
        <v>5.3851634415949111E-4</v>
      </c>
      <c r="W100" s="13">
        <v>35.236120919999998</v>
      </c>
      <c r="X100" s="13">
        <v>128.69299463999999</v>
      </c>
      <c r="Y100" s="13">
        <v>88.346000000000004</v>
      </c>
      <c r="Z100" s="8">
        <v>-7.0350271923903297E-4</v>
      </c>
      <c r="AA100" s="8">
        <v>-1.83188929802217E-4</v>
      </c>
      <c r="AB100" s="8">
        <v>-3.1215802859878202E-4</v>
      </c>
      <c r="AC100" s="8">
        <v>7.9114909770376001E-4</v>
      </c>
    </row>
    <row r="101">
      <c r="A101" s="31" t="s">
        <v>115</v>
      </c>
      <c r="B101" s="32" t="s">
        <v>11</v>
      </c>
      <c r="C101" s="32" t="s">
        <v>103</v>
      </c>
      <c r="D101" s="32" t="s">
        <v>13</v>
      </c>
      <c r="E101" s="32">
        <v>-3076700.3769999999</v>
      </c>
      <c r="F101" s="32">
        <v>4112486.54</v>
      </c>
      <c r="G101" s="32">
        <v>3769348.6329999999</v>
      </c>
      <c r="H101" s="32">
        <v>-3076700.3769999999</v>
      </c>
      <c r="I101" s="32">
        <v>4112486.54</v>
      </c>
      <c r="J101" s="32">
        <v>3769348.6329999999</v>
      </c>
      <c r="K101" s="32">
        <v>9.5000000000000001E-2</v>
      </c>
      <c r="L101" s="32">
        <v>0</v>
      </c>
      <c r="M101" s="32">
        <v>0</v>
      </c>
      <c r="N101" s="33">
        <v>-1.30362830364572E-9</v>
      </c>
      <c r="O101" s="34">
        <v>2.6291173123480098E-10</v>
      </c>
      <c r="P101" s="34">
        <v>4.2777865536606599E-10</v>
      </c>
      <c r="Q101" s="35">
        <v>1.3969838619232099E-9</v>
      </c>
      <c r="R101" s="33">
        <v>-7.8878986011763502E-5</v>
      </c>
      <c r="S101" s="34">
        <v>-8.8036056510499097E-4</v>
      </c>
      <c r="T101" s="34">
        <v>5.1840480218474797E-4</v>
      </c>
      <c r="U101" s="35">
        <f t="shared" si="1"/>
        <v>1.0246951536698272E-3</v>
      </c>
      <c r="W101" s="13">
        <v>36.458901939999997</v>
      </c>
      <c r="X101" s="13">
        <v>126.80149514</v>
      </c>
      <c r="Y101" s="13">
        <v>136.47399999999999</v>
      </c>
      <c r="Z101" s="8">
        <v>-2.0961112640009799E-5</v>
      </c>
      <c r="AA101" s="8">
        <v>1.40365257776E-3</v>
      </c>
      <c r="AB101" s="8">
        <v>-4.3634149887689501E-4</v>
      </c>
      <c r="AC101" s="8">
        <v>1.47005912498E-3</v>
      </c>
    </row>
    <row r="102">
      <c r="A102" s="65" t="s">
        <v>116</v>
      </c>
      <c r="B102" s="66" t="s">
        <v>11</v>
      </c>
      <c r="C102" s="66" t="s">
        <v>103</v>
      </c>
      <c r="D102" s="66" t="s">
        <v>254</v>
      </c>
      <c r="E102" s="66">
        <v>-3137092.2785999998</v>
      </c>
      <c r="F102" s="66">
        <v>4267751.6323999995</v>
      </c>
      <c r="G102" s="66">
        <v>3541426.7949000001</v>
      </c>
      <c r="H102" s="66"/>
      <c r="I102" s="66"/>
      <c r="J102" s="66"/>
      <c r="K102" s="66"/>
      <c r="L102" s="66"/>
      <c r="M102" s="66"/>
      <c r="N102" s="67" t="s">
        <v>249</v>
      </c>
      <c r="O102" s="68" t="s">
        <v>249</v>
      </c>
      <c r="P102" s="68" t="s">
        <v>249</v>
      </c>
      <c r="Q102" s="69" t="s">
        <v>249</v>
      </c>
      <c r="R102" s="67" t="s">
        <v>249</v>
      </c>
      <c r="S102" s="68" t="s">
        <v>249</v>
      </c>
      <c r="T102" s="68" t="s">
        <v>249</v>
      </c>
      <c r="U102" s="69" t="s">
        <v>249</v>
      </c>
      <c r="W102" s="13"/>
      <c r="X102" s="13"/>
      <c r="Y102" s="13"/>
      <c r="Z102" s="8" t="s">
        <v>249</v>
      </c>
      <c r="AA102" s="8" t="s">
        <v>249</v>
      </c>
      <c r="AB102" s="8" t="s">
        <v>249</v>
      </c>
      <c r="AC102" s="8" t="s">
        <v>249</v>
      </c>
    </row>
    <row r="103">
      <c r="A103" s="31" t="s">
        <v>117</v>
      </c>
      <c r="B103" s="32" t="s">
        <v>11</v>
      </c>
      <c r="C103" s="32" t="s">
        <v>103</v>
      </c>
      <c r="D103" s="32" t="s">
        <v>13</v>
      </c>
      <c r="E103" s="32">
        <v>-3117076.2220000001</v>
      </c>
      <c r="F103" s="32">
        <v>4067949.7749999999</v>
      </c>
      <c r="G103" s="32">
        <v>3784300.486</v>
      </c>
      <c r="H103" s="32">
        <v>-3117076.2220000001</v>
      </c>
      <c r="I103" s="32">
        <v>4067949.7749999999</v>
      </c>
      <c r="J103" s="32">
        <v>3784300.486</v>
      </c>
      <c r="K103" s="32">
        <v>0</v>
      </c>
      <c r="L103" s="32">
        <v>0</v>
      </c>
      <c r="M103" s="32">
        <v>0</v>
      </c>
      <c r="N103" s="33">
        <v>-6.5285225027190096E-10</v>
      </c>
      <c r="O103" s="34">
        <v>3.2216479566231701E-10</v>
      </c>
      <c r="P103" s="34">
        <v>3.4715282980565601E-10</v>
      </c>
      <c r="Q103" s="35">
        <v>8.06549008734932E-10</v>
      </c>
      <c r="R103" s="33">
        <v>9.2056931996353395E-4</v>
      </c>
      <c r="S103" s="34">
        <v>5.1165237980621602E-4</v>
      </c>
      <c r="T103" s="34">
        <v>3.1743148166039702E-4</v>
      </c>
      <c r="U103" s="35">
        <f t="shared" si="1"/>
        <v>1.0999994437128604E-3</v>
      </c>
      <c r="W103" s="13">
        <v>36.626894559999997</v>
      </c>
      <c r="X103" s="13">
        <v>127.46122706</v>
      </c>
      <c r="Y103" s="13">
        <v>93.488</v>
      </c>
      <c r="Z103" s="8">
        <v>-1.239107604434E-3</v>
      </c>
      <c r="AA103" s="8">
        <v>-1.0572775969230001E-3</v>
      </c>
      <c r="AB103" s="8">
        <v>-4.0469921655643902E-4</v>
      </c>
      <c r="AC103" s="8">
        <v>1.6783935856059999E-3</v>
      </c>
    </row>
    <row r="104">
      <c r="A104" s="41" t="s">
        <v>248</v>
      </c>
      <c r="B104" s="32" t="s">
        <v>11</v>
      </c>
      <c r="C104" s="32" t="s">
        <v>103</v>
      </c>
      <c r="D104" s="32" t="s">
        <v>13</v>
      </c>
      <c r="E104" s="32">
        <v>-3139934.8092</v>
      </c>
      <c r="F104" s="32">
        <v>4164343.6634999998</v>
      </c>
      <c r="G104" s="32">
        <v>3659324.6321999999</v>
      </c>
      <c r="H104" s="32">
        <v>-3139934.8092</v>
      </c>
      <c r="I104" s="32">
        <v>4164343.6634999998</v>
      </c>
      <c r="J104" s="32">
        <v>3659324.6321999999</v>
      </c>
      <c r="K104" s="32">
        <v>0</v>
      </c>
      <c r="L104" s="32">
        <v>0</v>
      </c>
      <c r="M104" s="32">
        <v>0</v>
      </c>
      <c r="N104" s="33">
        <v>-2.8034882467172102E-10</v>
      </c>
      <c r="O104" s="34">
        <v>-2.1451512491329699E-10</v>
      </c>
      <c r="P104" s="34">
        <v>3.03691014331536E-10</v>
      </c>
      <c r="Q104" s="35">
        <v>4.65661287307739E-10</v>
      </c>
      <c r="R104" s="33">
        <v>-1.9642047564068799E-5</v>
      </c>
      <c r="S104" s="34">
        <v>1.6247963552225701E-4</v>
      </c>
      <c r="T104" s="34">
        <v>-5.6696173456620101E-5</v>
      </c>
      <c r="U104" s="35">
        <f t="shared" si="1"/>
        <v>1.7320478652906154E-4</v>
      </c>
      <c r="W104" s="13">
        <v>35.235847149999998</v>
      </c>
      <c r="X104" s="13">
        <v>127.01646613</v>
      </c>
      <c r="Y104" s="13">
        <v>95.548699999999997</v>
      </c>
      <c r="Z104" s="8">
        <v>8.9069937484142898E-5</v>
      </c>
      <c r="AA104" s="8">
        <v>1.6788790363559601E-4</v>
      </c>
      <c r="AB104" s="8">
        <v>-2.78806719345294E-5</v>
      </c>
      <c r="AC104" s="8">
        <v>1.9208626660463001E-4</v>
      </c>
    </row>
    <row r="105">
      <c r="A105" s="31" t="s">
        <v>118</v>
      </c>
      <c r="B105" s="32" t="s">
        <v>11</v>
      </c>
      <c r="C105" s="32" t="s">
        <v>103</v>
      </c>
      <c r="D105" s="32" t="s">
        <v>13</v>
      </c>
      <c r="E105" s="32">
        <v>-3060974.71</v>
      </c>
      <c r="F105" s="32">
        <v>4088259.9640000002</v>
      </c>
      <c r="G105" s="32">
        <v>3807870.6320000002</v>
      </c>
      <c r="H105" s="32">
        <v>-3060974.71</v>
      </c>
      <c r="I105" s="32">
        <v>4088259.9640000002</v>
      </c>
      <c r="J105" s="32">
        <v>3807870.6170000001</v>
      </c>
      <c r="K105" s="32">
        <v>0</v>
      </c>
      <c r="L105" s="32">
        <v>0</v>
      </c>
      <c r="M105" s="32">
        <v>0</v>
      </c>
      <c r="N105" s="33">
        <v>-2.7909205779658398E-10</v>
      </c>
      <c r="O105" s="34">
        <v>-1.1996461989444001E-2</v>
      </c>
      <c r="P105" s="34">
        <v>-9.0047164095949997E-3</v>
      </c>
      <c r="Q105" s="35">
        <v>1.5000000596046E-2</v>
      </c>
      <c r="R105" s="33">
        <v>5.9934461227701003E-5</v>
      </c>
      <c r="S105" s="34">
        <v>-1.20283839016164E-2</v>
      </c>
      <c r="T105" s="34">
        <v>-9.1287685629070602E-3</v>
      </c>
      <c r="U105" s="35">
        <f t="shared" si="1"/>
        <v>1.5100332012887248E-2</v>
      </c>
      <c r="W105" s="13">
        <v>36.892419779999997</v>
      </c>
      <c r="X105" s="13">
        <v>126.82304625</v>
      </c>
      <c r="Y105" s="13">
        <v>31.681999999999999</v>
      </c>
      <c r="Z105" s="8">
        <v>-1.144129825936E-3</v>
      </c>
      <c r="AA105" s="8">
        <v>-1.0809444039189999E-3</v>
      </c>
      <c r="AB105" s="8">
        <v>3.6915023959008302E-4</v>
      </c>
      <c r="AC105" s="8">
        <v>1.6167083108429999E-3</v>
      </c>
    </row>
    <row r="106">
      <c r="A106" s="31" t="s">
        <v>119</v>
      </c>
      <c r="B106" s="32" t="s">
        <v>11</v>
      </c>
      <c r="C106" s="32" t="s">
        <v>103</v>
      </c>
      <c r="D106" s="32" t="s">
        <v>13</v>
      </c>
      <c r="E106" s="32">
        <v>-3036946.7250000001</v>
      </c>
      <c r="F106" s="32">
        <v>4021287.6910000001</v>
      </c>
      <c r="G106" s="32">
        <v>3896957.5040000002</v>
      </c>
      <c r="H106" s="32">
        <v>-3036946.7250000001</v>
      </c>
      <c r="I106" s="32">
        <v>4021287.6910000001</v>
      </c>
      <c r="J106" s="32">
        <v>3896957.5040000002</v>
      </c>
      <c r="K106" s="32">
        <v>8.7999999999999995E-2</v>
      </c>
      <c r="L106" s="32">
        <v>0</v>
      </c>
      <c r="M106" s="32">
        <v>0</v>
      </c>
      <c r="N106" s="33">
        <v>-9.3286844325008401E-10</v>
      </c>
      <c r="O106" s="34">
        <v>4.5071655613656299E-10</v>
      </c>
      <c r="P106" s="34">
        <v>9.3710989968437895E-10</v>
      </c>
      <c r="Q106" s="35">
        <v>1.3969838619232099E-9</v>
      </c>
      <c r="R106" s="33">
        <v>1.03906057884808E-3</v>
      </c>
      <c r="S106" s="34">
        <v>-1.63219989254408E-5</v>
      </c>
      <c r="T106" s="34">
        <v>3.4653263057444502E-4</v>
      </c>
      <c r="U106" s="35">
        <f t="shared" si="1"/>
        <v>1.0954442743553294E-3</v>
      </c>
      <c r="W106" s="13">
        <v>37.902052560000001</v>
      </c>
      <c r="X106" s="13">
        <v>127.06074006</v>
      </c>
      <c r="Y106" s="13">
        <v>140.471</v>
      </c>
      <c r="Z106" s="8">
        <v>-1.5100965734320001E-3</v>
      </c>
      <c r="AA106" s="8">
        <v>-5.4781268575523499E-4</v>
      </c>
      <c r="AB106" s="8">
        <v>-2.2913288660201701E-4</v>
      </c>
      <c r="AC106" s="8">
        <v>1.6226497710489999E-3</v>
      </c>
    </row>
    <row r="107">
      <c r="A107" s="31" t="s">
        <v>120</v>
      </c>
      <c r="B107" s="32" t="s">
        <v>11</v>
      </c>
      <c r="C107" s="32" t="s">
        <v>103</v>
      </c>
      <c r="D107" s="32" t="s">
        <v>13</v>
      </c>
      <c r="E107" s="32">
        <v>-3196656.7</v>
      </c>
      <c r="F107" s="32">
        <v>3930091.9580000001</v>
      </c>
      <c r="G107" s="32">
        <v>3862221.719</v>
      </c>
      <c r="H107" s="32">
        <v>-3196656.7</v>
      </c>
      <c r="I107" s="32">
        <v>3930091.9580000001</v>
      </c>
      <c r="J107" s="32">
        <v>3862221.719</v>
      </c>
      <c r="K107" s="32">
        <v>0</v>
      </c>
      <c r="L107" s="32">
        <v>0</v>
      </c>
      <c r="M107" s="32">
        <v>0</v>
      </c>
      <c r="N107" s="33">
        <v>-2.9383393787070598E-10</v>
      </c>
      <c r="O107" s="34">
        <v>-2.19950417489455E-10</v>
      </c>
      <c r="P107" s="34">
        <v>2.8657261784530102E-10</v>
      </c>
      <c r="Q107" s="35">
        <v>4.65661287307739E-10</v>
      </c>
      <c r="R107" s="33">
        <v>-1.44779710915752E-5</v>
      </c>
      <c r="S107" s="34">
        <v>6.32541578209355E-6</v>
      </c>
      <c r="T107" s="34">
        <v>-1.7248295184369699E-4</v>
      </c>
      <c r="U107" s="35">
        <f t="shared" si="1"/>
        <v>1.7320505537789577E-4</v>
      </c>
      <c r="W107" s="13">
        <v>37.50698525</v>
      </c>
      <c r="X107" s="13">
        <v>129.12420347</v>
      </c>
      <c r="Y107" s="13">
        <v>69.941000000000003</v>
      </c>
      <c r="Z107" s="8">
        <v>1.1949285797510001E-3</v>
      </c>
      <c r="AA107" s="8">
        <v>-6.6264180461780798E-4</v>
      </c>
      <c r="AB107" s="8">
        <v>3.0632970992097399E-4</v>
      </c>
      <c r="AC107" s="8">
        <v>1.4002808158060001E-3</v>
      </c>
    </row>
    <row r="108">
      <c r="A108" s="31" t="s">
        <v>121</v>
      </c>
      <c r="B108" s="32" t="s">
        <v>11</v>
      </c>
      <c r="C108" s="32" t="s">
        <v>103</v>
      </c>
      <c r="D108" s="32" t="s">
        <v>13</v>
      </c>
      <c r="E108" s="32">
        <v>-2997010.17</v>
      </c>
      <c r="F108" s="32">
        <v>4066495.7239999999</v>
      </c>
      <c r="G108" s="32">
        <v>3880879.3709999998</v>
      </c>
      <c r="H108" s="32">
        <v>-2997010.17</v>
      </c>
      <c r="I108" s="32">
        <v>4066495.7239999999</v>
      </c>
      <c r="J108" s="32">
        <v>3880879.3709999998</v>
      </c>
      <c r="K108" s="32">
        <v>0</v>
      </c>
      <c r="L108" s="32">
        <v>0</v>
      </c>
      <c r="M108" s="32">
        <v>0</v>
      </c>
      <c r="N108" s="33">
        <v>1.02597824687041E-9</v>
      </c>
      <c r="O108" s="34">
        <v>-8.4539641470303301E-10</v>
      </c>
      <c r="P108" s="34">
        <v>-4.2922890097227702E-10</v>
      </c>
      <c r="Q108" s="35">
        <v>1.3969838619232099E-9</v>
      </c>
      <c r="R108" s="33">
        <v>7.5428169682597202E-4</v>
      </c>
      <c r="S108" s="34">
        <v>1.0527105200712099E-3</v>
      </c>
      <c r="T108" s="34">
        <v>-5.3469656514598103E-5</v>
      </c>
      <c r="U108" s="35">
        <f t="shared" si="1"/>
        <v>1.2961478779070904E-3</v>
      </c>
      <c r="W108" s="13">
        <v>37.719378749999997</v>
      </c>
      <c r="X108" s="13">
        <v>126.39024044</v>
      </c>
      <c r="Y108" s="13">
        <v>43.500999999999998</v>
      </c>
      <c r="Z108" s="8">
        <v>-2.9291136915522898E-4</v>
      </c>
      <c r="AA108" s="8">
        <v>-1.076167333003E-3</v>
      </c>
      <c r="AB108" s="8">
        <v>-3.6278648013517101E-5</v>
      </c>
      <c r="AC108" s="8">
        <v>1.115907406152E-3</v>
      </c>
    </row>
    <row r="109">
      <c r="A109" s="9" t="s">
        <v>122</v>
      </c>
      <c r="B109" s="10" t="s">
        <v>11</v>
      </c>
      <c r="C109" s="10" t="s">
        <v>103</v>
      </c>
      <c r="D109" s="10" t="s">
        <v>13</v>
      </c>
      <c r="E109" s="10">
        <v>-3042061.0167</v>
      </c>
      <c r="F109" s="10">
        <v>4326676.0850999998</v>
      </c>
      <c r="G109" s="10">
        <v>3553637.7307000002</v>
      </c>
      <c r="H109" s="10">
        <v>-3042061.0167</v>
      </c>
      <c r="I109" s="10">
        <v>4326676.0850999998</v>
      </c>
      <c r="J109" s="10">
        <v>3553637.7307000002</v>
      </c>
      <c r="K109" s="10">
        <v>0</v>
      </c>
      <c r="L109" s="10">
        <v>0</v>
      </c>
      <c r="M109" s="10">
        <v>0</v>
      </c>
      <c r="N109" s="25">
        <v>-1.2975194589802701E-9</v>
      </c>
      <c r="O109" s="11">
        <v>-1.28386521824582E-9</v>
      </c>
      <c r="P109" s="11">
        <v>-5.9533246291199799E-10</v>
      </c>
      <c r="Q109" s="12">
        <v>1.9199706733308998E-9</v>
      </c>
      <c r="R109" s="25" t="s">
        <v>249</v>
      </c>
      <c r="S109" s="11" t="s">
        <v>249</v>
      </c>
      <c r="T109" s="11" t="s">
        <v>249</v>
      </c>
      <c r="U109" s="12" t="s">
        <v>249</v>
      </c>
      <c r="W109" s="13">
        <v>34.07485483</v>
      </c>
      <c r="X109" s="13">
        <v>125.11083167</v>
      </c>
      <c r="Y109" s="13">
        <v>554.36400000000003</v>
      </c>
      <c r="Z109" s="8">
        <v>-1.3270947903630001E-3</v>
      </c>
      <c r="AA109" s="8">
        <v>1.2869964230560001E-3</v>
      </c>
      <c r="AB109" s="8">
        <v>-1.42373062142592E-5</v>
      </c>
      <c r="AC109" s="8">
        <v>1.8487138979449999E-3</v>
      </c>
    </row>
    <row r="110">
      <c r="A110" s="31" t="s">
        <v>123</v>
      </c>
      <c r="B110" s="32" t="s">
        <v>11</v>
      </c>
      <c r="C110" s="32" t="s">
        <v>103</v>
      </c>
      <c r="D110" s="32" t="s">
        <v>13</v>
      </c>
      <c r="E110" s="32">
        <v>-3279714.7492999998</v>
      </c>
      <c r="F110" s="32">
        <v>4052266.5285999998</v>
      </c>
      <c r="G110" s="32">
        <v>3662441.4251000001</v>
      </c>
      <c r="H110" s="32">
        <v>-3279714.7492999998</v>
      </c>
      <c r="I110" s="32">
        <v>4052266.5285999998</v>
      </c>
      <c r="J110" s="32">
        <v>3662441.4251000001</v>
      </c>
      <c r="K110" s="32">
        <v>0</v>
      </c>
      <c r="L110" s="32">
        <v>0</v>
      </c>
      <c r="M110" s="32">
        <v>0</v>
      </c>
      <c r="N110" s="33">
        <v>0</v>
      </c>
      <c r="O110" s="34">
        <v>3.8018199209426601E-10</v>
      </c>
      <c r="P110" s="34">
        <v>2.68890474699897E-10</v>
      </c>
      <c r="Q110" s="35">
        <v>4.65661287307739E-10</v>
      </c>
      <c r="R110" s="33">
        <v>1.48192077204542E-5</v>
      </c>
      <c r="S110" s="34">
        <v>-1.62856035513976E-4</v>
      </c>
      <c r="T110" s="34">
        <v>5.7082283766373802E-5</v>
      </c>
      <c r="U110" s="35">
        <f t="shared" si="1"/>
        <v>1.7320532422756584E-4</v>
      </c>
      <c r="W110" s="13">
        <v>35.270539030000002</v>
      </c>
      <c r="X110" s="13">
        <v>128.98508712</v>
      </c>
      <c r="Y110" s="13">
        <v>50.001100000000001</v>
      </c>
      <c r="Z110" s="8">
        <v>-7.7973965280167504E-5</v>
      </c>
      <c r="AA110" s="8">
        <v>4.1902691846360901E-4</v>
      </c>
      <c r="AB110" s="8">
        <v>-2.6916509216573301E-5</v>
      </c>
      <c r="AC110" s="8">
        <v>4.2706907652864201E-4</v>
      </c>
    </row>
    <row r="111">
      <c r="A111" s="65" t="s">
        <v>124</v>
      </c>
      <c r="B111" s="66" t="s">
        <v>11</v>
      </c>
      <c r="C111" s="66" t="s">
        <v>103</v>
      </c>
      <c r="D111" s="66" t="s">
        <v>254</v>
      </c>
      <c r="E111" s="66">
        <v>-3205441.7393</v>
      </c>
      <c r="F111" s="66">
        <v>4208038.5780999996</v>
      </c>
      <c r="G111" s="66">
        <v>3551612.0843000002</v>
      </c>
      <c r="H111" s="66"/>
      <c r="I111" s="66"/>
      <c r="J111" s="66"/>
      <c r="K111" s="66"/>
      <c r="L111" s="66"/>
      <c r="M111" s="66"/>
      <c r="N111" s="67" t="s">
        <v>249</v>
      </c>
      <c r="O111" s="68" t="s">
        <v>249</v>
      </c>
      <c r="P111" s="68" t="s">
        <v>249</v>
      </c>
      <c r="Q111" s="69" t="s">
        <v>249</v>
      </c>
      <c r="R111" s="67" t="s">
        <v>249</v>
      </c>
      <c r="S111" s="68" t="s">
        <v>249</v>
      </c>
      <c r="T111" s="68" t="s">
        <v>249</v>
      </c>
      <c r="U111" s="69" t="s">
        <v>249</v>
      </c>
      <c r="W111" s="13"/>
      <c r="X111" s="13"/>
      <c r="Y111" s="13"/>
      <c r="Z111" s="8" t="s">
        <v>249</v>
      </c>
      <c r="AA111" s="8" t="s">
        <v>249</v>
      </c>
      <c r="AB111" s="8" t="s">
        <v>249</v>
      </c>
      <c r="AC111" s="8" t="s">
        <v>249</v>
      </c>
    </row>
    <row r="112">
      <c r="A112" s="31" t="s">
        <v>125</v>
      </c>
      <c r="B112" s="32" t="s">
        <v>11</v>
      </c>
      <c r="C112" s="32" t="s">
        <v>103</v>
      </c>
      <c r="D112" s="32" t="s">
        <v>13</v>
      </c>
      <c r="E112" s="32">
        <v>-3168875.7115000002</v>
      </c>
      <c r="F112" s="32">
        <v>3933765.0803999999</v>
      </c>
      <c r="G112" s="32">
        <v>3881290.0753000001</v>
      </c>
      <c r="H112" s="32">
        <v>-3168875.7115000002</v>
      </c>
      <c r="I112" s="32">
        <v>3933765.0803999999</v>
      </c>
      <c r="J112" s="32">
        <v>3881290.0753000001</v>
      </c>
      <c r="K112" s="32">
        <v>0</v>
      </c>
      <c r="L112" s="32">
        <v>0</v>
      </c>
      <c r="M112" s="32">
        <v>0</v>
      </c>
      <c r="N112" s="33">
        <v>-1.08790537383095E-9</v>
      </c>
      <c r="O112" s="34">
        <v>5.3620872525642295E-10</v>
      </c>
      <c r="P112" s="34">
        <v>-6.9318540883555302E-10</v>
      </c>
      <c r="Q112" s="35">
        <v>1.3969838619232099E-9</v>
      </c>
      <c r="R112" s="33">
        <v>-1.5575178602013199E-4</v>
      </c>
      <c r="S112" s="34">
        <v>1.5586435350818699E-4</v>
      </c>
      <c r="T112" s="34">
        <v>-3.8056006676794198E-5</v>
      </c>
      <c r="U112" s="35">
        <f t="shared" si="1"/>
        <v>2.236080839038926E-4</v>
      </c>
      <c r="W112" s="13">
        <v>37.723493140000002</v>
      </c>
      <c r="X112" s="13">
        <v>128.85345734000001</v>
      </c>
      <c r="Y112" s="13">
        <v>124.3775</v>
      </c>
      <c r="Z112" s="8">
        <v>2.5009375951096601E-4</v>
      </c>
      <c r="AA112" s="8">
        <v>4.8325615361283802E-5</v>
      </c>
      <c r="AB112" s="8">
        <v>-2.2676771461403099E-5</v>
      </c>
      <c r="AC112" s="8">
        <v>2.55727373603782E-4</v>
      </c>
    </row>
    <row r="113">
      <c r="A113" s="31" t="s">
        <v>126</v>
      </c>
      <c r="B113" s="32" t="s">
        <v>11</v>
      </c>
      <c r="C113" s="32" t="s">
        <v>103</v>
      </c>
      <c r="D113" s="32" t="s">
        <v>13</v>
      </c>
      <c r="E113" s="32">
        <v>-3189851.5219999999</v>
      </c>
      <c r="F113" s="32">
        <v>4091157.875</v>
      </c>
      <c r="G113" s="32">
        <v>3698444.7859999998</v>
      </c>
      <c r="H113" s="32">
        <v>-3189851.5219999999</v>
      </c>
      <c r="I113" s="32">
        <v>4091157.875</v>
      </c>
      <c r="J113" s="32">
        <v>3698444.7859999998</v>
      </c>
      <c r="K113" s="32">
        <v>0.111</v>
      </c>
      <c r="L113" s="32">
        <v>0</v>
      </c>
      <c r="M113" s="32">
        <v>0</v>
      </c>
      <c r="N113" s="33">
        <v>4.4813230794545302E-10</v>
      </c>
      <c r="O113" s="34">
        <v>-1.6972460097238501E-10</v>
      </c>
      <c r="P113" s="34">
        <v>1.03509110776919E-9</v>
      </c>
      <c r="Q113" s="35">
        <v>1.1406325468715101E-9</v>
      </c>
      <c r="R113" s="33">
        <v>6.9495781976328699E-5</v>
      </c>
      <c r="S113" s="34">
        <v>-1.6486282038112799E-4</v>
      </c>
      <c r="T113" s="34">
        <v>5.7270583318243696E-4</v>
      </c>
      <c r="U113" s="35">
        <f t="shared" si="1"/>
        <v>6.0000115384698286E-4</v>
      </c>
      <c r="W113" s="13">
        <v>35.66790108</v>
      </c>
      <c r="X113" s="13">
        <v>127.94333106000001</v>
      </c>
      <c r="Y113" s="13">
        <v>217.203</v>
      </c>
      <c r="Z113" s="8">
        <v>-6.7636480605127796E-4</v>
      </c>
      <c r="AA113" s="8">
        <v>8.1255665818172297E-4</v>
      </c>
      <c r="AB113" s="8">
        <v>-5.6380383256531301E-4</v>
      </c>
      <c r="AC113" s="8">
        <v>1.1981621072439999E-3</v>
      </c>
    </row>
    <row r="114">
      <c r="A114" s="31" t="s">
        <v>127</v>
      </c>
      <c r="B114" s="32" t="s">
        <v>11</v>
      </c>
      <c r="C114" s="32" t="s">
        <v>103</v>
      </c>
      <c r="D114" s="32" t="s">
        <v>13</v>
      </c>
      <c r="E114" s="32">
        <v>-3183205.4131</v>
      </c>
      <c r="F114" s="32">
        <v>4184913.1754000001</v>
      </c>
      <c r="G114" s="32">
        <v>3598351.4010000001</v>
      </c>
      <c r="H114" s="32">
        <v>-3183205.4131</v>
      </c>
      <c r="I114" s="32">
        <v>4184913.1754000001</v>
      </c>
      <c r="J114" s="32">
        <v>3598351.4010000001</v>
      </c>
      <c r="K114" s="32">
        <v>0</v>
      </c>
      <c r="L114" s="32">
        <v>0</v>
      </c>
      <c r="M114" s="32">
        <v>0</v>
      </c>
      <c r="N114" s="33">
        <v>1.7644254265595E-9</v>
      </c>
      <c r="O114" s="34">
        <v>-8.1296162691608402E-10</v>
      </c>
      <c r="P114" s="34">
        <v>3.5919928761075198E-10</v>
      </c>
      <c r="Q114" s="35">
        <v>1.9756335239481501E-9</v>
      </c>
      <c r="R114" s="33">
        <v>-7.9589837455989402E-5</v>
      </c>
      <c r="S114" s="34">
        <v>1.16694314666242E-4</v>
      </c>
      <c r="T114" s="34">
        <v>6.8819395866798502E-6</v>
      </c>
      <c r="U114" s="35">
        <f t="shared" si="1"/>
        <v>1.414194696432193E-4</v>
      </c>
      <c r="W114" s="13">
        <v>34.565790909999997</v>
      </c>
      <c r="X114" s="13">
        <v>127.25801031</v>
      </c>
      <c r="Y114" s="13">
        <v>83.014200000000002</v>
      </c>
      <c r="Z114" s="8">
        <v>-1.0484530205998099E-4</v>
      </c>
      <c r="AA114" s="8">
        <v>-3.15794268493397E-4</v>
      </c>
      <c r="AB114" s="8">
        <v>-6.0996202730224701E-5</v>
      </c>
      <c r="AC114" s="8">
        <v>3.3828847767081199E-4</v>
      </c>
    </row>
    <row r="115">
      <c r="A115" s="9" t="s">
        <v>128</v>
      </c>
      <c r="B115" s="10" t="s">
        <v>11</v>
      </c>
      <c r="C115" s="10" t="s">
        <v>103</v>
      </c>
      <c r="D115" s="10" t="s">
        <v>13</v>
      </c>
      <c r="E115" s="10">
        <v>-3273540.8339999998</v>
      </c>
      <c r="F115" s="10">
        <v>4102034.341</v>
      </c>
      <c r="G115" s="10">
        <v>3612576.5359999998</v>
      </c>
      <c r="H115" s="10">
        <v>-3273540.8339999998</v>
      </c>
      <c r="I115" s="10">
        <v>4102034.341</v>
      </c>
      <c r="J115" s="10">
        <v>3612576.5359999998</v>
      </c>
      <c r="K115" s="10">
        <v>3.2000000000000001E-2</v>
      </c>
      <c r="L115" s="10">
        <v>0</v>
      </c>
      <c r="M115" s="10">
        <v>0</v>
      </c>
      <c r="N115" s="25">
        <v>-9.4488727550401603E-10</v>
      </c>
      <c r="O115" s="11">
        <v>-2.4918610371406302E-10</v>
      </c>
      <c r="P115" s="11">
        <v>3.5957821790523602E-10</v>
      </c>
      <c r="Q115" s="12">
        <v>1.0412502929101601E-9</v>
      </c>
      <c r="R115" s="25" t="s">
        <v>249</v>
      </c>
      <c r="S115" s="11" t="s">
        <v>249</v>
      </c>
      <c r="T115" s="11" t="s">
        <v>249</v>
      </c>
      <c r="U115" s="12" t="s">
        <v>249</v>
      </c>
      <c r="W115" s="13">
        <v>34.72178692</v>
      </c>
      <c r="X115" s="13">
        <v>128.59086922</v>
      </c>
      <c r="Y115" s="13">
        <v>61.72</v>
      </c>
      <c r="Z115" s="8">
        <v>4.04741089688369E-4</v>
      </c>
      <c r="AA115" s="8">
        <v>-2.539926451528E-3</v>
      </c>
      <c r="AB115" s="8">
        <v>-6.2742562602647497E-5</v>
      </c>
      <c r="AC115" s="8">
        <v>2.5727375221769998E-3</v>
      </c>
    </row>
    <row r="116">
      <c r="A116" s="31" t="s">
        <v>129</v>
      </c>
      <c r="B116" s="32" t="s">
        <v>11</v>
      </c>
      <c r="C116" s="32" t="s">
        <v>103</v>
      </c>
      <c r="D116" s="32" t="s">
        <v>13</v>
      </c>
      <c r="E116" s="32">
        <v>-3243049.2450000001</v>
      </c>
      <c r="F116" s="32">
        <v>4105277.4309999999</v>
      </c>
      <c r="G116" s="32">
        <v>3636138.673</v>
      </c>
      <c r="H116" s="32">
        <v>-3243049.2450000001</v>
      </c>
      <c r="I116" s="32">
        <v>4105277.4309999999</v>
      </c>
      <c r="J116" s="32">
        <v>3636138.673</v>
      </c>
      <c r="K116" s="32">
        <v>0</v>
      </c>
      <c r="L116" s="32">
        <v>0</v>
      </c>
      <c r="M116" s="32">
        <v>0</v>
      </c>
      <c r="N116" s="33">
        <v>-2.1191132454548499E-10</v>
      </c>
      <c r="O116" s="34">
        <v>-9.6599306099125196E-10</v>
      </c>
      <c r="P116" s="34">
        <v>5.6832526217715604E-10</v>
      </c>
      <c r="Q116" s="35">
        <v>1.1406325468715101E-9</v>
      </c>
      <c r="R116" s="33">
        <v>9.1014777590745299E-5</v>
      </c>
      <c r="S116" s="34">
        <v>8.7151512211499499E-5</v>
      </c>
      <c r="T116" s="34">
        <v>-4.73413253711377E-4</v>
      </c>
      <c r="U116" s="35">
        <f t="shared" si="1"/>
        <v>4.8989711635223632E-4</v>
      </c>
      <c r="W116" s="13">
        <v>34.980663720000003</v>
      </c>
      <c r="X116" s="13">
        <v>128.30770497</v>
      </c>
      <c r="Y116" s="13">
        <v>50.924999999999997</v>
      </c>
      <c r="Z116" s="8">
        <v>8.7440697624076996E-4</v>
      </c>
      <c r="AA116" s="8">
        <v>-1.42954444491184E-4</v>
      </c>
      <c r="AB116" s="8">
        <v>3.1015725160301E-4</v>
      </c>
      <c r="AC116" s="8">
        <v>9.3873375033618704E-4</v>
      </c>
    </row>
    <row r="117">
      <c r="A117" s="31" t="s">
        <v>130</v>
      </c>
      <c r="B117" s="32" t="s">
        <v>11</v>
      </c>
      <c r="C117" s="32" t="s">
        <v>103</v>
      </c>
      <c r="D117" s="32" t="s">
        <v>13</v>
      </c>
      <c r="E117" s="32">
        <v>-3132489.273</v>
      </c>
      <c r="F117" s="32">
        <v>4040303.9879999999</v>
      </c>
      <c r="G117" s="32">
        <v>3801190.1230000001</v>
      </c>
      <c r="H117" s="32">
        <v>-3132489.273</v>
      </c>
      <c r="I117" s="32">
        <v>4040303.9879999999</v>
      </c>
      <c r="J117" s="32">
        <v>3801190.1230000001</v>
      </c>
      <c r="K117" s="32">
        <v>3.4000000000000002E-2</v>
      </c>
      <c r="L117" s="32">
        <v>0</v>
      </c>
      <c r="M117" s="32">
        <v>0</v>
      </c>
      <c r="N117" s="33">
        <v>-3.6801039390974799E-10</v>
      </c>
      <c r="O117" s="34">
        <v>5.43770097136656E-10</v>
      </c>
      <c r="P117" s="34">
        <v>5.0629047281025898E-11</v>
      </c>
      <c r="Q117" s="35">
        <v>6.5854450798271898E-10</v>
      </c>
      <c r="R117" s="33">
        <v>2.2733261575240901E-4</v>
      </c>
      <c r="S117" s="34">
        <v>1.47435367599999E-3</v>
      </c>
      <c r="T117" s="34">
        <v>5.3348101990803999E-4</v>
      </c>
      <c r="U117" s="35">
        <f t="shared" si="1"/>
        <v>1.5842982290975517E-3</v>
      </c>
      <c r="W117" s="13">
        <v>36.816165419999997</v>
      </c>
      <c r="X117" s="13">
        <v>127.78678988999999</v>
      </c>
      <c r="Y117" s="13">
        <v>183.17099999999999</v>
      </c>
      <c r="Z117" s="8">
        <v>-3.7258913654573402E-4</v>
      </c>
      <c r="AA117" s="8">
        <v>-1.8412609587970001E-3</v>
      </c>
      <c r="AB117" s="8">
        <v>-3.5530958422898902E-4</v>
      </c>
      <c r="AC117" s="8">
        <v>1.9118863678860001E-3</v>
      </c>
    </row>
    <row r="118">
      <c r="A118" s="31" t="s">
        <v>131</v>
      </c>
      <c r="B118" s="32" t="s">
        <v>11</v>
      </c>
      <c r="C118" s="32" t="s">
        <v>103</v>
      </c>
      <c r="D118" s="32" t="s">
        <v>13</v>
      </c>
      <c r="E118" s="32">
        <v>-3263936.6830000002</v>
      </c>
      <c r="F118" s="32">
        <v>4025010.5890000002</v>
      </c>
      <c r="G118" s="32">
        <v>3706337.0189999999</v>
      </c>
      <c r="H118" s="32">
        <v>-3263936.6830000002</v>
      </c>
      <c r="I118" s="32">
        <v>4025010.5890000002</v>
      </c>
      <c r="J118" s="32">
        <v>3706337.0189999999</v>
      </c>
      <c r="K118" s="32">
        <v>0</v>
      </c>
      <c r="L118" s="32">
        <v>0</v>
      </c>
      <c r="M118" s="32">
        <v>0</v>
      </c>
      <c r="N118" s="33">
        <v>-7.2337371243322905E-10</v>
      </c>
      <c r="O118" s="34">
        <v>7.2065518023860801E-10</v>
      </c>
      <c r="P118" s="34">
        <v>-2.03933214169073E-10</v>
      </c>
      <c r="Q118" s="35">
        <v>1.0412502929101601E-9</v>
      </c>
      <c r="R118" s="33">
        <v>-1.3667462765012701E-3</v>
      </c>
      <c r="S118" s="34">
        <v>-9.4998444791846205E-4</v>
      </c>
      <c r="T118" s="34">
        <v>8.0593654894574296E-4</v>
      </c>
      <c r="U118" s="35">
        <f t="shared" si="1"/>
        <v>1.8493240809938113E-3</v>
      </c>
      <c r="W118" s="13">
        <v>35.755449970000001</v>
      </c>
      <c r="X118" s="13">
        <v>129.03907341999999</v>
      </c>
      <c r="Y118" s="13">
        <v>225.15299999999999</v>
      </c>
      <c r="Z118" s="8">
        <v>1.060782232894E-3</v>
      </c>
      <c r="AA118" s="8">
        <v>1.178468510447E-3</v>
      </c>
      <c r="AB118" s="8">
        <v>-7.6603266780712399E-4</v>
      </c>
      <c r="AC118" s="8">
        <v>1.760923912009E-3</v>
      </c>
    </row>
    <row r="119">
      <c r="A119" s="31" t="s">
        <v>132</v>
      </c>
      <c r="B119" s="32" t="s">
        <v>11</v>
      </c>
      <c r="C119" s="32" t="s">
        <v>103</v>
      </c>
      <c r="D119" s="32" t="s">
        <v>13</v>
      </c>
      <c r="E119" s="32">
        <v>-3284756.4753</v>
      </c>
      <c r="F119" s="32">
        <v>4014815.2730999999</v>
      </c>
      <c r="G119" s="32">
        <v>3698922.2149</v>
      </c>
      <c r="H119" s="32">
        <v>-3284756.4753</v>
      </c>
      <c r="I119" s="32">
        <v>4014815.2730999999</v>
      </c>
      <c r="J119" s="32">
        <v>3698922.2149</v>
      </c>
      <c r="K119" s="32">
        <v>0</v>
      </c>
      <c r="L119" s="32">
        <v>0</v>
      </c>
      <c r="M119" s="32">
        <v>0</v>
      </c>
      <c r="N119" s="33">
        <v>0</v>
      </c>
      <c r="O119" s="34">
        <v>-3.78281004213638E-10</v>
      </c>
      <c r="P119" s="34">
        <v>-2.7155831113818301E-10</v>
      </c>
      <c r="Q119" s="35">
        <v>4.65661287307739E-10</v>
      </c>
      <c r="R119" s="33">
        <v>3.5174805797192798E-5</v>
      </c>
      <c r="S119" s="34">
        <v>1.28025437142916E-4</v>
      </c>
      <c r="T119" s="34">
        <v>-3.4981752904918899E-4</v>
      </c>
      <c r="U119" s="35">
        <f t="shared" si="1"/>
        <v>3.741658497893483E-4</v>
      </c>
      <c r="W119" s="13">
        <v>35.67360455</v>
      </c>
      <c r="X119" s="13">
        <v>129.28861710000001</v>
      </c>
      <c r="Y119" s="13">
        <v>154.31139999999999</v>
      </c>
      <c r="Z119" s="8">
        <v>2.2880713874712499E-4</v>
      </c>
      <c r="AA119" s="8">
        <v>-4.7195887944073602E-4</v>
      </c>
      <c r="AB119" s="8">
        <v>-2.6450420961436101E-6</v>
      </c>
      <c r="AC119" s="8">
        <v>5.2450442026001295E-4</v>
      </c>
    </row>
    <row r="120">
      <c r="A120" s="31" t="s">
        <v>133</v>
      </c>
      <c r="B120" s="32" t="s">
        <v>11</v>
      </c>
      <c r="C120" s="32" t="s">
        <v>103</v>
      </c>
      <c r="D120" s="32" t="s">
        <v>13</v>
      </c>
      <c r="E120" s="32">
        <v>-3192918.3909999998</v>
      </c>
      <c r="F120" s="32">
        <v>4129777.8080000002</v>
      </c>
      <c r="G120" s="32">
        <v>3652656.49</v>
      </c>
      <c r="H120" s="32">
        <v>-3192918.3909999998</v>
      </c>
      <c r="I120" s="32">
        <v>4129777.8080000002</v>
      </c>
      <c r="J120" s="32">
        <v>3652656.49</v>
      </c>
      <c r="K120" s="32">
        <v>3.4000000000000002E-2</v>
      </c>
      <c r="L120" s="32">
        <v>0</v>
      </c>
      <c r="M120" s="32">
        <v>0</v>
      </c>
      <c r="N120" s="33">
        <v>6.5322011617947202E-10</v>
      </c>
      <c r="O120" s="34">
        <v>4.81290353709362E-11</v>
      </c>
      <c r="P120" s="34">
        <v>-6.8322359202101706E-11</v>
      </c>
      <c r="Q120" s="35">
        <v>6.5854450798271898E-10</v>
      </c>
      <c r="R120" s="33">
        <v>-9.2077929568826797E-4</v>
      </c>
      <c r="S120" s="34">
        <v>-4.35550326238176E-4</v>
      </c>
      <c r="T120" s="34">
        <v>-2.49919600626214E-4</v>
      </c>
      <c r="U120" s="35">
        <f t="shared" si="1"/>
        <v>1.0488080877031462E-3</v>
      </c>
      <c r="W120" s="13">
        <v>35.162416329999999</v>
      </c>
      <c r="X120" s="13">
        <v>127.70923481</v>
      </c>
      <c r="Y120" s="13">
        <v>76.591999999999999</v>
      </c>
      <c r="Z120" s="8">
        <v>4.3053060635106499E-4</v>
      </c>
      <c r="AA120" s="8">
        <v>8.4656783456454898E-4</v>
      </c>
      <c r="AB120" s="8">
        <v>4.0195041233128602E-4</v>
      </c>
      <c r="AC120" s="8">
        <v>1.0313087973529999E-3</v>
      </c>
    </row>
    <row r="121">
      <c r="A121" s="31" t="s">
        <v>134</v>
      </c>
      <c r="B121" s="32" t="s">
        <v>11</v>
      </c>
      <c r="C121" s="32" t="s">
        <v>103</v>
      </c>
      <c r="D121" s="32" t="s">
        <v>13</v>
      </c>
      <c r="E121" s="32">
        <v>-3063400.6320000002</v>
      </c>
      <c r="F121" s="32">
        <v>3966503.21</v>
      </c>
      <c r="G121" s="32">
        <v>3932683.483</v>
      </c>
      <c r="H121" s="32">
        <v>-3063400.6320000002</v>
      </c>
      <c r="I121" s="32">
        <v>3966503.21</v>
      </c>
      <c r="J121" s="32">
        <v>3932683.483</v>
      </c>
      <c r="K121" s="32">
        <v>3.5000000000000003E-2</v>
      </c>
      <c r="L121" s="32">
        <v>0</v>
      </c>
      <c r="M121" s="32">
        <v>0</v>
      </c>
      <c r="N121" s="33">
        <v>6.5317672135094805E-10</v>
      </c>
      <c r="O121" s="34">
        <v>5.20155152746764E-11</v>
      </c>
      <c r="P121" s="34">
        <v>-6.5843950748240706E-11</v>
      </c>
      <c r="Q121" s="35">
        <v>6.5854450798271898E-10</v>
      </c>
      <c r="R121" s="33">
        <v>7.9144699777550006E-5</v>
      </c>
      <c r="S121" s="34">
        <v>4.0578442954343401E-5</v>
      </c>
      <c r="T121" s="34">
        <v>1.0995240628480201E-4</v>
      </c>
      <c r="U121" s="35">
        <f t="shared" si="1"/>
        <v>1.414214452736769E-4</v>
      </c>
      <c r="W121" s="13">
        <v>38.308089500000001</v>
      </c>
      <c r="X121" s="13">
        <v>127.67954422</v>
      </c>
      <c r="Y121" s="13">
        <v>561.48400000000004</v>
      </c>
      <c r="Z121" s="8">
        <v>-8.2076280972000096E-4</v>
      </c>
      <c r="AA121" s="8">
        <v>-1.96898386427177E-4</v>
      </c>
      <c r="AB121" s="8">
        <v>-2.97950929912318E-4</v>
      </c>
      <c r="AC121" s="8">
        <v>8.9509514635747599E-4</v>
      </c>
    </row>
    <row r="122">
      <c r="A122" s="31" t="s">
        <v>135</v>
      </c>
      <c r="B122" s="32" t="s">
        <v>11</v>
      </c>
      <c r="C122" s="32" t="s">
        <v>103</v>
      </c>
      <c r="D122" s="32" t="s">
        <v>13</v>
      </c>
      <c r="E122" s="32">
        <v>-3062762.6974999998</v>
      </c>
      <c r="F122" s="32">
        <v>3987974.0292000002</v>
      </c>
      <c r="G122" s="32">
        <v>3911130.6116999998</v>
      </c>
      <c r="H122" s="32">
        <v>-3062762.6974999998</v>
      </c>
      <c r="I122" s="32">
        <v>3987974.0292000002</v>
      </c>
      <c r="J122" s="32">
        <v>3911130.6116999998</v>
      </c>
      <c r="K122" s="32">
        <v>0</v>
      </c>
      <c r="L122" s="32">
        <v>0</v>
      </c>
      <c r="M122" s="32">
        <v>0</v>
      </c>
      <c r="N122" s="33">
        <v>-6.5294689124352099E-10</v>
      </c>
      <c r="O122" s="34">
        <v>-4.1945565175362298E-10</v>
      </c>
      <c r="P122" s="34">
        <v>-2.1963291401487701E-10</v>
      </c>
      <c r="Q122" s="35">
        <v>8.06549008734932E-10</v>
      </c>
      <c r="R122" s="33">
        <v>4.2509429299352498E-5</v>
      </c>
      <c r="S122" s="34">
        <v>2.14078555676559E-4</v>
      </c>
      <c r="T122" s="34">
        <v>-1.11189971241501E-4</v>
      </c>
      <c r="U122" s="35">
        <f t="shared" si="1"/>
        <v>2.4494874828135792E-4</v>
      </c>
      <c r="W122" s="13">
        <v>38.062913350000002</v>
      </c>
      <c r="X122" s="13">
        <v>127.52425035</v>
      </c>
      <c r="Y122" s="13">
        <v>301.96620000000001</v>
      </c>
      <c r="Z122" s="8">
        <v>1.75381295799489E-4</v>
      </c>
      <c r="AA122" s="8">
        <v>-2.0234431336357001E-4</v>
      </c>
      <c r="AB122" s="8">
        <v>-1.1611786702367001E-5</v>
      </c>
      <c r="AC122" s="8">
        <v>2.6802360652991699E-4</v>
      </c>
    </row>
    <row r="123">
      <c r="A123" s="31" t="s">
        <v>136</v>
      </c>
      <c r="B123" s="32" t="s">
        <v>11</v>
      </c>
      <c r="C123" s="32" t="s">
        <v>103</v>
      </c>
      <c r="D123" s="32" t="s">
        <v>13</v>
      </c>
      <c r="E123" s="32">
        <v>-3124135.8309999998</v>
      </c>
      <c r="F123" s="32">
        <v>3970877.7230000002</v>
      </c>
      <c r="G123" s="32">
        <v>3880183.26</v>
      </c>
      <c r="H123" s="32">
        <v>-3124135.8309999998</v>
      </c>
      <c r="I123" s="32">
        <v>3970877.7230000002</v>
      </c>
      <c r="J123" s="32">
        <v>3880183.26</v>
      </c>
      <c r="K123" s="32">
        <v>0.105</v>
      </c>
      <c r="L123" s="32">
        <v>0</v>
      </c>
      <c r="M123" s="32">
        <v>0</v>
      </c>
      <c r="N123" s="33">
        <v>-2.8793260215255201E-10</v>
      </c>
      <c r="O123" s="34">
        <v>-2.23847857131216E-10</v>
      </c>
      <c r="P123" s="34">
        <v>2.89529597748698E-10</v>
      </c>
      <c r="Q123" s="35">
        <v>4.65661287307739E-10</v>
      </c>
      <c r="R123" s="33">
        <v>-1.06907380603796E-4</v>
      </c>
      <c r="S123" s="34">
        <v>-2.3808356630762299E-5</v>
      </c>
      <c r="T123" s="34">
        <v>3.5777693703271398E-4</v>
      </c>
      <c r="U123" s="35">
        <f t="shared" si="1"/>
        <v>3.7416622314892755E-4</v>
      </c>
      <c r="W123" s="13">
        <v>37.70916089</v>
      </c>
      <c r="X123" s="13">
        <v>128.19432497</v>
      </c>
      <c r="Y123" s="13">
        <v>372.18400000000003</v>
      </c>
      <c r="Z123" s="8">
        <v>2.92655004693831E-4</v>
      </c>
      <c r="AA123" s="8">
        <v>7.9968316954767097E-4</v>
      </c>
      <c r="AB123" s="8">
        <v>7.6293749607085702E-4</v>
      </c>
      <c r="AC123" s="8">
        <v>1.1433344857660001E-3</v>
      </c>
    </row>
    <row r="124">
      <c r="A124" s="65" t="s">
        <v>137</v>
      </c>
      <c r="B124" s="66" t="s">
        <v>11</v>
      </c>
      <c r="C124" s="66" t="s">
        <v>103</v>
      </c>
      <c r="D124" s="66" t="s">
        <v>254</v>
      </c>
      <c r="E124" s="66">
        <v>-3044008.6030999999</v>
      </c>
      <c r="F124" s="66">
        <v>4278253.5562000005</v>
      </c>
      <c r="G124" s="66">
        <v>3608897.3361999998</v>
      </c>
      <c r="H124" s="66"/>
      <c r="I124" s="66"/>
      <c r="J124" s="66"/>
      <c r="K124" s="66"/>
      <c r="L124" s="66"/>
      <c r="M124" s="66"/>
      <c r="N124" s="67" t="s">
        <v>249</v>
      </c>
      <c r="O124" s="68" t="s">
        <v>249</v>
      </c>
      <c r="P124" s="68" t="s">
        <v>249</v>
      </c>
      <c r="Q124" s="69" t="s">
        <v>249</v>
      </c>
      <c r="R124" s="67" t="s">
        <v>249</v>
      </c>
      <c r="S124" s="68" t="s">
        <v>249</v>
      </c>
      <c r="T124" s="68" t="s">
        <v>249</v>
      </c>
      <c r="U124" s="69" t="s">
        <v>249</v>
      </c>
      <c r="W124" s="13"/>
      <c r="X124" s="13"/>
      <c r="Y124" s="13"/>
      <c r="Z124" s="8" t="s">
        <v>249</v>
      </c>
      <c r="AA124" s="8" t="s">
        <v>249</v>
      </c>
      <c r="AB124" s="8" t="s">
        <v>249</v>
      </c>
      <c r="AC124" s="8" t="s">
        <v>249</v>
      </c>
    </row>
    <row r="125">
      <c r="A125" s="31" t="s">
        <v>138</v>
      </c>
      <c r="B125" s="32" t="s">
        <v>11</v>
      </c>
      <c r="C125" s="32" t="s">
        <v>103</v>
      </c>
      <c r="D125" s="32" t="s">
        <v>13</v>
      </c>
      <c r="E125" s="32">
        <v>-3107917.4356999998</v>
      </c>
      <c r="F125" s="32">
        <v>4033814.2406000001</v>
      </c>
      <c r="G125" s="32">
        <v>3827858.1031999998</v>
      </c>
      <c r="H125" s="32">
        <v>-3107917.4356999998</v>
      </c>
      <c r="I125" s="32">
        <v>4033814.2406000001</v>
      </c>
      <c r="J125" s="32">
        <v>3827858.1031999998</v>
      </c>
      <c r="K125" s="32">
        <v>0</v>
      </c>
      <c r="L125" s="32">
        <v>0</v>
      </c>
      <c r="M125" s="32">
        <v>0</v>
      </c>
      <c r="N125" s="33">
        <v>1.9592366336319499E-9</v>
      </c>
      <c r="O125" s="34">
        <v>-2.1803794599594399E-10</v>
      </c>
      <c r="P125" s="34">
        <v>-4.8354888375977796E-10</v>
      </c>
      <c r="Q125" s="35">
        <v>2.0297704932934899E-9</v>
      </c>
      <c r="R125" s="33">
        <v>-1.8180266008158601E-5</v>
      </c>
      <c r="S125" s="34">
        <v>2.4411255336234501E-4</v>
      </c>
      <c r="T125" s="34">
        <v>8.8559871610846693E-6</v>
      </c>
      <c r="U125" s="35">
        <f t="shared" si="1"/>
        <v>2.4494874829198137E-4</v>
      </c>
      <c r="W125" s="13">
        <v>37.117403690000003</v>
      </c>
      <c r="X125" s="13">
        <v>127.6130355</v>
      </c>
      <c r="Y125" s="13">
        <v>111.5446</v>
      </c>
      <c r="Z125" s="8">
        <v>2.5968319346502701E-4</v>
      </c>
      <c r="AA125" s="8">
        <v>-6.4674923463043396E-4</v>
      </c>
      <c r="AB125" s="8">
        <v>-7.6922204843718803E-5</v>
      </c>
      <c r="AC125" s="8">
        <v>7.0116828155676397E-4</v>
      </c>
    </row>
    <row r="126">
      <c r="A126" s="31" t="s">
        <v>139</v>
      </c>
      <c r="B126" s="32" t="s">
        <v>11</v>
      </c>
      <c r="C126" s="32" t="s">
        <v>103</v>
      </c>
      <c r="D126" s="32" t="s">
        <v>13</v>
      </c>
      <c r="E126" s="32">
        <v>-3027084.3717999998</v>
      </c>
      <c r="F126" s="32">
        <v>4069463.5817999998</v>
      </c>
      <c r="G126" s="32">
        <v>3854529.7651999998</v>
      </c>
      <c r="H126" s="32">
        <v>-3027084.3717999998</v>
      </c>
      <c r="I126" s="32">
        <v>4069463.5817999998</v>
      </c>
      <c r="J126" s="32">
        <v>3854529.7651999998</v>
      </c>
      <c r="K126" s="32">
        <v>0</v>
      </c>
      <c r="L126" s="32">
        <v>0</v>
      </c>
      <c r="M126" s="32">
        <v>0</v>
      </c>
      <c r="N126" s="33">
        <v>-2.77924812092054E-10</v>
      </c>
      <c r="O126" s="34">
        <v>-2.2703541406516901E-10</v>
      </c>
      <c r="P126" s="34">
        <v>2.9673751714428401E-10</v>
      </c>
      <c r="Q126" s="35">
        <v>4.65661287307739E-10</v>
      </c>
      <c r="R126" s="33">
        <v>-4.1104616024247697E-5</v>
      </c>
      <c r="S126" s="34">
        <v>5.6714677403810502E-4</v>
      </c>
      <c r="T126" s="34">
        <v>8.1575554764477701E-5</v>
      </c>
      <c r="U126" s="35">
        <f t="shared" si="1"/>
        <v>5.7445593729672816E-4</v>
      </c>
      <c r="W126" s="13">
        <v>37.419790329999998</v>
      </c>
      <c r="X126" s="13">
        <v>126.64384081</v>
      </c>
      <c r="Y126" s="13">
        <v>52.704999999999998</v>
      </c>
      <c r="Z126" s="8">
        <v>-3.0531209878772298E-4</v>
      </c>
      <c r="AA126" s="8">
        <v>-1.5709805980100201E-4</v>
      </c>
      <c r="AB126" s="8">
        <v>-7.1703271507112597E-6</v>
      </c>
      <c r="AC126" s="8">
        <v>3.4343367867879798E-4</v>
      </c>
    </row>
    <row r="127">
      <c r="A127" s="31" t="s">
        <v>140</v>
      </c>
      <c r="B127" s="32" t="s">
        <v>11</v>
      </c>
      <c r="C127" s="32" t="s">
        <v>103</v>
      </c>
      <c r="D127" s="32" t="s">
        <v>13</v>
      </c>
      <c r="E127" s="32">
        <v>-3079967.0754999998</v>
      </c>
      <c r="F127" s="32">
        <v>4220601.1125999996</v>
      </c>
      <c r="G127" s="32">
        <v>3645789.3251999998</v>
      </c>
      <c r="H127" s="32">
        <v>-3079967.0754999998</v>
      </c>
      <c r="I127" s="32">
        <v>4220601.1125999996</v>
      </c>
      <c r="J127" s="32">
        <v>3645789.3251999998</v>
      </c>
      <c r="K127" s="32">
        <v>0</v>
      </c>
      <c r="L127" s="32">
        <v>0</v>
      </c>
      <c r="M127" s="32">
        <v>0</v>
      </c>
      <c r="N127" s="33">
        <v>5.7946826413010201E-10</v>
      </c>
      <c r="O127" s="34">
        <v>-5.2475939373583605E-10</v>
      </c>
      <c r="P127" s="34">
        <v>1.5571159855680099E-9</v>
      </c>
      <c r="Q127" s="35">
        <v>1.74234499538966E-9</v>
      </c>
      <c r="R127" s="33">
        <v>5.89482476378873E-5</v>
      </c>
      <c r="S127" s="34">
        <v>4.6432471488331001E-5</v>
      </c>
      <c r="T127" s="34">
        <v>-6.6097726557925098E-5</v>
      </c>
      <c r="U127" s="35">
        <f t="shared" si="1"/>
        <v>9.9998898815029932E-5</v>
      </c>
      <c r="W127" s="13">
        <v>35.087025189999999</v>
      </c>
      <c r="X127" s="13">
        <v>126.11995176000001</v>
      </c>
      <c r="Y127" s="13">
        <v>31.2485</v>
      </c>
      <c r="Z127" s="8">
        <v>2.9060644603859202E-4</v>
      </c>
      <c r="AA127" s="8">
        <v>-1.7848243257447699E-4</v>
      </c>
      <c r="AB127" s="8">
        <v>3.9800955926867298E-5</v>
      </c>
      <c r="AC127" s="8">
        <v>3.4335433783422E-4</v>
      </c>
    </row>
    <row r="128">
      <c r="A128" s="31" t="s">
        <v>141</v>
      </c>
      <c r="B128" s="32" t="s">
        <v>11</v>
      </c>
      <c r="C128" s="32" t="s">
        <v>103</v>
      </c>
      <c r="D128" s="32" t="s">
        <v>13</v>
      </c>
      <c r="E128" s="32">
        <v>-3030123.3429999999</v>
      </c>
      <c r="F128" s="32">
        <v>4067231.0150000001</v>
      </c>
      <c r="G128" s="32">
        <v>3854557.4360000002</v>
      </c>
      <c r="H128" s="32">
        <v>-3030123.3429999999</v>
      </c>
      <c r="I128" s="32">
        <v>4067231.0150000001</v>
      </c>
      <c r="J128" s="32">
        <v>3854557.4360000002</v>
      </c>
      <c r="K128" s="32">
        <v>5.8000000000000003E-2</v>
      </c>
      <c r="L128" s="32">
        <v>0</v>
      </c>
      <c r="M128" s="32">
        <v>0</v>
      </c>
      <c r="N128" s="33">
        <v>9.2982677505757703E-10</v>
      </c>
      <c r="O128" s="34">
        <v>-8.5059882949120203E-11</v>
      </c>
      <c r="P128" s="34">
        <v>-6.5515615824115697E-10</v>
      </c>
      <c r="Q128" s="35">
        <v>1.1406325468715101E-9</v>
      </c>
      <c r="R128" s="33">
        <v>6.9807647029243797E-4</v>
      </c>
      <c r="S128" s="34">
        <v>1.31899555266742E-3</v>
      </c>
      <c r="T128" s="34">
        <v>2.50880345798328E-4</v>
      </c>
      <c r="U128" s="35">
        <f t="shared" si="1"/>
        <v>1.5132749169401672E-3</v>
      </c>
      <c r="W128" s="13">
        <v>37.419857720000003</v>
      </c>
      <c r="X128" s="13">
        <v>126.68643897</v>
      </c>
      <c r="Y128" s="13">
        <v>88.463999999999999</v>
      </c>
      <c r="Z128" s="8">
        <v>-5.13819341452668E-4</v>
      </c>
      <c r="AA128" s="8">
        <v>2.0176343384170001E-3</v>
      </c>
      <c r="AB128" s="8">
        <v>-1.3570751406945101E-4</v>
      </c>
      <c r="AC128" s="8">
        <v>2.0864503752989999E-3</v>
      </c>
    </row>
    <row r="129">
      <c r="A129" s="31" t="s">
        <v>142</v>
      </c>
      <c r="B129" s="32" t="s">
        <v>11</v>
      </c>
      <c r="C129" s="32" t="s">
        <v>103</v>
      </c>
      <c r="D129" s="32" t="s">
        <v>13</v>
      </c>
      <c r="E129" s="32">
        <v>-3107269.639</v>
      </c>
      <c r="F129" s="32">
        <v>3952779.6690000002</v>
      </c>
      <c r="G129" s="32">
        <v>3911675.628</v>
      </c>
      <c r="H129" s="32">
        <v>-3107269.639</v>
      </c>
      <c r="I129" s="32">
        <v>3952779.6690000002</v>
      </c>
      <c r="J129" s="32">
        <v>3911675.628</v>
      </c>
      <c r="K129" s="32">
        <v>0.125</v>
      </c>
      <c r="L129" s="32">
        <v>0</v>
      </c>
      <c r="M129" s="32">
        <v>0</v>
      </c>
      <c r="N129" s="33">
        <v>-2.09474687259898E-10</v>
      </c>
      <c r="O129" s="34">
        <v>1.04271224604868E-10</v>
      </c>
      <c r="P129" s="34">
        <v>1.3772478998316399E-9</v>
      </c>
      <c r="Q129" s="35">
        <v>1.3969838619232099E-9</v>
      </c>
      <c r="R129" s="33">
        <v>-2.4173809014936E-4</v>
      </c>
      <c r="S129" s="34">
        <v>-1.45470943245105E-3</v>
      </c>
      <c r="T129" s="34">
        <v>7.3369706869290296E-5</v>
      </c>
      <c r="U129" s="35">
        <f t="shared" si="1"/>
        <v>1.4764822894221257E-3</v>
      </c>
      <c r="W129" s="13">
        <v>38.069463640000002</v>
      </c>
      <c r="X129" s="13">
        <v>128.17079455999999</v>
      </c>
      <c r="Y129" s="13">
        <v>257.483</v>
      </c>
      <c r="Z129" s="8">
        <v>-1.84960234988772E-4</v>
      </c>
      <c r="AA129" s="8">
        <v>-1.7387171301760001E-3</v>
      </c>
      <c r="AB129" s="8">
        <v>2.1061350489989002E-5</v>
      </c>
      <c r="AC129" s="8">
        <v>1.748654090373E-3</v>
      </c>
    </row>
    <row r="130">
      <c r="A130" s="31" t="s">
        <v>143</v>
      </c>
      <c r="B130" s="32" t="s">
        <v>11</v>
      </c>
      <c r="C130" s="32" t="s">
        <v>103</v>
      </c>
      <c r="D130" s="32" t="s">
        <v>13</v>
      </c>
      <c r="E130" s="32">
        <v>-3152833.4720000001</v>
      </c>
      <c r="F130" s="32">
        <v>4199245.4179999996</v>
      </c>
      <c r="G130" s="32">
        <v>3608372.378</v>
      </c>
      <c r="H130" s="32">
        <v>-3152833.4720000001</v>
      </c>
      <c r="I130" s="32">
        <v>4199245.4179999996</v>
      </c>
      <c r="J130" s="32">
        <v>3608372.378</v>
      </c>
      <c r="K130" s="32">
        <v>3.5000000000000003E-2</v>
      </c>
      <c r="L130" s="32">
        <v>0</v>
      </c>
      <c r="M130" s="32">
        <v>0</v>
      </c>
      <c r="N130" s="33">
        <v>1.67633217658552E-9</v>
      </c>
      <c r="O130" s="34">
        <v>-5.3479269104076198E-11</v>
      </c>
      <c r="P130" s="34">
        <v>7.7304915642189896E-11</v>
      </c>
      <c r="Q130" s="35">
        <v>1.6789656483866201E-9</v>
      </c>
      <c r="R130" s="33">
        <v>-6.7986410070902399E-4</v>
      </c>
      <c r="S130" s="34">
        <v>-1.8083498312435701E-4</v>
      </c>
      <c r="T130" s="34">
        <v>-4.4168078320716802E-4</v>
      </c>
      <c r="U130" s="35">
        <f t="shared" si="1"/>
        <v>8.3066142369136997E-4</v>
      </c>
      <c r="W130" s="13">
        <v>34.675348829999997</v>
      </c>
      <c r="X130" s="13">
        <v>126.89957094</v>
      </c>
      <c r="Y130" s="13">
        <v>116.773</v>
      </c>
      <c r="Z130" s="8">
        <v>1.1404140768289999E-3</v>
      </c>
      <c r="AA130" s="8">
        <v>5.0327035760432202E-4</v>
      </c>
      <c r="AB130" s="8">
        <v>5.0226117362004005E-4</v>
      </c>
      <c r="AC130" s="8">
        <v>1.3439090765369999E-3</v>
      </c>
    </row>
    <row r="131">
      <c r="A131" s="31" t="s">
        <v>144</v>
      </c>
      <c r="B131" s="32" t="s">
        <v>11</v>
      </c>
      <c r="C131" s="32" t="s">
        <v>103</v>
      </c>
      <c r="D131" s="32" t="s">
        <v>13</v>
      </c>
      <c r="E131" s="32">
        <v>-3160856.1260000002</v>
      </c>
      <c r="F131" s="32">
        <v>4116000.0759000001</v>
      </c>
      <c r="G131" s="32">
        <v>3696222.1165</v>
      </c>
      <c r="H131" s="32">
        <v>-3160856.1260000002</v>
      </c>
      <c r="I131" s="32">
        <v>4116000.0759000001</v>
      </c>
      <c r="J131" s="32">
        <v>3696222.1165</v>
      </c>
      <c r="K131" s="32">
        <v>0</v>
      </c>
      <c r="L131" s="32">
        <v>0</v>
      </c>
      <c r="M131" s="32">
        <v>0</v>
      </c>
      <c r="N131" s="33">
        <v>0</v>
      </c>
      <c r="O131" s="34">
        <v>-3.7843248962462899E-10</v>
      </c>
      <c r="P131" s="34">
        <v>-2.7134716746928699E-10</v>
      </c>
      <c r="Q131" s="35">
        <v>4.65661287307739E-10</v>
      </c>
      <c r="R131" s="33">
        <v>-9.7716695505768901E-5</v>
      </c>
      <c r="S131" s="34">
        <v>1.9846580276796399E-4</v>
      </c>
      <c r="T131" s="34">
        <v>-1.05179189176953E-4</v>
      </c>
      <c r="U131" s="35">
        <f t="shared" si="1"/>
        <v>2.4494874828180039E-4</v>
      </c>
      <c r="W131" s="13">
        <v>35.641630380000002</v>
      </c>
      <c r="X131" s="13">
        <v>127.52223179000001</v>
      </c>
      <c r="Y131" s="13">
        <v>467.44099999999997</v>
      </c>
      <c r="Z131" s="8">
        <v>4.8041805374623498E-4</v>
      </c>
      <c r="AA131" s="8">
        <v>1.6205229714308901E-4</v>
      </c>
      <c r="AB131" s="8">
        <v>-2.7705348355150901E-5</v>
      </c>
      <c r="AC131" s="8">
        <v>5.0776967190070796E-4</v>
      </c>
    </row>
    <row r="132">
      <c r="A132" s="31" t="s">
        <v>145</v>
      </c>
      <c r="B132" s="32" t="s">
        <v>11</v>
      </c>
      <c r="C132" s="32" t="s">
        <v>103</v>
      </c>
      <c r="D132" s="32" t="s">
        <v>13</v>
      </c>
      <c r="E132" s="32">
        <v>-3155370.3322000001</v>
      </c>
      <c r="F132" s="32">
        <v>4014672.0976999998</v>
      </c>
      <c r="G132" s="32">
        <v>3809581.7540000002</v>
      </c>
      <c r="H132" s="32">
        <v>-3155370.3322000001</v>
      </c>
      <c r="I132" s="32">
        <v>4014672.0976999998</v>
      </c>
      <c r="J132" s="32">
        <v>3809581.7540000002</v>
      </c>
      <c r="K132" s="32">
        <v>0</v>
      </c>
      <c r="L132" s="32">
        <v>0</v>
      </c>
      <c r="M132" s="32">
        <v>0</v>
      </c>
      <c r="N132" s="33">
        <v>-2.61546193674298E-9</v>
      </c>
      <c r="O132" s="34">
        <v>1.8408824466234301E-10</v>
      </c>
      <c r="P132" s="34">
        <v>5.3028738814922597E-10</v>
      </c>
      <c r="Q132" s="35">
        <v>2.6750204370068499E-9</v>
      </c>
      <c r="R132" s="33">
        <v>-7.86249426306681E-5</v>
      </c>
      <c r="S132" s="34">
        <v>3.7110965958431998E-5</v>
      </c>
      <c r="T132" s="34">
        <v>-4.9408836890685202E-5</v>
      </c>
      <c r="U132" s="35">
        <f t="shared" ref="U132:U195" si="2">SQRT(R132^2+S132^2+T132^2)</f>
        <v>1.0000169279034272E-4</v>
      </c>
      <c r="W132" s="13">
        <v>36.909772340000004</v>
      </c>
      <c r="X132" s="13">
        <v>128.16591826000001</v>
      </c>
      <c r="Y132" s="13">
        <v>316.72879999999998</v>
      </c>
      <c r="Z132" s="8">
        <v>1.7004090291923601E-4</v>
      </c>
      <c r="AA132" s="8">
        <v>1.3769999838443599E-4</v>
      </c>
      <c r="AB132" s="8">
        <v>-3.4774571423201199E-5</v>
      </c>
      <c r="AC132" s="8">
        <v>2.2155015016544301E-4</v>
      </c>
    </row>
    <row r="133">
      <c r="A133" s="31" t="s">
        <v>146</v>
      </c>
      <c r="B133" s="32" t="s">
        <v>11</v>
      </c>
      <c r="C133" s="32" t="s">
        <v>103</v>
      </c>
      <c r="D133" s="32" t="s">
        <v>13</v>
      </c>
      <c r="E133" s="32">
        <v>-3118243.0819999999</v>
      </c>
      <c r="F133" s="32">
        <v>4241290.4709999999</v>
      </c>
      <c r="G133" s="32">
        <v>3590016.0980000002</v>
      </c>
      <c r="H133" s="32">
        <v>-3118243.0819999999</v>
      </c>
      <c r="I133" s="32">
        <v>4241290.4709999999</v>
      </c>
      <c r="J133" s="32">
        <v>3590016.0980000002</v>
      </c>
      <c r="K133" s="32">
        <v>0</v>
      </c>
      <c r="L133" s="32">
        <v>0</v>
      </c>
      <c r="M133" s="32">
        <v>0</v>
      </c>
      <c r="N133" s="33">
        <v>1.5007015345451E-9</v>
      </c>
      <c r="O133" s="34">
        <v>1.43295389832464E-10</v>
      </c>
      <c r="P133" s="34">
        <v>1.43672197220225E-9</v>
      </c>
      <c r="Q133" s="35">
        <v>2.0825005858203301E-9</v>
      </c>
      <c r="R133" s="33">
        <v>-1.18467686688994E-4</v>
      </c>
      <c r="S133" s="34">
        <v>1.5611729268051399E-4</v>
      </c>
      <c r="T133" s="34">
        <v>3.0264367606301802E-4</v>
      </c>
      <c r="U133" s="35">
        <f t="shared" si="2"/>
        <v>3.6055567742620821E-4</v>
      </c>
      <c r="W133" s="13">
        <v>34.47199397</v>
      </c>
      <c r="X133" s="13">
        <v>126.32373189</v>
      </c>
      <c r="Y133" s="13">
        <v>503.41500000000002</v>
      </c>
      <c r="Z133" s="8">
        <v>-1.07105925883707E-5</v>
      </c>
      <c r="AA133" s="8">
        <v>7.8166268151066303E-5</v>
      </c>
      <c r="AB133" s="8">
        <v>5.5920742938568298E-4</v>
      </c>
      <c r="AC133" s="8">
        <v>5.6474563420216199E-4</v>
      </c>
    </row>
    <row r="134">
      <c r="A134" s="9" t="s">
        <v>147</v>
      </c>
      <c r="B134" s="10" t="s">
        <v>11</v>
      </c>
      <c r="C134" s="10" t="s">
        <v>103</v>
      </c>
      <c r="D134" s="10" t="s">
        <v>13</v>
      </c>
      <c r="E134" s="10">
        <v>-3149624.9552000002</v>
      </c>
      <c r="F134" s="10">
        <v>4302409.3310000002</v>
      </c>
      <c r="G134" s="10">
        <v>3488299.6050999998</v>
      </c>
      <c r="H134" s="10">
        <v>-3149624.9552000002</v>
      </c>
      <c r="I134" s="10">
        <v>4302409.3310000002</v>
      </c>
      <c r="J134" s="10">
        <v>3488299.6050999998</v>
      </c>
      <c r="K134" s="10">
        <v>0</v>
      </c>
      <c r="L134" s="10">
        <v>0</v>
      </c>
      <c r="M134" s="10">
        <v>0</v>
      </c>
      <c r="N134" s="25">
        <v>0</v>
      </c>
      <c r="O134" s="11">
        <v>-3.8889158687080298E-10</v>
      </c>
      <c r="P134" s="11">
        <v>-2.5613232548471599E-10</v>
      </c>
      <c r="Q134" s="12">
        <v>4.65661287307739E-10</v>
      </c>
      <c r="R134" s="25" t="s">
        <v>249</v>
      </c>
      <c r="S134" s="11" t="s">
        <v>249</v>
      </c>
      <c r="T134" s="11" t="s">
        <v>249</v>
      </c>
      <c r="U134" s="12" t="s">
        <v>249</v>
      </c>
      <c r="W134" s="13">
        <v>33.369755859999998</v>
      </c>
      <c r="X134" s="13">
        <v>126.20639361000001</v>
      </c>
      <c r="Y134" s="13">
        <v>37.099200000000003</v>
      </c>
      <c r="Z134" s="8">
        <v>-4.72028456085667E-4</v>
      </c>
      <c r="AA134" s="8">
        <v>-5.0284930648582195E-4</v>
      </c>
      <c r="AB134" s="8">
        <v>-4.1929307421797597E-5</v>
      </c>
      <c r="AC134" s="8">
        <v>6.9096045849872099E-4</v>
      </c>
    </row>
    <row r="135">
      <c r="A135" s="65" t="s">
        <v>148</v>
      </c>
      <c r="B135" s="66" t="s">
        <v>11</v>
      </c>
      <c r="C135" s="66" t="s">
        <v>103</v>
      </c>
      <c r="D135" s="66" t="s">
        <v>254</v>
      </c>
      <c r="E135" s="66">
        <v>-3216638.5139000001</v>
      </c>
      <c r="F135" s="66">
        <v>4111208.9046999998</v>
      </c>
      <c r="G135" s="66">
        <v>3652764.0687000002</v>
      </c>
      <c r="H135" s="66"/>
      <c r="I135" s="66"/>
      <c r="J135" s="66"/>
      <c r="K135" s="66"/>
      <c r="L135" s="66"/>
      <c r="M135" s="66"/>
      <c r="N135" s="67" t="s">
        <v>249</v>
      </c>
      <c r="O135" s="68" t="s">
        <v>249</v>
      </c>
      <c r="P135" s="68" t="s">
        <v>249</v>
      </c>
      <c r="Q135" s="69" t="s">
        <v>249</v>
      </c>
      <c r="R135" s="67" t="s">
        <v>249</v>
      </c>
      <c r="S135" s="68" t="s">
        <v>249</v>
      </c>
      <c r="T135" s="68" t="s">
        <v>249</v>
      </c>
      <c r="U135" s="69" t="s">
        <v>249</v>
      </c>
      <c r="W135" s="13"/>
      <c r="X135" s="13"/>
      <c r="Y135" s="13"/>
      <c r="Z135" s="8" t="s">
        <v>249</v>
      </c>
      <c r="AA135" s="8" t="s">
        <v>249</v>
      </c>
      <c r="AB135" s="8" t="s">
        <v>249</v>
      </c>
      <c r="AC135" s="8" t="s">
        <v>249</v>
      </c>
    </row>
    <row r="136">
      <c r="A136" s="31" t="s">
        <v>149</v>
      </c>
      <c r="B136" s="32" t="s">
        <v>11</v>
      </c>
      <c r="C136" s="32" t="s">
        <v>103</v>
      </c>
      <c r="D136" s="32" t="s">
        <v>13</v>
      </c>
      <c r="E136" s="32">
        <v>-3172359.4909999999</v>
      </c>
      <c r="F136" s="32">
        <v>3961928.2047999999</v>
      </c>
      <c r="G136" s="32">
        <v>3850272.2626999998</v>
      </c>
      <c r="H136" s="32">
        <v>-3172359.4909999999</v>
      </c>
      <c r="I136" s="32">
        <v>3961928.2047999999</v>
      </c>
      <c r="J136" s="32">
        <v>3850272.2626999998</v>
      </c>
      <c r="K136" s="32">
        <v>0</v>
      </c>
      <c r="L136" s="32">
        <v>0</v>
      </c>
      <c r="M136" s="32">
        <v>0</v>
      </c>
      <c r="N136" s="33">
        <v>-8.7316158165924595E-10</v>
      </c>
      <c r="O136" s="34">
        <v>-2.9179064791897502E-10</v>
      </c>
      <c r="P136" s="34">
        <v>1.1492830004278101E-9</v>
      </c>
      <c r="Q136" s="35">
        <v>1.4725502860585099E-9</v>
      </c>
      <c r="R136" s="33">
        <v>-1.56120571898647E-4</v>
      </c>
      <c r="S136" s="34">
        <v>7.5872713777937602E-5</v>
      </c>
      <c r="T136" s="34">
        <v>-9.9346608911022401E-5</v>
      </c>
      <c r="U136" s="35">
        <f t="shared" si="2"/>
        <v>2.0000012592023307E-4</v>
      </c>
      <c r="W136" s="13">
        <v>37.369381359999998</v>
      </c>
      <c r="X136" s="13">
        <v>128.68463942</v>
      </c>
      <c r="Y136" s="13">
        <v>361.3313</v>
      </c>
      <c r="Z136" s="8">
        <v>3.1216610059793602E-4</v>
      </c>
      <c r="AA136" s="8">
        <v>-5.4441428203902398E-4</v>
      </c>
      <c r="AB136" s="8">
        <v>5.2009196234735797E-6</v>
      </c>
      <c r="AC136" s="8">
        <v>6.2758396602806605E-4</v>
      </c>
    </row>
    <row r="137">
      <c r="A137" s="31" t="s">
        <v>150</v>
      </c>
      <c r="B137" s="32" t="s">
        <v>11</v>
      </c>
      <c r="C137" s="32" t="s">
        <v>103</v>
      </c>
      <c r="D137" s="32" t="s">
        <v>13</v>
      </c>
      <c r="E137" s="32">
        <v>-3121904.38</v>
      </c>
      <c r="F137" s="32">
        <v>4146816.6170000001</v>
      </c>
      <c r="G137" s="32">
        <v>3694330.93</v>
      </c>
      <c r="H137" s="32">
        <v>-3121904.38</v>
      </c>
      <c r="I137" s="32">
        <v>4146816.6170000001</v>
      </c>
      <c r="J137" s="32">
        <v>3694330.93</v>
      </c>
      <c r="K137" s="32">
        <v>0.113</v>
      </c>
      <c r="L137" s="32">
        <v>0</v>
      </c>
      <c r="M137" s="32">
        <v>0</v>
      </c>
      <c r="N137" s="33">
        <v>-8.4022006346049901E-10</v>
      </c>
      <c r="O137" s="34">
        <v>-6.5004579363870796E-10</v>
      </c>
      <c r="P137" s="34">
        <v>9.0721255591231903E-10</v>
      </c>
      <c r="Q137" s="35">
        <v>1.3969838619232099E-9</v>
      </c>
      <c r="R137" s="33">
        <v>-6.1847296474111405E-4</v>
      </c>
      <c r="S137" s="34">
        <v>1.6279264726259399E-3</v>
      </c>
      <c r="T137" s="34">
        <v>1.3170035601657901E-4</v>
      </c>
      <c r="U137" s="35">
        <f t="shared" si="2"/>
        <v>1.7464244593359578E-3</v>
      </c>
      <c r="W137" s="13">
        <v>35.622766220000003</v>
      </c>
      <c r="X137" s="13">
        <v>126.97402846999999</v>
      </c>
      <c r="Y137" s="13">
        <v>141.387</v>
      </c>
      <c r="Z137" s="8">
        <v>8.0910180721547296E-4</v>
      </c>
      <c r="AA137" s="8">
        <v>-1.400700573174E-3</v>
      </c>
      <c r="AB137" s="8">
        <v>-2.16777502334177E-4</v>
      </c>
      <c r="AC137" s="8">
        <v>1.632054017381E-3</v>
      </c>
    </row>
    <row r="138">
      <c r="A138" s="31" t="s">
        <v>151</v>
      </c>
      <c r="B138" s="32" t="s">
        <v>11</v>
      </c>
      <c r="C138" s="32" t="s">
        <v>103</v>
      </c>
      <c r="D138" s="32" t="s">
        <v>13</v>
      </c>
      <c r="E138" s="32">
        <v>-3124886.946</v>
      </c>
      <c r="F138" s="32">
        <v>4126580.5189999999</v>
      </c>
      <c r="G138" s="32">
        <v>3714170.148</v>
      </c>
      <c r="H138" s="32">
        <v>-3124886.946</v>
      </c>
      <c r="I138" s="32">
        <v>4126580.5189999999</v>
      </c>
      <c r="J138" s="32">
        <v>3714170.148</v>
      </c>
      <c r="K138" s="32">
        <v>0</v>
      </c>
      <c r="L138" s="32">
        <v>0</v>
      </c>
      <c r="M138" s="32">
        <v>0</v>
      </c>
      <c r="N138" s="33">
        <v>1.1136950718197901E-9</v>
      </c>
      <c r="O138" s="34">
        <v>-8.7131975883542597E-10</v>
      </c>
      <c r="P138" s="34">
        <v>4.10961689015261E-10</v>
      </c>
      <c r="Q138" s="35">
        <v>1.4725502860585099E-9</v>
      </c>
      <c r="R138" s="33">
        <v>1.20276552383325E-3</v>
      </c>
      <c r="S138" s="34">
        <v>2.6702422589801799E-4</v>
      </c>
      <c r="T138" s="34">
        <v>-5.4042054503938505E-4</v>
      </c>
      <c r="U138" s="35">
        <f t="shared" si="2"/>
        <v>1.3453628536714451E-3</v>
      </c>
      <c r="W138" s="13">
        <v>35.843451999999999</v>
      </c>
      <c r="X138" s="13">
        <v>127.13512492</v>
      </c>
      <c r="Y138" s="13">
        <v>77.147999999999996</v>
      </c>
      <c r="Z138" s="8">
        <v>-1.4502499726530001E-3</v>
      </c>
      <c r="AA138" s="8">
        <v>-3.1287254263862399E-4</v>
      </c>
      <c r="AB138" s="8">
        <v>4.1674927073670601E-4</v>
      </c>
      <c r="AC138" s="8">
        <v>1.541036717855E-3</v>
      </c>
    </row>
    <row r="139">
      <c r="A139" s="31" t="s">
        <v>152</v>
      </c>
      <c r="B139" s="32" t="s">
        <v>11</v>
      </c>
      <c r="C139" s="32" t="s">
        <v>103</v>
      </c>
      <c r="D139" s="32" t="s">
        <v>13</v>
      </c>
      <c r="E139" s="32">
        <v>-3185109.9470000002</v>
      </c>
      <c r="F139" s="32">
        <v>4055952.0329999998</v>
      </c>
      <c r="G139" s="32">
        <v>3740570.81</v>
      </c>
      <c r="H139" s="32">
        <v>-3185109.9470000002</v>
      </c>
      <c r="I139" s="32">
        <v>4055952.0329999998</v>
      </c>
      <c r="J139" s="32">
        <v>3740570.81</v>
      </c>
      <c r="K139" s="32">
        <v>5.0999999999999997E-2</v>
      </c>
      <c r="L139" s="32">
        <v>0</v>
      </c>
      <c r="M139" s="32">
        <v>0</v>
      </c>
      <c r="N139" s="33">
        <v>-2.1973979182466601E-9</v>
      </c>
      <c r="O139" s="34">
        <v>1.01762754467306E-9</v>
      </c>
      <c r="P139" s="34">
        <v>-1.3936040366989199E-9</v>
      </c>
      <c r="Q139" s="35">
        <v>2.7939677238464302E-9</v>
      </c>
      <c r="R139" s="33">
        <v>-1.4041220508681301E-4</v>
      </c>
      <c r="S139" s="34">
        <v>-9.0717624418483301E-5</v>
      </c>
      <c r="T139" s="34">
        <v>-4.5336171279738799E-5</v>
      </c>
      <c r="U139" s="35">
        <f t="shared" si="2"/>
        <v>1.7320693734311003E-4</v>
      </c>
      <c r="W139" s="13">
        <v>36.137398279999999</v>
      </c>
      <c r="X139" s="13">
        <v>128.14229222</v>
      </c>
      <c r="Y139" s="13">
        <v>94.652000000000001</v>
      </c>
      <c r="Z139" s="8">
        <v>8.1779776820380004E-4</v>
      </c>
      <c r="AA139" s="8">
        <v>7.8804999501512301E-4</v>
      </c>
      <c r="AB139" s="8">
        <v>5.66691665634748E-5</v>
      </c>
      <c r="AC139" s="8">
        <v>1.137113617349E-3</v>
      </c>
    </row>
    <row r="140">
      <c r="A140" s="31" t="s">
        <v>153</v>
      </c>
      <c r="B140" s="32" t="s">
        <v>11</v>
      </c>
      <c r="C140" s="32" t="s">
        <v>103</v>
      </c>
      <c r="D140" s="32" t="s">
        <v>13</v>
      </c>
      <c r="E140" s="32">
        <v>-3211712.1290000002</v>
      </c>
      <c r="F140" s="32">
        <v>4026954.298</v>
      </c>
      <c r="G140" s="32">
        <v>3749223.33</v>
      </c>
      <c r="H140" s="32">
        <v>-3211712.1290000002</v>
      </c>
      <c r="I140" s="32">
        <v>4026954.298</v>
      </c>
      <c r="J140" s="32">
        <v>3749223.33</v>
      </c>
      <c r="K140" s="32">
        <v>1.9E-2</v>
      </c>
      <c r="L140" s="32">
        <v>0</v>
      </c>
      <c r="M140" s="32">
        <v>0</v>
      </c>
      <c r="N140" s="33">
        <v>-1.30881467030583E-9</v>
      </c>
      <c r="O140" s="34">
        <v>-1.21395475141883E-9</v>
      </c>
      <c r="P140" s="34">
        <v>-7.0682770655270997E-10</v>
      </c>
      <c r="Q140" s="35">
        <v>1.9199706733308998E-9</v>
      </c>
      <c r="R140" s="33">
        <v>1.1847022155414E-3</v>
      </c>
      <c r="S140" s="34">
        <v>1.11998202350128E-3</v>
      </c>
      <c r="T140" s="34">
        <v>-1.02084114615369E-3</v>
      </c>
      <c r="U140" s="35">
        <f t="shared" si="2"/>
        <v>1.9235372931542302E-3</v>
      </c>
      <c r="W140" s="13">
        <v>36.233479359999997</v>
      </c>
      <c r="X140" s="13">
        <v>128.57423969000001</v>
      </c>
      <c r="Y140" s="13">
        <v>174.97</v>
      </c>
      <c r="Z140" s="8">
        <v>-7.9864692126105797E-4</v>
      </c>
      <c r="AA140" s="8">
        <v>-9.6236220780355E-4</v>
      </c>
      <c r="AB140" s="8">
        <v>1.0829630607480001E-3</v>
      </c>
      <c r="AC140" s="8">
        <v>1.6543237031460001E-3</v>
      </c>
    </row>
    <row r="141">
      <c r="A141" s="31" t="s">
        <v>154</v>
      </c>
      <c r="B141" s="32" t="s">
        <v>11</v>
      </c>
      <c r="C141" s="32" t="s">
        <v>103</v>
      </c>
      <c r="D141" s="32" t="s">
        <v>13</v>
      </c>
      <c r="E141" s="32">
        <v>-3091588.7349999999</v>
      </c>
      <c r="F141" s="32">
        <v>4138398.9109999998</v>
      </c>
      <c r="G141" s="32">
        <v>3728711.679</v>
      </c>
      <c r="H141" s="32">
        <v>-3091588.7349999999</v>
      </c>
      <c r="I141" s="32">
        <v>4138398.9109999998</v>
      </c>
      <c r="J141" s="32">
        <v>3728711.679</v>
      </c>
      <c r="K141" s="32">
        <v>0</v>
      </c>
      <c r="L141" s="32">
        <v>0</v>
      </c>
      <c r="M141" s="32">
        <v>0</v>
      </c>
      <c r="N141" s="33">
        <v>-4.6301874345178002E-10</v>
      </c>
      <c r="O141" s="34">
        <v>-8.2175062220692196E-10</v>
      </c>
      <c r="P141" s="34">
        <v>1.1308155919891899E-9</v>
      </c>
      <c r="Q141" s="35">
        <v>1.4725502860585099E-9</v>
      </c>
      <c r="R141" s="33">
        <v>-1.4999978399756499E-3</v>
      </c>
      <c r="S141" s="34">
        <v>-1.66852214984049E-6</v>
      </c>
      <c r="T141" s="34">
        <v>2.2960625908036699E-6</v>
      </c>
      <c r="U141" s="35">
        <f t="shared" si="2"/>
        <v>1.5000005252669749E-3</v>
      </c>
      <c r="W141" s="13">
        <v>36.005471530000001</v>
      </c>
      <c r="X141" s="13">
        <v>126.76155064</v>
      </c>
      <c r="Y141" s="13">
        <v>49.082000000000001</v>
      </c>
      <c r="Z141" s="8">
        <v>1.414073720958E-3</v>
      </c>
      <c r="AA141" s="8">
        <v>-2.3541703381707899E-4</v>
      </c>
      <c r="AB141" s="8">
        <v>-8.66446755494139E-5</v>
      </c>
      <c r="AC141" s="8">
        <v>1.4361521395440001E-3</v>
      </c>
    </row>
    <row r="142">
      <c r="A142" s="31" t="s">
        <v>155</v>
      </c>
      <c r="B142" s="32" t="s">
        <v>11</v>
      </c>
      <c r="C142" s="32" t="s">
        <v>103</v>
      </c>
      <c r="D142" s="32" t="s">
        <v>13</v>
      </c>
      <c r="E142" s="32">
        <v>-3134404.514</v>
      </c>
      <c r="F142" s="32">
        <v>4173081.8220000002</v>
      </c>
      <c r="G142" s="32">
        <v>3654100.9730000002</v>
      </c>
      <c r="H142" s="32">
        <v>-3134404.514</v>
      </c>
      <c r="I142" s="32">
        <v>4173081.8220000002</v>
      </c>
      <c r="J142" s="32">
        <v>3654100.9730000002</v>
      </c>
      <c r="K142" s="32">
        <v>0</v>
      </c>
      <c r="L142" s="32">
        <v>0</v>
      </c>
      <c r="M142" s="32">
        <v>0</v>
      </c>
      <c r="N142" s="33">
        <v>1.1169966840187799E-9</v>
      </c>
      <c r="O142" s="34">
        <v>-1.02740617452841E-10</v>
      </c>
      <c r="P142" s="34">
        <v>9.5402679123148606E-10</v>
      </c>
      <c r="Q142" s="35">
        <v>1.4725502860585099E-9</v>
      </c>
      <c r="R142" s="33">
        <v>-1.84203884017894E-2</v>
      </c>
      <c r="S142" s="34">
        <v>-7.9166282826779698E-3</v>
      </c>
      <c r="T142" s="34">
        <v>-4.9108281271398099E-3</v>
      </c>
      <c r="U142" s="35">
        <f t="shared" si="2"/>
        <v>2.0642188477319492E-2</v>
      </c>
      <c r="W142" s="13">
        <v>35.178375389999999</v>
      </c>
      <c r="X142" s="13">
        <v>126.91023678000001</v>
      </c>
      <c r="Y142" s="13">
        <v>71.626000000000005</v>
      </c>
      <c r="Z142" s="8">
        <v>5.9124021099993197E-4</v>
      </c>
      <c r="AA142" s="8">
        <v>-1.516307835766E-3</v>
      </c>
      <c r="AB142" s="8">
        <v>-1.96609659284724E-4</v>
      </c>
      <c r="AC142" s="8">
        <v>1.639332119503E-3</v>
      </c>
    </row>
    <row r="143">
      <c r="A143" s="31" t="s">
        <v>156</v>
      </c>
      <c r="B143" s="32" t="s">
        <v>11</v>
      </c>
      <c r="C143" s="32" t="s">
        <v>103</v>
      </c>
      <c r="D143" s="32" t="s">
        <v>13</v>
      </c>
      <c r="E143" s="32">
        <v>-3115606.1519999998</v>
      </c>
      <c r="F143" s="32">
        <v>4215694.9283999996</v>
      </c>
      <c r="G143" s="32">
        <v>3621279.6882000002</v>
      </c>
      <c r="H143" s="32">
        <v>-3115606.1519999998</v>
      </c>
      <c r="I143" s="32">
        <v>4215694.9283999996</v>
      </c>
      <c r="J143" s="32">
        <v>3621279.6882000002</v>
      </c>
      <c r="K143" s="32">
        <v>0</v>
      </c>
      <c r="L143" s="32">
        <v>0</v>
      </c>
      <c r="M143" s="32">
        <v>0</v>
      </c>
      <c r="N143" s="33">
        <v>-5.5353048705758597E-10</v>
      </c>
      <c r="O143" s="34">
        <v>-4.2763811685217698E-10</v>
      </c>
      <c r="P143" s="34">
        <v>6.14891355363952E-10</v>
      </c>
      <c r="Q143" s="35">
        <v>9.31322574615478E-10</v>
      </c>
      <c r="R143" s="33">
        <v>-2.0986369447273699E-5</v>
      </c>
      <c r="S143" s="34">
        <v>7.9851870694832401E-5</v>
      </c>
      <c r="T143" s="34">
        <v>-1.14817232292848E-4</v>
      </c>
      <c r="U143" s="35">
        <f t="shared" si="2"/>
        <v>1.4142045745729829E-4</v>
      </c>
      <c r="W143" s="13">
        <v>34.817431190000001</v>
      </c>
      <c r="X143" s="13">
        <v>126.46622592</v>
      </c>
      <c r="Y143" s="13">
        <v>39.1477</v>
      </c>
      <c r="Z143" s="8">
        <v>-3.72826358857207E-5</v>
      </c>
      <c r="AA143" s="8">
        <v>-4.7763063483971101E-4</v>
      </c>
      <c r="AB143" s="8">
        <v>1.449994240335E-5</v>
      </c>
      <c r="AC143" s="8">
        <v>4.7930289651291802E-4</v>
      </c>
    </row>
    <row r="144">
      <c r="A144" s="31" t="s">
        <v>157</v>
      </c>
      <c r="B144" s="32" t="s">
        <v>11</v>
      </c>
      <c r="C144" s="32" t="s">
        <v>103</v>
      </c>
      <c r="D144" s="32" t="s">
        <v>13</v>
      </c>
      <c r="E144" s="32">
        <v>-3156360.179</v>
      </c>
      <c r="F144" s="32">
        <v>4089577.2570000002</v>
      </c>
      <c r="G144" s="32">
        <v>3728622.1310000001</v>
      </c>
      <c r="H144" s="32">
        <v>-3156360.179</v>
      </c>
      <c r="I144" s="32">
        <v>4089577.2570000002</v>
      </c>
      <c r="J144" s="32">
        <v>3728622.1310000001</v>
      </c>
      <c r="K144" s="32">
        <v>0.106</v>
      </c>
      <c r="L144" s="32">
        <v>0</v>
      </c>
      <c r="M144" s="32">
        <v>0</v>
      </c>
      <c r="N144" s="33">
        <v>-2.0039442120659901E-10</v>
      </c>
      <c r="O144" s="34">
        <v>1.5278688262965799E-10</v>
      </c>
      <c r="P144" s="34">
        <v>1.3740677402950299E-9</v>
      </c>
      <c r="Q144" s="35">
        <v>1.3969838619232099E-9</v>
      </c>
      <c r="R144" s="33">
        <v>7.9163439245884999E-5</v>
      </c>
      <c r="S144" s="34">
        <v>-1.16813946307628E-4</v>
      </c>
      <c r="T144" s="34">
        <v>-9.3536493101129807E-6</v>
      </c>
      <c r="U144" s="35">
        <f t="shared" si="2"/>
        <v>1.4142078673453525E-4</v>
      </c>
      <c r="W144" s="13">
        <v>36.003287919999998</v>
      </c>
      <c r="X144" s="13">
        <v>127.66117457999999</v>
      </c>
      <c r="Y144" s="13">
        <v>230.18899999999999</v>
      </c>
      <c r="Z144" s="8">
        <v>2.1425589729793401E-4</v>
      </c>
      <c r="AA144" s="8">
        <v>-1.9962013121677699E-4</v>
      </c>
      <c r="AB144" s="8">
        <v>-9.6273152382857802E-5</v>
      </c>
      <c r="AC144" s="8">
        <v>3.08256883432761E-4</v>
      </c>
    </row>
    <row r="145">
      <c r="A145" s="31" t="s">
        <v>158</v>
      </c>
      <c r="B145" s="32" t="s">
        <v>11</v>
      </c>
      <c r="C145" s="32" t="s">
        <v>103</v>
      </c>
      <c r="D145" s="32" t="s">
        <v>13</v>
      </c>
      <c r="E145" s="32">
        <v>-3258418.4437000002</v>
      </c>
      <c r="F145" s="32">
        <v>4050372.4635000001</v>
      </c>
      <c r="G145" s="32">
        <v>3683366.4441999998</v>
      </c>
      <c r="H145" s="32">
        <v>-3258418.4437000002</v>
      </c>
      <c r="I145" s="32">
        <v>4050372.4635000001</v>
      </c>
      <c r="J145" s="32">
        <v>3683366.4441999998</v>
      </c>
      <c r="K145" s="32">
        <v>0</v>
      </c>
      <c r="L145" s="32">
        <v>0</v>
      </c>
      <c r="M145" s="32">
        <v>0</v>
      </c>
      <c r="N145" s="33">
        <v>-1.30942440532391E-9</v>
      </c>
      <c r="O145" s="34">
        <v>-8.2396347939374194E-11</v>
      </c>
      <c r="P145" s="34">
        <v>1.15507768419154E-10</v>
      </c>
      <c r="Q145" s="35">
        <v>1.3170890159654299E-9</v>
      </c>
      <c r="R145" s="33">
        <v>-9.3152502976488399E-5</v>
      </c>
      <c r="S145" s="34">
        <v>1.1805069128540201E-4</v>
      </c>
      <c r="T145" s="34">
        <v>-1.65490003522344E-4</v>
      </c>
      <c r="U145" s="35">
        <f t="shared" si="2"/>
        <v>2.2360745915458945E-4</v>
      </c>
      <c r="W145" s="13">
        <v>35.501794169999997</v>
      </c>
      <c r="X145" s="13">
        <v>128.81576548999999</v>
      </c>
      <c r="Y145" s="13">
        <v>62.693300000000001</v>
      </c>
      <c r="Z145" s="8">
        <v>2.0296967026520499E-4</v>
      </c>
      <c r="AA145" s="8">
        <v>-4.56677794103846E-4</v>
      </c>
      <c r="AB145" s="8">
        <v>-4.3833647670385597E-5</v>
      </c>
      <c r="AC145" s="8">
        <v>5.0166989479458798E-4</v>
      </c>
    </row>
    <row r="146">
      <c r="A146" s="31" t="s">
        <v>159</v>
      </c>
      <c r="B146" s="32" t="s">
        <v>11</v>
      </c>
      <c r="C146" s="32" t="s">
        <v>103</v>
      </c>
      <c r="D146" s="32" t="s">
        <v>13</v>
      </c>
      <c r="E146" s="32">
        <v>-3229653.7478</v>
      </c>
      <c r="F146" s="32">
        <v>4136495.48</v>
      </c>
      <c r="G146" s="32">
        <v>3612759.7368000001</v>
      </c>
      <c r="H146" s="32">
        <v>-3229653.7478</v>
      </c>
      <c r="I146" s="32">
        <v>4136495.48</v>
      </c>
      <c r="J146" s="32">
        <v>3612759.7368000001</v>
      </c>
      <c r="K146" s="32">
        <v>0</v>
      </c>
      <c r="L146" s="32">
        <v>0</v>
      </c>
      <c r="M146" s="32">
        <v>0</v>
      </c>
      <c r="N146" s="33">
        <v>-2.8657230053611699E-10</v>
      </c>
      <c r="O146" s="34">
        <v>-5.9180298827323301E-10</v>
      </c>
      <c r="P146" s="34">
        <v>3.64198933346868E-11</v>
      </c>
      <c r="Q146" s="35">
        <v>6.5854450798271898E-10</v>
      </c>
      <c r="R146" s="33">
        <v>1.40361176594673E-4</v>
      </c>
      <c r="S146" s="34">
        <v>-7.2348549283367806E-5</v>
      </c>
      <c r="T146" s="34">
        <v>-7.1164729542650695E-5</v>
      </c>
      <c r="U146" s="35">
        <f t="shared" si="2"/>
        <v>1.732050553804002E-4</v>
      </c>
      <c r="W146" s="13">
        <v>34.723876590000003</v>
      </c>
      <c r="X146" s="13">
        <v>127.98166891</v>
      </c>
      <c r="Y146" s="13">
        <v>48.835999999999999</v>
      </c>
      <c r="Z146" s="8">
        <v>2.4956237642719502E-4</v>
      </c>
      <c r="AA146" s="8">
        <v>2.09590261154173E-4</v>
      </c>
      <c r="AB146" s="8">
        <v>-2.6615374605083198E-5</v>
      </c>
      <c r="AC146" s="8">
        <v>3.2698292839846002E-4</v>
      </c>
    </row>
    <row r="147">
      <c r="A147" s="31" t="s">
        <v>160</v>
      </c>
      <c r="B147" s="32" t="s">
        <v>11</v>
      </c>
      <c r="C147" s="32" t="s">
        <v>103</v>
      </c>
      <c r="D147" s="32" t="s">
        <v>13</v>
      </c>
      <c r="E147" s="32">
        <v>-3160210.8590000002</v>
      </c>
      <c r="F147" s="32">
        <v>4133956.3390000002</v>
      </c>
      <c r="G147" s="32">
        <v>3676318.03</v>
      </c>
      <c r="H147" s="32">
        <v>-3160210.8590000002</v>
      </c>
      <c r="I147" s="32">
        <v>4133956.3390000002</v>
      </c>
      <c r="J147" s="32">
        <v>3676318.03</v>
      </c>
      <c r="K147" s="32">
        <v>1.4999999999999999E-2</v>
      </c>
      <c r="L147" s="32">
        <v>0</v>
      </c>
      <c r="M147" s="32">
        <v>0</v>
      </c>
      <c r="N147" s="33">
        <v>-2.8280671083542699E-10</v>
      </c>
      <c r="O147" s="34">
        <v>-9.733544736747809E-10</v>
      </c>
      <c r="P147" s="34">
        <v>-2.38335069532873E-10</v>
      </c>
      <c r="Q147" s="35">
        <v>1.0412502929101601E-9</v>
      </c>
      <c r="R147" s="33">
        <v>1.0186707173247499E-3</v>
      </c>
      <c r="S147" s="34">
        <v>-4.9402002939274005E-4</v>
      </c>
      <c r="T147" s="34">
        <v>-1.68089579574742E-4</v>
      </c>
      <c r="U147" s="35">
        <f t="shared" si="2"/>
        <v>1.1445522821338209E-3</v>
      </c>
      <c r="W147" s="13">
        <v>35.423046390000003</v>
      </c>
      <c r="X147" s="13">
        <v>127.39617378</v>
      </c>
      <c r="Y147" s="13">
        <v>179.845</v>
      </c>
      <c r="Z147" s="8">
        <v>-1.232270513419E-3</v>
      </c>
      <c r="AA147" s="8">
        <v>4.2534060114801702E-4</v>
      </c>
      <c r="AB147" s="8">
        <v>6.6453231386520996E-5</v>
      </c>
      <c r="AC147" s="8">
        <v>1.3053050513919999E-3</v>
      </c>
    </row>
    <row r="148">
      <c r="A148" s="31" t="s">
        <v>161</v>
      </c>
      <c r="B148" s="32" t="s">
        <v>11</v>
      </c>
      <c r="C148" s="32" t="s">
        <v>103</v>
      </c>
      <c r="D148" s="32" t="s">
        <v>13</v>
      </c>
      <c r="E148" s="32">
        <v>-3061228.5946999998</v>
      </c>
      <c r="F148" s="32">
        <v>4018431.1746999999</v>
      </c>
      <c r="G148" s="32">
        <v>3881000.0395</v>
      </c>
      <c r="H148" s="32">
        <v>-3061228.5946999998</v>
      </c>
      <c r="I148" s="32">
        <v>4018431.1746999999</v>
      </c>
      <c r="J148" s="32">
        <v>3881000.0395</v>
      </c>
      <c r="K148" s="32">
        <v>0</v>
      </c>
      <c r="L148" s="32">
        <v>0</v>
      </c>
      <c r="M148" s="32">
        <v>0</v>
      </c>
      <c r="N148" s="33">
        <v>9.3479219881541896E-10</v>
      </c>
      <c r="O148" s="34">
        <v>2.8060741515191998E-10</v>
      </c>
      <c r="P148" s="34">
        <v>-3.6280186890518602E-10</v>
      </c>
      <c r="Q148" s="35">
        <v>1.0412502929101601E-9</v>
      </c>
      <c r="R148" s="33">
        <v>-1.8947444345290699E-5</v>
      </c>
      <c r="S148" s="34">
        <v>1.6484288905241299E-4</v>
      </c>
      <c r="T148" s="34">
        <v>-4.96770318252153E-5</v>
      </c>
      <c r="U148" s="35">
        <f t="shared" si="2"/>
        <v>1.7320505538040014E-4</v>
      </c>
      <c r="W148" s="13">
        <v>37.719992009999999</v>
      </c>
      <c r="X148" s="13">
        <v>127.30003954999999</v>
      </c>
      <c r="Y148" s="13">
        <v>152.7287</v>
      </c>
      <c r="Z148" s="8">
        <v>-2.3956961006578499E-4</v>
      </c>
      <c r="AA148" s="8">
        <v>-5.4376577575335502E-5</v>
      </c>
      <c r="AB148" s="8">
        <v>-2.49844716708423E-5</v>
      </c>
      <c r="AC148" s="8">
        <v>2.4693042356208398E-4</v>
      </c>
    </row>
    <row r="149">
      <c r="A149" s="31" t="s">
        <v>162</v>
      </c>
      <c r="B149" s="32" t="s">
        <v>11</v>
      </c>
      <c r="C149" s="32" t="s">
        <v>103</v>
      </c>
      <c r="D149" s="32" t="s">
        <v>13</v>
      </c>
      <c r="E149" s="32">
        <v>-3109435.426</v>
      </c>
      <c r="F149" s="32">
        <v>4109573.24</v>
      </c>
      <c r="G149" s="32">
        <v>3745644.2579999999</v>
      </c>
      <c r="H149" s="32">
        <v>-3109435.426</v>
      </c>
      <c r="I149" s="32">
        <v>4109573.24</v>
      </c>
      <c r="J149" s="32">
        <v>3745644.2579999999</v>
      </c>
      <c r="K149" s="32">
        <v>0</v>
      </c>
      <c r="L149" s="32">
        <v>0</v>
      </c>
      <c r="M149" s="32">
        <v>0</v>
      </c>
      <c r="N149" s="33">
        <v>-3.71343540145895E-10</v>
      </c>
      <c r="O149" s="34">
        <v>9.1751603920515697E-10</v>
      </c>
      <c r="P149" s="34">
        <v>3.2321891262532501E-10</v>
      </c>
      <c r="Q149" s="35">
        <v>1.0412502929101601E-9</v>
      </c>
      <c r="R149" s="33">
        <v>1.24345834586715E-3</v>
      </c>
      <c r="S149" s="34">
        <v>1.2881483749148501E-3</v>
      </c>
      <c r="T149" s="34">
        <v>-6.6993112657791896E-5</v>
      </c>
      <c r="U149" s="35">
        <f t="shared" si="2"/>
        <v>1.7916481157989751E-3</v>
      </c>
      <c r="W149" s="13">
        <v>36.194164059999999</v>
      </c>
      <c r="X149" s="13">
        <v>127.11232244</v>
      </c>
      <c r="Y149" s="13">
        <v>74.724999999999994</v>
      </c>
      <c r="Z149" s="8">
        <v>-8.1904927208938496E-4</v>
      </c>
      <c r="AA149" s="8">
        <v>-1.80044587553E-3</v>
      </c>
      <c r="AB149" s="8">
        <v>1.4530151024806499E-4</v>
      </c>
      <c r="AC149" s="8">
        <v>1.9833203447010002E-3</v>
      </c>
    </row>
    <row r="150">
      <c r="A150" s="31" t="s">
        <v>163</v>
      </c>
      <c r="B150" s="32" t="s">
        <v>11</v>
      </c>
      <c r="C150" s="32" t="s">
        <v>103</v>
      </c>
      <c r="D150" s="32" t="s">
        <v>13</v>
      </c>
      <c r="E150" s="32">
        <v>-3046192.9622999998</v>
      </c>
      <c r="F150" s="32">
        <v>4026815.2522</v>
      </c>
      <c r="G150" s="32">
        <v>3884027.7179999999</v>
      </c>
      <c r="H150" s="32">
        <v>-3046192.9622999998</v>
      </c>
      <c r="I150" s="32">
        <v>4026815.2522</v>
      </c>
      <c r="J150" s="32">
        <v>3884027.7179999999</v>
      </c>
      <c r="K150" s="32">
        <v>0</v>
      </c>
      <c r="L150" s="32">
        <v>0</v>
      </c>
      <c r="M150" s="32">
        <v>0</v>
      </c>
      <c r="N150" s="33">
        <v>-2.8093381534632901E-10</v>
      </c>
      <c r="O150" s="34">
        <v>-5.9555416343237499E-10</v>
      </c>
      <c r="P150" s="34">
        <v>8.5028705458309298E-12</v>
      </c>
      <c r="Q150" s="35">
        <v>6.5854450798271898E-10</v>
      </c>
      <c r="R150" s="33">
        <v>3.3884470389839401E-5</v>
      </c>
      <c r="S150" s="34">
        <v>1.54981472313357E-6</v>
      </c>
      <c r="T150" s="34">
        <v>-4.2483935788181996E-3</v>
      </c>
      <c r="U150" s="35">
        <f t="shared" si="2"/>
        <v>4.2485289877559956E-3</v>
      </c>
      <c r="W150" s="13">
        <v>37.754871860000002</v>
      </c>
      <c r="X150" s="13">
        <v>127.10666578999999</v>
      </c>
      <c r="Y150" s="13">
        <v>97.251999999999995</v>
      </c>
      <c r="Z150" s="8">
        <v>3.99565738705683E-4</v>
      </c>
      <c r="AA150" s="8">
        <v>4.1897489624182101E-4</v>
      </c>
      <c r="AB150" s="8">
        <v>4.1279376744790004E-3</v>
      </c>
      <c r="AC150" s="8">
        <v>4.1683404596570004E-3</v>
      </c>
    </row>
    <row r="151">
      <c r="A151" s="31" t="s">
        <v>164</v>
      </c>
      <c r="B151" s="32" t="s">
        <v>11</v>
      </c>
      <c r="C151" s="32" t="s">
        <v>103</v>
      </c>
      <c r="D151" s="32" t="s">
        <v>13</v>
      </c>
      <c r="E151" s="32">
        <v>-3020545.4709999999</v>
      </c>
      <c r="F151" s="32">
        <v>4046783.602</v>
      </c>
      <c r="G151" s="32">
        <v>3883270.253</v>
      </c>
      <c r="H151" s="32">
        <v>-3020545.4709999999</v>
      </c>
      <c r="I151" s="32">
        <v>4046783.602</v>
      </c>
      <c r="J151" s="32">
        <v>3883270.253</v>
      </c>
      <c r="K151" s="32">
        <v>0.11600000000000001</v>
      </c>
      <c r="L151" s="32">
        <v>0</v>
      </c>
      <c r="M151" s="32">
        <v>0</v>
      </c>
      <c r="N151" s="33">
        <v>7.4634344539079504E-10</v>
      </c>
      <c r="O151" s="34">
        <v>-3.4102366828493601E-10</v>
      </c>
      <c r="P151" s="34">
        <v>4.4049524081434202E-10</v>
      </c>
      <c r="Q151" s="35">
        <v>9.31322574615478E-10</v>
      </c>
      <c r="R151" s="33">
        <v>-9.0183988650497401E-4</v>
      </c>
      <c r="S151" s="34">
        <v>1.35826382887307E-3</v>
      </c>
      <c r="T151" s="34">
        <v>4.2443916198729602E-5</v>
      </c>
      <c r="U151" s="35">
        <f t="shared" si="2"/>
        <v>1.6309498139852501E-3</v>
      </c>
      <c r="W151" s="13">
        <v>37.746406469999997</v>
      </c>
      <c r="X151" s="13">
        <v>126.73789803</v>
      </c>
      <c r="Y151" s="13">
        <v>73.510999999999996</v>
      </c>
      <c r="Z151" s="8">
        <v>7.5383226003083103E-4</v>
      </c>
      <c r="AA151" s="8">
        <v>-1.168921676119E-3</v>
      </c>
      <c r="AB151" s="8">
        <v>1.3038985599934499E-4</v>
      </c>
      <c r="AC151" s="8">
        <v>1.397011981234E-3</v>
      </c>
    </row>
    <row r="152">
      <c r="A152" s="31" t="s">
        <v>165</v>
      </c>
      <c r="B152" s="32" t="s">
        <v>11</v>
      </c>
      <c r="C152" s="32" t="s">
        <v>103</v>
      </c>
      <c r="D152" s="32" t="s">
        <v>13</v>
      </c>
      <c r="E152" s="32">
        <v>-3148995.0931000002</v>
      </c>
      <c r="F152" s="32">
        <v>3966490.7396</v>
      </c>
      <c r="G152" s="32">
        <v>3864957.3289999999</v>
      </c>
      <c r="H152" s="32">
        <v>-3148995.0931000002</v>
      </c>
      <c r="I152" s="32">
        <v>3966490.7396</v>
      </c>
      <c r="J152" s="32">
        <v>3864957.3289999999</v>
      </c>
      <c r="K152" s="32">
        <v>0</v>
      </c>
      <c r="L152" s="32">
        <v>0</v>
      </c>
      <c r="M152" s="32">
        <v>0</v>
      </c>
      <c r="N152" s="33">
        <v>-9.437784456926639E-10</v>
      </c>
      <c r="O152" s="34">
        <v>-1.00651085688488E-9</v>
      </c>
      <c r="P152" s="34">
        <v>-2.1859105858362201E-10</v>
      </c>
      <c r="Q152" s="35">
        <v>1.3969838619232099E-9</v>
      </c>
      <c r="R152" s="33">
        <v>-7.8320579247350601E-5</v>
      </c>
      <c r="S152" s="34">
        <v>1.1717907385712601E-4</v>
      </c>
      <c r="T152" s="34">
        <v>1.16179473728893E-5</v>
      </c>
      <c r="U152" s="35">
        <f t="shared" si="2"/>
        <v>1.4142144527904367E-4</v>
      </c>
      <c r="W152" s="13">
        <v>37.534667970000001</v>
      </c>
      <c r="X152" s="13">
        <v>128.44604398000001</v>
      </c>
      <c r="Y152" s="13">
        <v>560.28380000000004</v>
      </c>
      <c r="Z152" s="8">
        <v>3.1534070465253099E-4</v>
      </c>
      <c r="AA152" s="8">
        <v>1.62348914457988E-4</v>
      </c>
      <c r="AB152" s="8">
        <v>-6.6653786972143702E-5</v>
      </c>
      <c r="AC152" s="8">
        <v>3.6088731946990003E-4</v>
      </c>
    </row>
    <row r="153">
      <c r="A153" s="31" t="s">
        <v>166</v>
      </c>
      <c r="B153" s="32" t="s">
        <v>11</v>
      </c>
      <c r="C153" s="32" t="s">
        <v>103</v>
      </c>
      <c r="D153" s="32" t="s">
        <v>13</v>
      </c>
      <c r="E153" s="32">
        <v>-3016849.1820999999</v>
      </c>
      <c r="F153" s="32">
        <v>4037667.1804</v>
      </c>
      <c r="G153" s="32">
        <v>3895503.4652</v>
      </c>
      <c r="H153" s="32">
        <v>-3016849.1820999999</v>
      </c>
      <c r="I153" s="32">
        <v>4037667.1804</v>
      </c>
      <c r="J153" s="32">
        <v>3895503.4652</v>
      </c>
      <c r="K153" s="32">
        <v>0</v>
      </c>
      <c r="L153" s="32">
        <v>0</v>
      </c>
      <c r="M153" s="32">
        <v>0</v>
      </c>
      <c r="N153" s="33">
        <v>-1.84410331386151E-10</v>
      </c>
      <c r="O153" s="34">
        <v>-2.6180084585866999E-10</v>
      </c>
      <c r="P153" s="34">
        <v>1.09475830838059E-9</v>
      </c>
      <c r="Q153" s="35">
        <v>1.1406325468715101E-9</v>
      </c>
      <c r="R153" s="33">
        <v>5.9854845710340198E-5</v>
      </c>
      <c r="S153" s="34">
        <v>1.2811692373170601E-4</v>
      </c>
      <c r="T153" s="34">
        <v>-1.8138959396723001E-6</v>
      </c>
      <c r="U153" s="35">
        <f t="shared" si="2"/>
        <v>1.4142078673223525E-4</v>
      </c>
      <c r="W153" s="13">
        <v>37.886040889999997</v>
      </c>
      <c r="X153" s="13">
        <v>126.76621374</v>
      </c>
      <c r="Y153" s="13">
        <v>56.560099999999998</v>
      </c>
      <c r="Z153" s="8">
        <v>3.0722887896743301E-4</v>
      </c>
      <c r="AA153" s="8">
        <v>-2.6364093235059299E-4</v>
      </c>
      <c r="AB153" s="8">
        <v>-3.2295481605861197E-5</v>
      </c>
      <c r="AC153" s="8">
        <v>4.0612697942199097E-4</v>
      </c>
    </row>
    <row r="154">
      <c r="A154" s="31" t="s">
        <v>167</v>
      </c>
      <c r="B154" s="32" t="s">
        <v>11</v>
      </c>
      <c r="C154" s="32" t="s">
        <v>103</v>
      </c>
      <c r="D154" s="32" t="s">
        <v>13</v>
      </c>
      <c r="E154" s="32">
        <v>-3041244.9567999998</v>
      </c>
      <c r="F154" s="32">
        <v>4008003.7387000001</v>
      </c>
      <c r="G154" s="32">
        <v>3907123.5545000001</v>
      </c>
      <c r="H154" s="32">
        <v>-3041244.9567999998</v>
      </c>
      <c r="I154" s="32">
        <v>4008003.7387000001</v>
      </c>
      <c r="J154" s="32">
        <v>3907123.5545000001</v>
      </c>
      <c r="K154" s="32">
        <v>0</v>
      </c>
      <c r="L154" s="32">
        <v>0</v>
      </c>
      <c r="M154" s="32">
        <v>0</v>
      </c>
      <c r="N154" s="33">
        <v>7.4191502514114496E-10</v>
      </c>
      <c r="O154" s="34">
        <v>7.5382274817159598E-10</v>
      </c>
      <c r="P154" s="34">
        <v>1.3039321333072301E-9</v>
      </c>
      <c r="Q154" s="35">
        <v>1.6789656483866201E-9</v>
      </c>
      <c r="R154" s="33">
        <v>-7.9661641994480196E-5</v>
      </c>
      <c r="S154" s="34">
        <v>1.16012216651782E-4</v>
      </c>
      <c r="T154" s="34">
        <v>1.3971884910926E-5</v>
      </c>
      <c r="U154" s="35">
        <f t="shared" si="2"/>
        <v>1.4142144528211023E-4</v>
      </c>
      <c r="W154" s="13">
        <v>38.018581810000001</v>
      </c>
      <c r="X154" s="13">
        <v>127.19097024</v>
      </c>
      <c r="Y154" s="13">
        <v>88.493899999999996</v>
      </c>
      <c r="Z154" s="8">
        <v>2.1267348149417301E-4</v>
      </c>
      <c r="AA154" s="8">
        <v>3.3736033524621299E-4</v>
      </c>
      <c r="AB154" s="8">
        <v>-1.0648904012201001E-4</v>
      </c>
      <c r="AC154" s="8">
        <v>4.1277345020531201E-4</v>
      </c>
    </row>
    <row r="155">
      <c r="A155" s="31" t="s">
        <v>168</v>
      </c>
      <c r="B155" s="32" t="s">
        <v>11</v>
      </c>
      <c r="C155" s="32" t="s">
        <v>103</v>
      </c>
      <c r="D155" s="32" t="s">
        <v>13</v>
      </c>
      <c r="E155" s="32">
        <v>-3283005.4019999998</v>
      </c>
      <c r="F155" s="32">
        <v>3996377.4440000001</v>
      </c>
      <c r="G155" s="32">
        <v>3720197.6320000002</v>
      </c>
      <c r="H155" s="32">
        <v>-3283005.4019999998</v>
      </c>
      <c r="I155" s="32">
        <v>3996377.4440000001</v>
      </c>
      <c r="J155" s="32">
        <v>3720197.6320000002</v>
      </c>
      <c r="K155" s="32">
        <v>0</v>
      </c>
      <c r="L155" s="32">
        <v>0</v>
      </c>
      <c r="M155" s="32">
        <v>0</v>
      </c>
      <c r="N155" s="33">
        <v>-2.0946725225333699E-9</v>
      </c>
      <c r="O155" s="34">
        <v>1.0329532553235599E-9</v>
      </c>
      <c r="P155" s="34">
        <v>-6.3249215574727397E-10</v>
      </c>
      <c r="Q155" s="35">
        <v>2.4196470262047901E-9</v>
      </c>
      <c r="R155" s="33">
        <v>-9.10648126888409E-5</v>
      </c>
      <c r="S155" s="34">
        <v>3.8787695675923402E-5</v>
      </c>
      <c r="T155" s="34">
        <v>-2.24061246164525E-4</v>
      </c>
      <c r="U155" s="35">
        <f t="shared" si="2"/>
        <v>2.4495045923349804E-4</v>
      </c>
      <c r="W155" s="13">
        <v>35.910143689999998</v>
      </c>
      <c r="X155" s="13">
        <v>129.40294446999999</v>
      </c>
      <c r="Y155" s="13">
        <v>130.74299999999999</v>
      </c>
      <c r="Z155" s="8">
        <v>-4.4158706986562399E-4</v>
      </c>
      <c r="AA155" s="8">
        <v>7.6216865451910897E-4</v>
      </c>
      <c r="AB155" s="8">
        <v>1.6553480871934199E-4</v>
      </c>
      <c r="AC155" s="8">
        <v>8.9627114820333602E-4</v>
      </c>
    </row>
    <row r="156">
      <c r="A156" s="31" t="s">
        <v>169</v>
      </c>
      <c r="B156" s="32" t="s">
        <v>11</v>
      </c>
      <c r="C156" s="32" t="s">
        <v>103</v>
      </c>
      <c r="D156" s="32" t="s">
        <v>13</v>
      </c>
      <c r="E156" s="32">
        <v>-3293845.7503</v>
      </c>
      <c r="F156" s="32">
        <v>4031647.3651000001</v>
      </c>
      <c r="G156" s="32">
        <v>3672604.8706999999</v>
      </c>
      <c r="H156" s="32">
        <v>-3293845.7503</v>
      </c>
      <c r="I156" s="32">
        <v>4031647.3651000001</v>
      </c>
      <c r="J156" s="32">
        <v>3672604.8706999999</v>
      </c>
      <c r="K156" s="32">
        <v>0</v>
      </c>
      <c r="L156" s="32">
        <v>0</v>
      </c>
      <c r="M156" s="32">
        <v>0</v>
      </c>
      <c r="N156" s="33">
        <v>-1.4424447005273699E-9</v>
      </c>
      <c r="O156" s="34">
        <v>-4.5660293596262399E-10</v>
      </c>
      <c r="P156" s="34">
        <v>-1.76971124967276E-9</v>
      </c>
      <c r="Q156" s="35">
        <v>2.3283064365386901E-9</v>
      </c>
      <c r="R156" s="33">
        <v>-9.1614143338645106E-5</v>
      </c>
      <c r="S156" s="34">
        <v>3.6577967518201202E-5</v>
      </c>
      <c r="T156" s="34">
        <v>-2.2420951788341701E-4</v>
      </c>
      <c r="U156" s="35">
        <f t="shared" si="2"/>
        <v>2.4495102954866444E-4</v>
      </c>
      <c r="W156" s="13">
        <v>35.382188190000001</v>
      </c>
      <c r="X156" s="13">
        <v>129.24873600999999</v>
      </c>
      <c r="Y156" s="13">
        <v>148.6019</v>
      </c>
      <c r="Z156" s="8">
        <v>-8.50094075046963E-5</v>
      </c>
      <c r="AA156" s="8">
        <v>-1.5929266883904001E-4</v>
      </c>
      <c r="AB156" s="8">
        <v>1.11328752669653E-5</v>
      </c>
      <c r="AC156" s="8">
        <v>1.80899681099424E-4</v>
      </c>
    </row>
    <row r="157">
      <c r="A157" s="31" t="s">
        <v>170</v>
      </c>
      <c r="B157" s="32" t="s">
        <v>11</v>
      </c>
      <c r="C157" s="32" t="s">
        <v>103</v>
      </c>
      <c r="D157" s="32" t="s">
        <v>13</v>
      </c>
      <c r="E157" s="32">
        <v>-3287592.1889999998</v>
      </c>
      <c r="F157" s="32">
        <v>4049012.0929999999</v>
      </c>
      <c r="G157" s="32">
        <v>3659187.9849999999</v>
      </c>
      <c r="H157" s="32">
        <v>-3287592.1889999998</v>
      </c>
      <c r="I157" s="32">
        <v>4049012.0929999999</v>
      </c>
      <c r="J157" s="32">
        <v>3659187.9849999999</v>
      </c>
      <c r="K157" s="32">
        <v>4.4999999999999998E-2</v>
      </c>
      <c r="L157" s="32">
        <v>0</v>
      </c>
      <c r="M157" s="32">
        <v>0</v>
      </c>
      <c r="N157" s="33">
        <v>-9.4854891641343993E-10</v>
      </c>
      <c r="O157" s="34">
        <v>-6.2813039140763296E-10</v>
      </c>
      <c r="P157" s="34">
        <v>8.2156993272554403E-11</v>
      </c>
      <c r="Q157" s="35">
        <v>1.1406325468715101E-9</v>
      </c>
      <c r="R157" s="33">
        <v>4.3795864109963003E-5</v>
      </c>
      <c r="S157" s="34">
        <v>8.32635799919182E-5</v>
      </c>
      <c r="T157" s="34">
        <v>5.7545584844775899E-4</v>
      </c>
      <c r="U157" s="35">
        <f t="shared" si="2"/>
        <v>5.8309547672652983E-4</v>
      </c>
      <c r="W157" s="13">
        <v>35.233937560000001</v>
      </c>
      <c r="X157" s="13">
        <v>129.07484489000001</v>
      </c>
      <c r="Y157" s="13">
        <v>158.64500000000001</v>
      </c>
      <c r="Z157" s="8">
        <v>1.1283365552510001E-3</v>
      </c>
      <c r="AA157" s="8">
        <v>-2.5931421663548903E-4</v>
      </c>
      <c r="AB157" s="8">
        <v>-4.3933026921563902E-4</v>
      </c>
      <c r="AC157" s="8">
        <v>1.2383046193539999E-3</v>
      </c>
    </row>
    <row r="158">
      <c r="A158" s="31" t="s">
        <v>171</v>
      </c>
      <c r="B158" s="32" t="s">
        <v>11</v>
      </c>
      <c r="C158" s="32" t="s">
        <v>103</v>
      </c>
      <c r="D158" s="32" t="s">
        <v>13</v>
      </c>
      <c r="E158" s="32">
        <v>-3110081.5329999998</v>
      </c>
      <c r="F158" s="32">
        <v>4082094.0980000002</v>
      </c>
      <c r="G158" s="32">
        <v>3775023.5950000002</v>
      </c>
      <c r="H158" s="32">
        <v>-3110081.5329999998</v>
      </c>
      <c r="I158" s="32">
        <v>4082094.0980000002</v>
      </c>
      <c r="J158" s="32">
        <v>3775023.5950000002</v>
      </c>
      <c r="K158" s="32">
        <v>0</v>
      </c>
      <c r="L158" s="32">
        <v>0</v>
      </c>
      <c r="M158" s="32">
        <v>0</v>
      </c>
      <c r="N158" s="33">
        <v>1.30522291017507E-9</v>
      </c>
      <c r="O158" s="34">
        <v>1.0498115177392099E-10</v>
      </c>
      <c r="P158" s="34">
        <v>-1.4175890978397999E-10</v>
      </c>
      <c r="Q158" s="35">
        <v>1.3170890159654299E-9</v>
      </c>
      <c r="R158" s="33">
        <v>1.52268057681589E-3</v>
      </c>
      <c r="S158" s="34">
        <v>7.6993967173975603E-4</v>
      </c>
      <c r="T158" s="34">
        <v>1.3653396352786599E-4</v>
      </c>
      <c r="U158" s="35">
        <f t="shared" si="2"/>
        <v>1.7117256673683792E-3</v>
      </c>
      <c r="W158" s="13">
        <v>36.522213389999997</v>
      </c>
      <c r="X158" s="13">
        <v>127.30318989</v>
      </c>
      <c r="Y158" s="13">
        <v>181.196</v>
      </c>
      <c r="Z158" s="8">
        <v>-1.593129901059E-3</v>
      </c>
      <c r="AA158" s="8">
        <v>-9.5162632151464099E-4</v>
      </c>
      <c r="AB158" s="8">
        <v>-2.8133278477515802E-4</v>
      </c>
      <c r="AC158" s="8">
        <v>1.876913336634E-3</v>
      </c>
    </row>
    <row r="159">
      <c r="A159" s="31" t="s">
        <v>172</v>
      </c>
      <c r="B159" s="32" t="s">
        <v>11</v>
      </c>
      <c r="C159" s="32" t="s">
        <v>103</v>
      </c>
      <c r="D159" s="32" t="s">
        <v>13</v>
      </c>
      <c r="E159" s="32">
        <v>-3042060.3960000002</v>
      </c>
      <c r="F159" s="32">
        <v>4111978.7480000001</v>
      </c>
      <c r="G159" s="32">
        <v>3797578.7310000001</v>
      </c>
      <c r="H159" s="32">
        <v>-3042060.3960000002</v>
      </c>
      <c r="I159" s="32">
        <v>4111978.7480000001</v>
      </c>
      <c r="J159" s="32">
        <v>3797578.7310000001</v>
      </c>
      <c r="K159" s="32">
        <v>0</v>
      </c>
      <c r="L159" s="32">
        <v>0</v>
      </c>
      <c r="M159" s="32">
        <v>0</v>
      </c>
      <c r="N159" s="33">
        <v>1.0256541574108099E-9</v>
      </c>
      <c r="O159" s="34">
        <v>-1.0749134597179E-10</v>
      </c>
      <c r="P159" s="34">
        <v>1.4381005671574899E-10</v>
      </c>
      <c r="Q159" s="35">
        <v>1.0412502929101601E-9</v>
      </c>
      <c r="R159" s="33">
        <v>-8.8102909033567598E-4</v>
      </c>
      <c r="S159" s="34">
        <v>5.7292106823483803E-4</v>
      </c>
      <c r="T159" s="34">
        <v>2.3568435065198399E-4</v>
      </c>
      <c r="U159" s="35">
        <f t="shared" si="2"/>
        <v>1.0770319965475975E-3</v>
      </c>
      <c r="W159" s="13">
        <v>36.776409110000003</v>
      </c>
      <c r="X159" s="13">
        <v>126.49420268999999</v>
      </c>
      <c r="Y159" s="13">
        <v>52.277000000000001</v>
      </c>
      <c r="Z159" s="8">
        <v>1.3070915600850001E-3</v>
      </c>
      <c r="AA159" s="8">
        <v>-4.8087670388804202E-4</v>
      </c>
      <c r="AB159" s="8">
        <v>-3.9502141671562599E-4</v>
      </c>
      <c r="AC159" s="8">
        <v>1.4476783725849999E-3</v>
      </c>
    </row>
    <row r="160">
      <c r="A160" s="9" t="s">
        <v>173</v>
      </c>
      <c r="B160" s="10" t="s">
        <v>11</v>
      </c>
      <c r="C160" s="10" t="s">
        <v>103</v>
      </c>
      <c r="D160" s="10" t="s">
        <v>13</v>
      </c>
      <c r="E160" s="10">
        <v>-3193376.9106000001</v>
      </c>
      <c r="F160" s="10">
        <v>4276355.6010999996</v>
      </c>
      <c r="G160" s="10">
        <v>3480594.5079999999</v>
      </c>
      <c r="H160" s="10">
        <v>-3193376.9106000001</v>
      </c>
      <c r="I160" s="10">
        <v>4276355.6010999996</v>
      </c>
      <c r="J160" s="10">
        <v>3480594.5079999999</v>
      </c>
      <c r="K160" s="10">
        <v>0</v>
      </c>
      <c r="L160" s="10">
        <v>0</v>
      </c>
      <c r="M160" s="10">
        <v>0</v>
      </c>
      <c r="N160" s="25">
        <v>-1.8413120705685801E-10</v>
      </c>
      <c r="O160" s="11">
        <v>-5.6246091633659905E-10</v>
      </c>
      <c r="P160" s="11">
        <v>8.5670040776638003E-10</v>
      </c>
      <c r="Q160" s="12">
        <v>1.0412502929101601E-9</v>
      </c>
      <c r="R160" s="25" t="s">
        <v>249</v>
      </c>
      <c r="S160" s="11" t="s">
        <v>249</v>
      </c>
      <c r="T160" s="11" t="s">
        <v>249</v>
      </c>
      <c r="U160" s="12" t="s">
        <v>249</v>
      </c>
      <c r="W160" s="13">
        <v>33.286632750000003</v>
      </c>
      <c r="X160" s="13">
        <v>126.75060836</v>
      </c>
      <c r="Y160" s="13">
        <v>33.341900000000003</v>
      </c>
      <c r="Z160" s="8">
        <v>-8.9829991557195904E-4</v>
      </c>
      <c r="AA160" s="8">
        <v>9.7496625904941101E-4</v>
      </c>
      <c r="AB160" s="8">
        <v>-1.3216668193201199E-5</v>
      </c>
      <c r="AC160" s="8">
        <v>1.325773972033E-3</v>
      </c>
    </row>
    <row r="161">
      <c r="A161" s="31" t="s">
        <v>174</v>
      </c>
      <c r="B161" s="32" t="s">
        <v>11</v>
      </c>
      <c r="C161" s="32" t="s">
        <v>103</v>
      </c>
      <c r="D161" s="32" t="s">
        <v>13</v>
      </c>
      <c r="E161" s="32">
        <v>-3093291.4978999998</v>
      </c>
      <c r="F161" s="32">
        <v>4234482.2378000002</v>
      </c>
      <c r="G161" s="32">
        <v>3618492.9953000001</v>
      </c>
      <c r="H161" s="32">
        <v>-3093291.4947000002</v>
      </c>
      <c r="I161" s="32">
        <v>4234482.2378000002</v>
      </c>
      <c r="J161" s="32">
        <v>3618492.9953000001</v>
      </c>
      <c r="K161" s="32">
        <v>0</v>
      </c>
      <c r="L161" s="32">
        <v>0</v>
      </c>
      <c r="M161" s="32">
        <v>0</v>
      </c>
      <c r="N161" s="33">
        <v>-2.583982608955E-3</v>
      </c>
      <c r="O161" s="34">
        <v>1.076923216758E-3</v>
      </c>
      <c r="P161" s="34">
        <v>-1.5502478041729999E-3</v>
      </c>
      <c r="Q161" s="35">
        <v>3.1999996863310001E-3</v>
      </c>
      <c r="R161" s="33">
        <v>5.8986864063180802E-5</v>
      </c>
      <c r="S161" s="34">
        <v>1.28196197834202E-4</v>
      </c>
      <c r="T161" s="34">
        <v>-9.2652173717836506E-6</v>
      </c>
      <c r="U161" s="35">
        <f t="shared" si="2"/>
        <v>1.4141979891125721E-4</v>
      </c>
      <c r="W161" s="13">
        <v>34.786890929999998</v>
      </c>
      <c r="X161" s="13">
        <v>126.14814800000001</v>
      </c>
      <c r="Y161" s="13">
        <v>30.9802</v>
      </c>
      <c r="Z161" s="8">
        <v>-2.9388354509869998E-3</v>
      </c>
      <c r="AA161" s="8">
        <v>9.9656973703788807E-4</v>
      </c>
      <c r="AB161" s="8">
        <v>-1.6260266125270001E-3</v>
      </c>
      <c r="AC161" s="8">
        <v>3.503407996994E-3</v>
      </c>
    </row>
    <row r="162">
      <c r="A162" s="31" t="s">
        <v>175</v>
      </c>
      <c r="B162" s="32" t="s">
        <v>11</v>
      </c>
      <c r="C162" s="32" t="s">
        <v>103</v>
      </c>
      <c r="D162" s="32" t="s">
        <v>13</v>
      </c>
      <c r="E162" s="32">
        <v>-3085334.023</v>
      </c>
      <c r="F162" s="32">
        <v>4165340.22</v>
      </c>
      <c r="G162" s="32">
        <v>3703961.3670000001</v>
      </c>
      <c r="H162" s="32">
        <v>-3085334.023</v>
      </c>
      <c r="I162" s="32">
        <v>4165340.22</v>
      </c>
      <c r="J162" s="32">
        <v>3703961.3670000001</v>
      </c>
      <c r="K162" s="32">
        <v>0.05</v>
      </c>
      <c r="L162" s="32">
        <v>0</v>
      </c>
      <c r="M162" s="32">
        <v>0</v>
      </c>
      <c r="N162" s="33">
        <v>2.77168442513735E-10</v>
      </c>
      <c r="O162" s="34">
        <v>2.1851576800604599E-10</v>
      </c>
      <c r="P162" s="34">
        <v>-3.0375804204059899E-10</v>
      </c>
      <c r="Q162" s="35">
        <v>4.65661287307739E-10</v>
      </c>
      <c r="R162" s="33">
        <v>-4.1664985801902101E-4</v>
      </c>
      <c r="S162" s="34">
        <v>-5.7201347399789704E-4</v>
      </c>
      <c r="T162" s="34">
        <v>2.8142928449458E-4</v>
      </c>
      <c r="U162" s="35">
        <f t="shared" si="2"/>
        <v>7.6157662831362186E-4</v>
      </c>
      <c r="W162" s="13">
        <v>35.73027475</v>
      </c>
      <c r="X162" s="13">
        <v>126.52793894</v>
      </c>
      <c r="Y162" s="13">
        <v>39.526000000000003</v>
      </c>
      <c r="Z162" s="8">
        <v>7.8053141573668802E-4</v>
      </c>
      <c r="AA162" s="8">
        <v>5.5529272370485904E-4</v>
      </c>
      <c r="AB162" s="8">
        <v>-3.7042787760175699E-4</v>
      </c>
      <c r="AC162" s="8">
        <v>1.0270326735090001E-3</v>
      </c>
    </row>
    <row r="163">
      <c r="A163" s="31" t="s">
        <v>176</v>
      </c>
      <c r="B163" s="32" t="s">
        <v>11</v>
      </c>
      <c r="C163" s="32" t="s">
        <v>103</v>
      </c>
      <c r="D163" s="32" t="s">
        <v>13</v>
      </c>
      <c r="E163" s="32">
        <v>-3175473.09</v>
      </c>
      <c r="F163" s="32">
        <v>4043362.9169999999</v>
      </c>
      <c r="G163" s="32">
        <v>3762213.5970000001</v>
      </c>
      <c r="H163" s="32">
        <v>-3175473.09</v>
      </c>
      <c r="I163" s="32">
        <v>4043362.9169999999</v>
      </c>
      <c r="J163" s="32">
        <v>3762213.5970000001</v>
      </c>
      <c r="K163" s="32">
        <v>0</v>
      </c>
      <c r="L163" s="32">
        <v>0</v>
      </c>
      <c r="M163" s="32">
        <v>0</v>
      </c>
      <c r="N163" s="33">
        <v>-1.5952863217644899E-9</v>
      </c>
      <c r="O163" s="34">
        <v>-6.8537303089080097E-10</v>
      </c>
      <c r="P163" s="34">
        <v>1.4522893333654099E-10</v>
      </c>
      <c r="Q163" s="35">
        <v>1.74234499538966E-9</v>
      </c>
      <c r="R163" s="33">
        <v>4.9411568059101599E-4</v>
      </c>
      <c r="S163" s="34">
        <v>1.01726099338235E-3</v>
      </c>
      <c r="T163" s="34">
        <v>-3.2045388138763103E-5</v>
      </c>
      <c r="U163" s="35">
        <f t="shared" si="2"/>
        <v>1.1313695865472664E-3</v>
      </c>
      <c r="W163" s="13">
        <v>36.379164500000002</v>
      </c>
      <c r="X163" s="13">
        <v>128.14447713999999</v>
      </c>
      <c r="Y163" s="13">
        <v>111.586</v>
      </c>
      <c r="Z163" s="8">
        <v>1.9544239520910001E-3</v>
      </c>
      <c r="AA163" s="8">
        <v>2.0228642015670002E-3</v>
      </c>
      <c r="AB163" s="8">
        <v>-8.5394497716825398E-5</v>
      </c>
      <c r="AC163" s="8">
        <v>2.8140797399379999E-3</v>
      </c>
    </row>
    <row r="164">
      <c r="A164" s="31" t="s">
        <v>177</v>
      </c>
      <c r="B164" s="32" t="s">
        <v>11</v>
      </c>
      <c r="C164" s="32" t="s">
        <v>103</v>
      </c>
      <c r="D164" s="32" t="s">
        <v>13</v>
      </c>
      <c r="E164" s="32">
        <v>-3184745.2459999998</v>
      </c>
      <c r="F164" s="32">
        <v>4152521.071</v>
      </c>
      <c r="G164" s="32">
        <v>3634027.0010000002</v>
      </c>
      <c r="H164" s="32">
        <v>-3184745.2459999998</v>
      </c>
      <c r="I164" s="32">
        <v>4152521.071</v>
      </c>
      <c r="J164" s="32">
        <v>3634027.0010000002</v>
      </c>
      <c r="K164" s="32">
        <v>6.7000000000000004E-2</v>
      </c>
      <c r="L164" s="32">
        <v>0</v>
      </c>
      <c r="M164" s="32">
        <v>0</v>
      </c>
      <c r="N164" s="33">
        <v>-9.3627697085615504E-10</v>
      </c>
      <c r="O164" s="34">
        <v>-1.0243456078011101E-9</v>
      </c>
      <c r="P164" s="34">
        <v>-1.60204307360598E-10</v>
      </c>
      <c r="Q164" s="35">
        <v>1.3969838619232099E-9</v>
      </c>
      <c r="R164" s="33">
        <v>1.21949855094309E-3</v>
      </c>
      <c r="S164" s="34">
        <v>2.9739432116926499E-4</v>
      </c>
      <c r="T164" s="34">
        <v>2.7272214712699302E-4</v>
      </c>
      <c r="U164" s="35">
        <f t="shared" si="2"/>
        <v>1.2845222721111463E-3</v>
      </c>
      <c r="W164" s="13">
        <v>34.957482079999998</v>
      </c>
      <c r="X164" s="13">
        <v>127.48613492</v>
      </c>
      <c r="Y164" s="13">
        <v>43.616999999999997</v>
      </c>
      <c r="Z164" s="8">
        <v>-1.4992172800699999E-3</v>
      </c>
      <c r="AA164" s="8">
        <v>6.6916518708834898E-5</v>
      </c>
      <c r="AB164" s="8">
        <v>-3.47717019284486E-4</v>
      </c>
      <c r="AC164" s="8">
        <v>1.540466617242E-3</v>
      </c>
    </row>
    <row r="165">
      <c r="A165" s="31" t="s">
        <v>178</v>
      </c>
      <c r="B165" s="32" t="s">
        <v>11</v>
      </c>
      <c r="C165" s="32" t="s">
        <v>103</v>
      </c>
      <c r="D165" s="32" t="s">
        <v>13</v>
      </c>
      <c r="E165" s="32">
        <v>-3051176.602</v>
      </c>
      <c r="F165" s="32">
        <v>4034620.4040000001</v>
      </c>
      <c r="G165" s="32">
        <v>3872039.7480000001</v>
      </c>
      <c r="H165" s="32">
        <v>-3051176.602</v>
      </c>
      <c r="I165" s="32">
        <v>4034620.4040000001</v>
      </c>
      <c r="J165" s="32">
        <v>3872039.7480000001</v>
      </c>
      <c r="K165" s="32">
        <v>4.4999999999999998E-2</v>
      </c>
      <c r="L165" s="32">
        <v>0</v>
      </c>
      <c r="M165" s="32">
        <v>0</v>
      </c>
      <c r="N165" s="33">
        <v>9.3317185787655293E-10</v>
      </c>
      <c r="O165" s="34">
        <v>-8.6875080582346504E-11</v>
      </c>
      <c r="P165" s="34">
        <v>-6.5014276203279996E-10</v>
      </c>
      <c r="Q165" s="35">
        <v>1.1406325468715101E-9</v>
      </c>
      <c r="R165" s="33">
        <v>9.3317185787655293E-10</v>
      </c>
      <c r="S165" s="34">
        <v>7.9208982693968494E-5</v>
      </c>
      <c r="T165" s="34">
        <v>6.1039413122169703E-5</v>
      </c>
      <c r="U165" s="35">
        <f t="shared" si="2"/>
        <v>9.999936447089608E-5</v>
      </c>
      <c r="W165" s="13">
        <v>37.618551969999999</v>
      </c>
      <c r="X165" s="13">
        <v>127.09834816999999</v>
      </c>
      <c r="Y165" s="13">
        <v>73.900999999999996</v>
      </c>
      <c r="Z165" s="8">
        <v>8.0038836955761603E-4</v>
      </c>
      <c r="AA165" s="8">
        <v>-1.3021874448749999E-3</v>
      </c>
      <c r="AB165" s="8">
        <v>-5.3669531048719001E-4</v>
      </c>
      <c r="AC165" s="8">
        <v>1.6199862777230001E-3</v>
      </c>
    </row>
    <row r="166">
      <c r="A166" s="31" t="s">
        <v>179</v>
      </c>
      <c r="B166" s="32" t="s">
        <v>11</v>
      </c>
      <c r="C166" s="32" t="s">
        <v>103</v>
      </c>
      <c r="D166" s="32" t="s">
        <v>13</v>
      </c>
      <c r="E166" s="32">
        <v>-3198235.5079999999</v>
      </c>
      <c r="F166" s="32">
        <v>4258920.0240000002</v>
      </c>
      <c r="G166" s="32">
        <v>3497381.574</v>
      </c>
      <c r="H166" s="32">
        <v>-3198235.5079999999</v>
      </c>
      <c r="I166" s="32">
        <v>4258920.0240000002</v>
      </c>
      <c r="J166" s="32">
        <v>3497381.574</v>
      </c>
      <c r="K166" s="32">
        <v>0</v>
      </c>
      <c r="L166" s="32">
        <v>0</v>
      </c>
      <c r="M166" s="32">
        <v>0</v>
      </c>
      <c r="N166" s="33">
        <v>-1.8688699061313599E-10</v>
      </c>
      <c r="O166" s="34">
        <v>-5.6489186818538696E-10</v>
      </c>
      <c r="P166" s="34">
        <v>8.5450137652498296E-10</v>
      </c>
      <c r="Q166" s="35">
        <v>1.0412502929101601E-9</v>
      </c>
      <c r="R166" s="33">
        <v>9.6017001004452E-4</v>
      </c>
      <c r="S166" s="34">
        <v>-1.79589450262962E-4</v>
      </c>
      <c r="T166" s="34">
        <v>-4.5367516094827398E-4</v>
      </c>
      <c r="U166" s="35">
        <f t="shared" si="2"/>
        <v>1.0770329477300538E-3</v>
      </c>
      <c r="W166" s="13">
        <v>33.467804579999999</v>
      </c>
      <c r="X166" s="13">
        <v>126.90471343999999</v>
      </c>
      <c r="Y166" s="13">
        <v>46.343000000000004</v>
      </c>
      <c r="Z166" s="8">
        <v>-5.6102103428996299E-4</v>
      </c>
      <c r="AA166" s="8">
        <v>5.3886818705417105E-4</v>
      </c>
      <c r="AB166" s="8">
        <v>2.4937211990694802E-4</v>
      </c>
      <c r="AC166" s="8">
        <v>8.1689043213990103E-4</v>
      </c>
    </row>
    <row r="167">
      <c r="A167" s="31" t="s">
        <v>180</v>
      </c>
      <c r="B167" s="32" t="s">
        <v>11</v>
      </c>
      <c r="C167" s="32" t="s">
        <v>103</v>
      </c>
      <c r="D167" s="32" t="s">
        <v>13</v>
      </c>
      <c r="E167" s="32">
        <v>-3202178.3475000001</v>
      </c>
      <c r="F167" s="32">
        <v>4061050.4750999999</v>
      </c>
      <c r="G167" s="32">
        <v>3720520.7316999999</v>
      </c>
      <c r="H167" s="32">
        <v>-3202178.3475000001</v>
      </c>
      <c r="I167" s="32">
        <v>4061050.4750999999</v>
      </c>
      <c r="J167" s="32">
        <v>3720520.7316999999</v>
      </c>
      <c r="K167" s="32">
        <v>0</v>
      </c>
      <c r="L167" s="32">
        <v>0</v>
      </c>
      <c r="M167" s="32">
        <v>0</v>
      </c>
      <c r="N167" s="33">
        <v>-1.7509706305343199E-9</v>
      </c>
      <c r="O167" s="34">
        <v>4.6201169729436601E-10</v>
      </c>
      <c r="P167" s="34">
        <v>-6.37914123546511E-10</v>
      </c>
      <c r="Q167" s="35">
        <v>1.9199706733308998E-9</v>
      </c>
      <c r="R167" s="33">
        <v>-1.6609366691409699E-5</v>
      </c>
      <c r="S167" s="34">
        <v>1.6337024695161801E-4</v>
      </c>
      <c r="T167" s="34">
        <v>-5.5087703633139902E-5</v>
      </c>
      <c r="U167" s="35">
        <f t="shared" si="2"/>
        <v>1.7320613078784198E-4</v>
      </c>
      <c r="W167" s="13">
        <v>35.914076129999998</v>
      </c>
      <c r="X167" s="13">
        <v>128.25612763000001</v>
      </c>
      <c r="Y167" s="13">
        <v>79.086500000000001</v>
      </c>
      <c r="Z167" s="8">
        <v>-2.57818343417294E-4</v>
      </c>
      <c r="AA167" s="8">
        <v>-7.3343304876340295E-4</v>
      </c>
      <c r="AB167" s="8">
        <v>-3.4536996795435902E-5</v>
      </c>
      <c r="AC167" s="8">
        <v>7.7819479525917401E-4</v>
      </c>
    </row>
    <row r="168">
      <c r="A168" s="31" t="s">
        <v>181</v>
      </c>
      <c r="B168" s="32" t="s">
        <v>11</v>
      </c>
      <c r="C168" s="32" t="s">
        <v>103</v>
      </c>
      <c r="D168" s="32" t="s">
        <v>13</v>
      </c>
      <c r="E168" s="32">
        <v>-3062023.5630000001</v>
      </c>
      <c r="F168" s="32">
        <v>4055449.0329999998</v>
      </c>
      <c r="G168" s="32">
        <v>3841819.213</v>
      </c>
      <c r="H168" s="32">
        <v>-3062023.5630000001</v>
      </c>
      <c r="I168" s="32">
        <v>4055449.0329999998</v>
      </c>
      <c r="J168" s="32">
        <v>3841819.213</v>
      </c>
      <c r="K168" s="32">
        <v>0</v>
      </c>
      <c r="L168" s="32">
        <v>0</v>
      </c>
      <c r="M168" s="32">
        <v>0</v>
      </c>
      <c r="N168" s="33">
        <v>1.8955961003049901E-10</v>
      </c>
      <c r="O168" s="34">
        <v>2.4955150055644098E-10</v>
      </c>
      <c r="P168" s="34">
        <v>-1.0967378035782799E-9</v>
      </c>
      <c r="Q168" s="35">
        <v>1.1406325468715101E-9</v>
      </c>
      <c r="R168" s="33">
        <v>7.9967397648503605E-4</v>
      </c>
      <c r="S168" s="34">
        <v>-3.8041594705442701E-4</v>
      </c>
      <c r="T168" s="34">
        <v>-1.6063935129630299E-4</v>
      </c>
      <c r="U168" s="35">
        <f t="shared" si="2"/>
        <v>8.9999986812532571E-4</v>
      </c>
      <c r="W168" s="13">
        <v>37.275514690000001</v>
      </c>
      <c r="X168" s="13">
        <v>127.05424019</v>
      </c>
      <c r="Y168" s="13">
        <v>83.819000000000003</v>
      </c>
      <c r="Z168" s="8">
        <v>-4.1432164386633399E-4</v>
      </c>
      <c r="AA168" s="8">
        <v>8.4114677693651401E-4</v>
      </c>
      <c r="AB168" s="8">
        <v>4.6490639544236597E-5</v>
      </c>
      <c r="AC168" s="8">
        <v>9.3880333642995702E-4</v>
      </c>
    </row>
    <row r="169">
      <c r="A169" s="31" t="s">
        <v>182</v>
      </c>
      <c r="B169" s="32" t="s">
        <v>11</v>
      </c>
      <c r="C169" s="32" t="s">
        <v>103</v>
      </c>
      <c r="D169" s="32" t="s">
        <v>13</v>
      </c>
      <c r="E169" s="32">
        <v>-3057700.6864</v>
      </c>
      <c r="F169" s="32">
        <v>4060187.9079999998</v>
      </c>
      <c r="G169" s="32">
        <v>3840237.1562000001</v>
      </c>
      <c r="H169" s="32">
        <v>-3057700.6864</v>
      </c>
      <c r="I169" s="32">
        <v>4060187.9079999998</v>
      </c>
      <c r="J169" s="32">
        <v>3840237.1562000001</v>
      </c>
      <c r="K169" s="32">
        <v>0</v>
      </c>
      <c r="L169" s="32">
        <v>0</v>
      </c>
      <c r="M169" s="32">
        <v>0</v>
      </c>
      <c r="N169" s="33">
        <v>-6.5210863525267602E-10</v>
      </c>
      <c r="O169" s="34">
        <v>3.1502722973089598E-10</v>
      </c>
      <c r="P169" s="34">
        <v>3.5501193761375299E-10</v>
      </c>
      <c r="Q169" s="35">
        <v>8.06549008734932E-10</v>
      </c>
      <c r="R169" s="33">
        <v>9.8615386146199004E-5</v>
      </c>
      <c r="S169" s="34">
        <v>-5.0349180716164103E-4</v>
      </c>
      <c r="T169" s="34">
        <v>4.9676064223622097E-4</v>
      </c>
      <c r="U169" s="35">
        <f t="shared" si="2"/>
        <v>7.1414293382949731E-4</v>
      </c>
      <c r="W169" s="13">
        <v>37.257726810000001</v>
      </c>
      <c r="X169" s="13">
        <v>126.98316186</v>
      </c>
      <c r="Y169" s="13">
        <v>65.718599999999995</v>
      </c>
      <c r="Z169" s="8">
        <v>-4.2041022117853399E-5</v>
      </c>
      <c r="AA169" s="8">
        <v>5.5745969659546697E-5</v>
      </c>
      <c r="AB169" s="8">
        <v>3.32365904562562E-5</v>
      </c>
      <c r="AC169" s="8">
        <v>7.7328724411785402E-5</v>
      </c>
    </row>
    <row r="170">
      <c r="A170" s="31" t="s">
        <v>183</v>
      </c>
      <c r="B170" s="32" t="s">
        <v>11</v>
      </c>
      <c r="C170" s="32" t="s">
        <v>103</v>
      </c>
      <c r="D170" s="32" t="s">
        <v>13</v>
      </c>
      <c r="E170" s="32">
        <v>-3202046.3870000001</v>
      </c>
      <c r="F170" s="32">
        <v>3956163.0380000002</v>
      </c>
      <c r="G170" s="32">
        <v>3832326.5120000001</v>
      </c>
      <c r="H170" s="32">
        <v>-3202046.3870000001</v>
      </c>
      <c r="I170" s="32">
        <v>3956163.0380000002</v>
      </c>
      <c r="J170" s="32">
        <v>3832326.5120000001</v>
      </c>
      <c r="K170" s="32">
        <v>0</v>
      </c>
      <c r="L170" s="32">
        <v>0</v>
      </c>
      <c r="M170" s="32">
        <v>0</v>
      </c>
      <c r="N170" s="33">
        <v>-1.1548697225386499E-9</v>
      </c>
      <c r="O170" s="34">
        <v>-1.8671225584888701E-10</v>
      </c>
      <c r="P170" s="34">
        <v>-2.0662201611648099E-9</v>
      </c>
      <c r="Q170" s="35">
        <v>2.3744159907068898E-9</v>
      </c>
      <c r="R170" s="33">
        <v>-9.6193771166639395E-5</v>
      </c>
      <c r="S170" s="34">
        <v>-2.4761526854811001E-5</v>
      </c>
      <c r="T170" s="34">
        <v>5.2927452454302505E-4</v>
      </c>
      <c r="U170" s="35">
        <f t="shared" si="2"/>
        <v>5.3851452826612445E-4</v>
      </c>
      <c r="W170" s="13">
        <v>37.16364592</v>
      </c>
      <c r="X170" s="13">
        <v>128.98607856000001</v>
      </c>
      <c r="Y170" s="13">
        <v>736.19200000000001</v>
      </c>
      <c r="Z170" s="8">
        <v>4.2597163167039701E-4</v>
      </c>
      <c r="AA170" s="8">
        <v>8.6337406717187199E-4</v>
      </c>
      <c r="AB170" s="8">
        <v>-4.2237529669484399E-4</v>
      </c>
      <c r="AC170" s="8">
        <v>1.051317032161E-3</v>
      </c>
    </row>
    <row r="171">
      <c r="A171" s="31" t="s">
        <v>184</v>
      </c>
      <c r="B171" s="32" t="s">
        <v>11</v>
      </c>
      <c r="C171" s="32" t="s">
        <v>103</v>
      </c>
      <c r="D171" s="32" t="s">
        <v>13</v>
      </c>
      <c r="E171" s="32">
        <v>-3241051.5669999998</v>
      </c>
      <c r="F171" s="32">
        <v>4030771.7310000001</v>
      </c>
      <c r="G171" s="32">
        <v>3719838.4890000001</v>
      </c>
      <c r="H171" s="32">
        <v>-3241051.5669999998</v>
      </c>
      <c r="I171" s="32">
        <v>4030771.7310000001</v>
      </c>
      <c r="J171" s="32">
        <v>3719838.4890000001</v>
      </c>
      <c r="K171" s="32">
        <v>0</v>
      </c>
      <c r="L171" s="32">
        <v>0</v>
      </c>
      <c r="M171" s="32">
        <v>0</v>
      </c>
      <c r="N171" s="33">
        <v>-1.01759259969011E-9</v>
      </c>
      <c r="O171" s="34">
        <v>5.0660568177326602E-10</v>
      </c>
      <c r="P171" s="34">
        <v>9.4332344577946798E-11</v>
      </c>
      <c r="Q171" s="35">
        <v>1.1406325468715101E-9</v>
      </c>
      <c r="R171" s="33">
        <v>6.2662224954423705E-5</v>
      </c>
      <c r="S171" s="34">
        <v>-1.16290968424208E-4</v>
      </c>
      <c r="T171" s="34">
        <v>-1.8041531629685699E-4</v>
      </c>
      <c r="U171" s="35">
        <f t="shared" si="2"/>
        <v>2.2360641790381127E-4</v>
      </c>
      <c r="W171" s="13">
        <v>35.906306559999997</v>
      </c>
      <c r="X171" s="13">
        <v>128.80196742000001</v>
      </c>
      <c r="Y171" s="13">
        <v>106.377</v>
      </c>
      <c r="Z171" s="8">
        <v>6.8687443280326097E-4</v>
      </c>
      <c r="AA171" s="8">
        <v>-1.4975485258989399E-4</v>
      </c>
      <c r="AB171" s="8">
        <v>3.0596110822986099E-4</v>
      </c>
      <c r="AC171" s="8">
        <v>7.6670411637232497E-4</v>
      </c>
    </row>
    <row r="172">
      <c r="A172" s="65" t="s">
        <v>185</v>
      </c>
      <c r="B172" s="66" t="s">
        <v>11</v>
      </c>
      <c r="C172" s="66" t="s">
        <v>103</v>
      </c>
      <c r="D172" s="66" t="s">
        <v>254</v>
      </c>
      <c r="E172" s="66">
        <v>-3316134.5712000001</v>
      </c>
      <c r="F172" s="66">
        <v>3827307.6154999998</v>
      </c>
      <c r="G172" s="66">
        <v>3865120.0726999999</v>
      </c>
      <c r="H172" s="66"/>
      <c r="I172" s="66"/>
      <c r="J172" s="66"/>
      <c r="K172" s="66"/>
      <c r="L172" s="66"/>
      <c r="M172" s="66"/>
      <c r="N172" s="67" t="s">
        <v>249</v>
      </c>
      <c r="O172" s="68" t="s">
        <v>249</v>
      </c>
      <c r="P172" s="68" t="s">
        <v>249</v>
      </c>
      <c r="Q172" s="69" t="s">
        <v>249</v>
      </c>
      <c r="R172" s="67" t="s">
        <v>249</v>
      </c>
      <c r="S172" s="68" t="s">
        <v>249</v>
      </c>
      <c r="T172" s="68" t="s">
        <v>249</v>
      </c>
      <c r="U172" s="69" t="s">
        <v>249</v>
      </c>
      <c r="W172" s="13"/>
      <c r="X172" s="13"/>
      <c r="Y172" s="13"/>
      <c r="Z172" s="8" t="s">
        <v>249</v>
      </c>
      <c r="AA172" s="8" t="s">
        <v>249</v>
      </c>
      <c r="AB172" s="8" t="s">
        <v>249</v>
      </c>
      <c r="AC172" s="8" t="s">
        <v>249</v>
      </c>
    </row>
    <row r="173">
      <c r="A173" s="31" t="s">
        <v>186</v>
      </c>
      <c r="B173" s="32" t="s">
        <v>11</v>
      </c>
      <c r="C173" s="32" t="s">
        <v>103</v>
      </c>
      <c r="D173" s="32" t="s">
        <v>13</v>
      </c>
      <c r="E173" s="32">
        <v>-3154089.4907999998</v>
      </c>
      <c r="F173" s="32">
        <v>4224941.3530999999</v>
      </c>
      <c r="G173" s="32">
        <v>3577263.5447999998</v>
      </c>
      <c r="H173" s="32">
        <v>-3154089.4907999998</v>
      </c>
      <c r="I173" s="32">
        <v>4224941.3530999999</v>
      </c>
      <c r="J173" s="32">
        <v>3577263.5447999998</v>
      </c>
      <c r="K173" s="32">
        <v>0</v>
      </c>
      <c r="L173" s="32">
        <v>0</v>
      </c>
      <c r="M173" s="32">
        <v>0</v>
      </c>
      <c r="N173" s="33">
        <v>1.30343529875437E-9</v>
      </c>
      <c r="O173" s="34">
        <v>4.9121056491477603E-10</v>
      </c>
      <c r="P173" s="34">
        <v>1.06454278218871E-10</v>
      </c>
      <c r="Q173" s="35">
        <v>1.3969838619232099E-9</v>
      </c>
      <c r="R173" s="33">
        <v>1.3995673835151399E-4</v>
      </c>
      <c r="S173" s="34">
        <v>1.1456134436555301E-5</v>
      </c>
      <c r="T173" s="34">
        <v>-1.67709894780317E-5</v>
      </c>
      <c r="U173" s="35">
        <f t="shared" si="2"/>
        <v>1.4142276236269331E-4</v>
      </c>
      <c r="W173" s="13">
        <v>34.335369989999997</v>
      </c>
      <c r="X173" s="13">
        <v>126.74282646</v>
      </c>
      <c r="Y173" s="13">
        <v>65.538399999999996</v>
      </c>
      <c r="Z173" s="8">
        <v>-5.2999093764923195E-4</v>
      </c>
      <c r="AA173" s="8">
        <v>-4.7155988355109701E-4</v>
      </c>
      <c r="AB173" s="8">
        <v>-8.2191288442320294E-5</v>
      </c>
      <c r="AC173" s="8">
        <v>7.1415301277866596E-4</v>
      </c>
    </row>
    <row r="174">
      <c r="A174" s="31" t="s">
        <v>187</v>
      </c>
      <c r="B174" s="32" t="s">
        <v>11</v>
      </c>
      <c r="C174" s="32" t="s">
        <v>103</v>
      </c>
      <c r="D174" s="32" t="s">
        <v>13</v>
      </c>
      <c r="E174" s="32">
        <v>-3122341.173</v>
      </c>
      <c r="F174" s="32">
        <v>4004030.642</v>
      </c>
      <c r="G174" s="32">
        <v>3847323.7549999999</v>
      </c>
      <c r="H174" s="32">
        <v>-3122341.173</v>
      </c>
      <c r="I174" s="32">
        <v>4004030.642</v>
      </c>
      <c r="J174" s="32">
        <v>3847323.7549999999</v>
      </c>
      <c r="K174" s="32">
        <v>0</v>
      </c>
      <c r="L174" s="32">
        <v>0</v>
      </c>
      <c r="M174" s="32">
        <v>0</v>
      </c>
      <c r="N174" s="33">
        <v>1.22626287465258E-9</v>
      </c>
      <c r="O174" s="34">
        <v>4.9447209653482399E-10</v>
      </c>
      <c r="P174" s="34">
        <v>-6.4821374018779098E-10</v>
      </c>
      <c r="Q174" s="35">
        <v>1.4725502860585099E-9</v>
      </c>
      <c r="R174" s="33">
        <v>1.1401757723243399E-3</v>
      </c>
      <c r="S174" s="34">
        <v>-1.5988530282635901E-4</v>
      </c>
      <c r="T174" s="34">
        <v>-1.20160766728689E-4</v>
      </c>
      <c r="U174" s="35">
        <f t="shared" si="2"/>
        <v>1.1575848615613922E-3</v>
      </c>
      <c r="W174" s="13">
        <v>37.337207079999999</v>
      </c>
      <c r="X174" s="13">
        <v>127.94708853</v>
      </c>
      <c r="Y174" s="13">
        <v>180.20599999999999</v>
      </c>
      <c r="Z174" s="8">
        <v>-1.236977684751E-3</v>
      </c>
      <c r="AA174" s="8">
        <v>4.63170861517058E-4</v>
      </c>
      <c r="AB174" s="8">
        <v>-1.7444375442889899E-5</v>
      </c>
      <c r="AC174" s="8">
        <v>1.3209637942669999E-3</v>
      </c>
    </row>
    <row r="175">
      <c r="A175" s="31" t="s">
        <v>188</v>
      </c>
      <c r="B175" s="32" t="s">
        <v>11</v>
      </c>
      <c r="C175" s="32" t="s">
        <v>103</v>
      </c>
      <c r="D175" s="32" t="s">
        <v>13</v>
      </c>
      <c r="E175" s="32">
        <v>-3300601.0019999999</v>
      </c>
      <c r="F175" s="32">
        <v>4015928.3160000001</v>
      </c>
      <c r="G175" s="32">
        <v>3683580.176</v>
      </c>
      <c r="H175" s="32">
        <v>-3300601.0019999999</v>
      </c>
      <c r="I175" s="32">
        <v>4015928.3160000001</v>
      </c>
      <c r="J175" s="32">
        <v>3683580.176</v>
      </c>
      <c r="K175" s="32">
        <v>1.4E-2</v>
      </c>
      <c r="L175" s="32">
        <v>0</v>
      </c>
      <c r="M175" s="32">
        <v>0</v>
      </c>
      <c r="N175" s="33">
        <v>-2.3900873945009401E-9</v>
      </c>
      <c r="O175" s="34">
        <v>8.1979302837074595E-10</v>
      </c>
      <c r="P175" s="34">
        <v>-3.47325023854352E-10</v>
      </c>
      <c r="Q175" s="35">
        <v>2.5505319121534199E-9</v>
      </c>
      <c r="R175" s="33">
        <v>8.1697746115269696E-4</v>
      </c>
      <c r="S175" s="34">
        <v>5.37065955026819E-4</v>
      </c>
      <c r="T175" s="34">
        <v>-6.4073952719859094E-5</v>
      </c>
      <c r="U175" s="35">
        <f t="shared" si="2"/>
        <v>9.7979461291513659E-4</v>
      </c>
      <c r="W175" s="13">
        <v>35.503946720000002</v>
      </c>
      <c r="X175" s="13">
        <v>129.41601482999999</v>
      </c>
      <c r="Y175" s="13">
        <v>95.935000000000002</v>
      </c>
      <c r="Z175" s="8">
        <v>-5.45473541161497E-4</v>
      </c>
      <c r="AA175" s="8">
        <v>-3.4023224956999498E-4</v>
      </c>
      <c r="AB175" s="8">
        <v>2.4027486790398201E-4</v>
      </c>
      <c r="AC175" s="8">
        <v>6.8631725892694801E-4</v>
      </c>
    </row>
    <row r="176">
      <c r="A176" s="31" t="s">
        <v>189</v>
      </c>
      <c r="B176" s="32" t="s">
        <v>11</v>
      </c>
      <c r="C176" s="32" t="s">
        <v>103</v>
      </c>
      <c r="D176" s="32" t="s">
        <v>13</v>
      </c>
      <c r="E176" s="32">
        <v>-3291139.5896999999</v>
      </c>
      <c r="F176" s="32">
        <v>4018546.4131</v>
      </c>
      <c r="G176" s="32">
        <v>3689156.8053000001</v>
      </c>
      <c r="H176" s="32">
        <v>-3291139.5896999999</v>
      </c>
      <c r="I176" s="32">
        <v>4018546.4131</v>
      </c>
      <c r="J176" s="32">
        <v>3689156.8053000001</v>
      </c>
      <c r="K176" s="32">
        <v>0</v>
      </c>
      <c r="L176" s="32">
        <v>0</v>
      </c>
      <c r="M176" s="32">
        <v>0</v>
      </c>
      <c r="N176" s="33">
        <v>0</v>
      </c>
      <c r="O176" s="34">
        <v>-3.7879184615747899E-10</v>
      </c>
      <c r="P176" s="34">
        <v>-2.7084529123045299E-10</v>
      </c>
      <c r="Q176" s="35">
        <v>4.65661287307739E-10</v>
      </c>
      <c r="R176" s="33">
        <v>6.3361004899423198E-5</v>
      </c>
      <c r="S176" s="34">
        <v>-3.6347270638261601E-5</v>
      </c>
      <c r="T176" s="34">
        <v>-1.21096561846787E-4</v>
      </c>
      <c r="U176" s="35">
        <f t="shared" si="2"/>
        <v>1.4142177454631402E-4</v>
      </c>
      <c r="W176" s="13">
        <v>35.565680929999999</v>
      </c>
      <c r="X176" s="13">
        <v>129.31705018</v>
      </c>
      <c r="Y176" s="13">
        <v>100.63120000000001</v>
      </c>
      <c r="Z176" s="8">
        <v>2.6790921969886899E-5</v>
      </c>
      <c r="AA176" s="8">
        <v>1.04058742034874E-4</v>
      </c>
      <c r="AB176" s="8">
        <v>-7.1474921663790806E-5</v>
      </c>
      <c r="AC176" s="8">
        <v>1.29052856305942E-4</v>
      </c>
    </row>
    <row r="177">
      <c r="A177" s="31" t="s">
        <v>190</v>
      </c>
      <c r="B177" s="32" t="s">
        <v>11</v>
      </c>
      <c r="C177" s="32" t="s">
        <v>103</v>
      </c>
      <c r="D177" s="32" t="s">
        <v>13</v>
      </c>
      <c r="E177" s="32">
        <v>-3278067.1524999999</v>
      </c>
      <c r="F177" s="32">
        <v>4030934.2078</v>
      </c>
      <c r="G177" s="32">
        <v>3687345.7486999999</v>
      </c>
      <c r="H177" s="32">
        <v>-3278067.1524999999</v>
      </c>
      <c r="I177" s="32">
        <v>4030934.2078</v>
      </c>
      <c r="J177" s="32">
        <v>3687345.7486999999</v>
      </c>
      <c r="K177" s="32">
        <v>0</v>
      </c>
      <c r="L177" s="32">
        <v>0</v>
      </c>
      <c r="M177" s="32">
        <v>0</v>
      </c>
      <c r="N177" s="33">
        <v>0</v>
      </c>
      <c r="O177" s="34">
        <v>3.78887596930449E-10</v>
      </c>
      <c r="P177" s="34">
        <v>2.7071132852056702E-10</v>
      </c>
      <c r="Q177" s="35">
        <v>4.65661287307739E-10</v>
      </c>
      <c r="R177" s="33">
        <v>-2.8980660616438801E-5</v>
      </c>
      <c r="S177" s="34">
        <v>2.4493070042727702E-4</v>
      </c>
      <c r="T177" s="34">
        <v>-1.7078975395600201E-4</v>
      </c>
      <c r="U177" s="35">
        <f t="shared" si="2"/>
        <v>3.0000011126316841E-4</v>
      </c>
      <c r="W177" s="13">
        <v>35.545420389999997</v>
      </c>
      <c r="X177" s="13">
        <v>129.11896279999999</v>
      </c>
      <c r="Y177" s="13">
        <v>131.2063</v>
      </c>
      <c r="Z177" s="8">
        <v>7.6535159106317299E-5</v>
      </c>
      <c r="AA177" s="8">
        <v>-3.55575716256691E-5</v>
      </c>
      <c r="AB177" s="8">
        <v>-3.5587638856018302E-5</v>
      </c>
      <c r="AC177" s="8">
        <v>9.1588490099413098E-5</v>
      </c>
    </row>
    <row r="178">
      <c r="A178" s="31" t="s">
        <v>191</v>
      </c>
      <c r="B178" s="32" t="s">
        <v>11</v>
      </c>
      <c r="C178" s="32" t="s">
        <v>103</v>
      </c>
      <c r="D178" s="32" t="s">
        <v>13</v>
      </c>
      <c r="E178" s="32">
        <v>-3238396.1680000001</v>
      </c>
      <c r="F178" s="32">
        <v>3940665.3730000001</v>
      </c>
      <c r="G178" s="32">
        <v>3816730.5789999999</v>
      </c>
      <c r="H178" s="32">
        <v>-3238396.1680000001</v>
      </c>
      <c r="I178" s="32">
        <v>3940665.3730000001</v>
      </c>
      <c r="J178" s="32">
        <v>3816730.5789999999</v>
      </c>
      <c r="K178" s="32">
        <v>0</v>
      </c>
      <c r="L178" s="32">
        <v>0</v>
      </c>
      <c r="M178" s="32">
        <v>0</v>
      </c>
      <c r="N178" s="33">
        <v>-1.6064832300301201E-9</v>
      </c>
      <c r="O178" s="34">
        <v>4.5023875134643999E-10</v>
      </c>
      <c r="P178" s="34">
        <v>9.5014950658761193E-10</v>
      </c>
      <c r="Q178" s="35">
        <v>1.9199706733308998E-9</v>
      </c>
      <c r="R178" s="33">
        <v>9.1025939745118504E-5</v>
      </c>
      <c r="S178" s="34">
        <v>-1.2289144339869401E-4</v>
      </c>
      <c r="T178" s="34">
        <v>1.6313152575436E-4</v>
      </c>
      <c r="U178" s="35">
        <f t="shared" si="2"/>
        <v>2.2360662615862208E-4</v>
      </c>
      <c r="W178" s="13">
        <v>36.991976530000002</v>
      </c>
      <c r="X178" s="13">
        <v>129.41299552999999</v>
      </c>
      <c r="Y178" s="13">
        <v>80.741</v>
      </c>
      <c r="Z178" s="8">
        <v>-1.2637286051770001E-3</v>
      </c>
      <c r="AA178" s="8">
        <v>-7.4661027219669995E-4</v>
      </c>
      <c r="AB178" s="8">
        <v>-3.0291732909468102E-4</v>
      </c>
      <c r="AC178" s="8">
        <v>1.498731395E-3</v>
      </c>
    </row>
    <row r="179">
      <c r="A179" s="31" t="s">
        <v>192</v>
      </c>
      <c r="B179" s="32" t="s">
        <v>11</v>
      </c>
      <c r="C179" s="32" t="s">
        <v>103</v>
      </c>
      <c r="D179" s="32" t="s">
        <v>13</v>
      </c>
      <c r="E179" s="32">
        <v>-3036238.2130999998</v>
      </c>
      <c r="F179" s="32">
        <v>4039244.7212999999</v>
      </c>
      <c r="G179" s="32">
        <v>3878932.4062000001</v>
      </c>
      <c r="H179" s="32">
        <v>-3036238.2130999998</v>
      </c>
      <c r="I179" s="32">
        <v>4039244.7212999999</v>
      </c>
      <c r="J179" s="32">
        <v>3878932.4062000001</v>
      </c>
      <c r="K179" s="32">
        <v>0</v>
      </c>
      <c r="L179" s="32">
        <v>0</v>
      </c>
      <c r="M179" s="32">
        <v>0</v>
      </c>
      <c r="N179" s="33">
        <v>-1.49141955982098E-9</v>
      </c>
      <c r="O179" s="34">
        <v>-2.4384247892784799E-12</v>
      </c>
      <c r="P179" s="34">
        <v>1.5262080051903301E-9</v>
      </c>
      <c r="Q179" s="35">
        <v>2.1339280972982901E-9</v>
      </c>
      <c r="R179" s="33">
        <v>-9.9785804350369602E-5</v>
      </c>
      <c r="S179" s="34">
        <v>2.8061385918588903E-4</v>
      </c>
      <c r="T179" s="34">
        <v>-3.6037786355692402E-5</v>
      </c>
      <c r="U179" s="35">
        <f t="shared" si="2"/>
        <v>3.0000011127075723E-4</v>
      </c>
      <c r="W179" s="13">
        <v>37.696893729999999</v>
      </c>
      <c r="X179" s="13">
        <v>126.93162227000001</v>
      </c>
      <c r="Y179" s="13">
        <v>88.369</v>
      </c>
      <c r="Z179" s="8">
        <v>-2.2765476385238701E-4</v>
      </c>
      <c r="AA179" s="8">
        <v>-8.1555187259645795E-4</v>
      </c>
      <c r="AB179" s="8">
        <v>-2.0499874593559499E-5</v>
      </c>
      <c r="AC179" s="8">
        <v>8.4697803587733503E-4</v>
      </c>
    </row>
    <row r="180">
      <c r="A180" s="31" t="s">
        <v>193</v>
      </c>
      <c r="B180" s="32" t="s">
        <v>11</v>
      </c>
      <c r="C180" s="32" t="s">
        <v>103</v>
      </c>
      <c r="D180" s="32" t="s">
        <v>13</v>
      </c>
      <c r="E180" s="32">
        <v>-3086544.318</v>
      </c>
      <c r="F180" s="32">
        <v>4021645.6069999998</v>
      </c>
      <c r="G180" s="32">
        <v>3857572.6320000002</v>
      </c>
      <c r="H180" s="32">
        <v>-3086544.318</v>
      </c>
      <c r="I180" s="32">
        <v>4021645.6069999998</v>
      </c>
      <c r="J180" s="32">
        <v>3857572.6320000002</v>
      </c>
      <c r="K180" s="32">
        <v>7.4999999999999997E-2</v>
      </c>
      <c r="L180" s="32">
        <v>0</v>
      </c>
      <c r="M180" s="32">
        <v>0</v>
      </c>
      <c r="N180" s="33">
        <v>1.58935088696609E-9</v>
      </c>
      <c r="O180" s="34">
        <v>-4.0546706728793001E-11</v>
      </c>
      <c r="P180" s="34">
        <v>-7.1280137880966601E-10</v>
      </c>
      <c r="Q180" s="35">
        <v>1.74234499538966E-9</v>
      </c>
      <c r="R180" s="33">
        <v>6.0885414374740803E-5</v>
      </c>
      <c r="S180" s="34">
        <v>4.82421953288792E-5</v>
      </c>
      <c r="T180" s="34">
        <v>-6.2975410526500204E-5</v>
      </c>
      <c r="U180" s="35">
        <f t="shared" si="2"/>
        <v>1.0000122711604524E-4</v>
      </c>
      <c r="W180" s="13">
        <v>37.45418892</v>
      </c>
      <c r="X180" s="13">
        <v>127.50562291999999</v>
      </c>
      <c r="Y180" s="13">
        <v>71.545000000000002</v>
      </c>
      <c r="Z180" s="8">
        <v>-4.12675384043321E-4</v>
      </c>
      <c r="AA180" s="8">
        <v>2.2735851667845199E-4</v>
      </c>
      <c r="AB180" s="8">
        <v>2.4548379372303701E-4</v>
      </c>
      <c r="AC180" s="8">
        <v>5.3127691525435496E-4</v>
      </c>
    </row>
    <row r="181">
      <c r="A181" s="31" t="s">
        <v>194</v>
      </c>
      <c r="B181" s="32" t="s">
        <v>11</v>
      </c>
      <c r="C181" s="32" t="s">
        <v>103</v>
      </c>
      <c r="D181" s="32" t="s">
        <v>13</v>
      </c>
      <c r="E181" s="32">
        <v>-3259396.3511999999</v>
      </c>
      <c r="F181" s="32">
        <v>4009766.7946000001</v>
      </c>
      <c r="G181" s="32">
        <v>3726577.5436999998</v>
      </c>
      <c r="H181" s="32">
        <v>-3259396.3511999999</v>
      </c>
      <c r="I181" s="32">
        <v>4009766.7946000001</v>
      </c>
      <c r="J181" s="32">
        <v>3726577.5436999998</v>
      </c>
      <c r="K181" s="32">
        <v>0</v>
      </c>
      <c r="L181" s="32">
        <v>0</v>
      </c>
      <c r="M181" s="32">
        <v>0</v>
      </c>
      <c r="N181" s="33">
        <v>-3.63666015862725E-9</v>
      </c>
      <c r="O181" s="34">
        <v>-2.60726694302474E-11</v>
      </c>
      <c r="P181" s="34">
        <v>3.5911152656179698E-11</v>
      </c>
      <c r="Q181" s="35">
        <v>3.63693091827754E-9</v>
      </c>
      <c r="R181" s="33">
        <v>-1.5519885912111301E-4</v>
      </c>
      <c r="S181" s="34">
        <v>-6.8046029072122704E-6</v>
      </c>
      <c r="T181" s="34">
        <v>-1.608357718268E-4</v>
      </c>
      <c r="U181" s="35">
        <f t="shared" si="2"/>
        <v>2.2360933341956547E-4</v>
      </c>
      <c r="W181" s="13">
        <v>35.980874749999998</v>
      </c>
      <c r="X181" s="13">
        <v>129.10643009</v>
      </c>
      <c r="Y181" s="13">
        <v>175.1497</v>
      </c>
      <c r="Z181" s="8">
        <v>2.73638567091157E-4</v>
      </c>
      <c r="AA181" s="8">
        <v>3.02566260874565E-4</v>
      </c>
      <c r="AB181" s="8">
        <v>-7.0281873336206901E-5</v>
      </c>
      <c r="AC181" s="8">
        <v>4.1396128966240801E-4</v>
      </c>
    </row>
    <row r="182">
      <c r="A182" s="31" t="s">
        <v>195</v>
      </c>
      <c r="B182" s="32" t="s">
        <v>11</v>
      </c>
      <c r="C182" s="32" t="s">
        <v>103</v>
      </c>
      <c r="D182" s="32" t="s">
        <v>13</v>
      </c>
      <c r="E182" s="32">
        <v>-3251803.6268000002</v>
      </c>
      <c r="F182" s="32">
        <v>4009913.8114999998</v>
      </c>
      <c r="G182" s="32">
        <v>3733046.01</v>
      </c>
      <c r="H182" s="32">
        <v>-3251803.6268000002</v>
      </c>
      <c r="I182" s="32">
        <v>4009913.8114999998</v>
      </c>
      <c r="J182" s="32">
        <v>3733046.01</v>
      </c>
      <c r="K182" s="32">
        <v>0</v>
      </c>
      <c r="L182" s="32">
        <v>0</v>
      </c>
      <c r="M182" s="32">
        <v>0</v>
      </c>
      <c r="N182" s="33">
        <v>-1.30996969311373E-9</v>
      </c>
      <c r="O182" s="34">
        <v>2.9598908731390799E-10</v>
      </c>
      <c r="P182" s="34">
        <v>3.8462159818253102E-10</v>
      </c>
      <c r="Q182" s="35">
        <v>1.3969838619232099E-9</v>
      </c>
      <c r="R182" s="33">
        <v>-1.3099696931137401E-9</v>
      </c>
      <c r="S182" s="34">
        <v>1.6169543195612099E-4</v>
      </c>
      <c r="T182" s="34">
        <v>1.17706516027499E-4</v>
      </c>
      <c r="U182" s="35">
        <f t="shared" si="2"/>
        <v>2.000005915804362E-4</v>
      </c>
      <c r="W182" s="13">
        <v>36.052782100000002</v>
      </c>
      <c r="X182" s="13">
        <v>129.04001413</v>
      </c>
      <c r="Y182" s="13">
        <v>200.11099999999999</v>
      </c>
      <c r="Z182" s="8">
        <v>-4.62177608660928E-4</v>
      </c>
      <c r="AA182" s="8">
        <v>-4.9282346285574503E-4</v>
      </c>
      <c r="AB182" s="8">
        <v>-5.0556429963349499E-5</v>
      </c>
      <c r="AC182" s="8">
        <v>6.7752421366272996E-4</v>
      </c>
    </row>
    <row r="183">
      <c r="A183" s="31" t="s">
        <v>196</v>
      </c>
      <c r="B183" s="32" t="s">
        <v>11</v>
      </c>
      <c r="C183" s="32" t="s">
        <v>103</v>
      </c>
      <c r="D183" s="32" t="s">
        <v>13</v>
      </c>
      <c r="E183" s="32">
        <v>-3247132.1483</v>
      </c>
      <c r="F183" s="32">
        <v>4020347.7837</v>
      </c>
      <c r="G183" s="32">
        <v>3725853.0003999998</v>
      </c>
      <c r="H183" s="32">
        <v>-3247132.1483</v>
      </c>
      <c r="I183" s="32">
        <v>4020347.7837</v>
      </c>
      <c r="J183" s="32">
        <v>3725853.0003999998</v>
      </c>
      <c r="K183" s="32">
        <v>0</v>
      </c>
      <c r="L183" s="32">
        <v>0</v>
      </c>
      <c r="M183" s="32">
        <v>0</v>
      </c>
      <c r="N183" s="33">
        <v>-3.7061751825798201E-9</v>
      </c>
      <c r="O183" s="34">
        <v>3.5189995731761098E-10</v>
      </c>
      <c r="P183" s="34">
        <v>-4.84830051029038E-10</v>
      </c>
      <c r="Q183" s="35">
        <v>3.7542813216794902E-9</v>
      </c>
      <c r="R183" s="33">
        <v>-4.7874859049896203E-5</v>
      </c>
      <c r="S183" s="34">
        <v>-4.7371996351399101E-5</v>
      </c>
      <c r="T183" s="34">
        <v>2.35508090157395E-4</v>
      </c>
      <c r="U183" s="35">
        <f t="shared" si="2"/>
        <v>2.4494931862927911E-4</v>
      </c>
      <c r="W183" s="13">
        <v>35.972942660000001</v>
      </c>
      <c r="X183" s="13">
        <v>128.92692406</v>
      </c>
      <c r="Y183" s="13">
        <v>154.2569</v>
      </c>
      <c r="Z183" s="8">
        <v>-3.8403545137043503E-4</v>
      </c>
      <c r="AA183" s="8">
        <v>4.29326983870746E-4</v>
      </c>
      <c r="AB183" s="8">
        <v>-4.1056613482932099E-5</v>
      </c>
      <c r="AC183" s="8">
        <v>5.7748639161415104E-4</v>
      </c>
    </row>
    <row r="184">
      <c r="A184" s="31" t="s">
        <v>197</v>
      </c>
      <c r="B184" s="32" t="s">
        <v>11</v>
      </c>
      <c r="C184" s="32" t="s">
        <v>103</v>
      </c>
      <c r="D184" s="32" t="s">
        <v>13</v>
      </c>
      <c r="E184" s="32">
        <v>-3263326.2548000002</v>
      </c>
      <c r="F184" s="32">
        <v>3974190.6683</v>
      </c>
      <c r="G184" s="32">
        <v>3760772.4865999999</v>
      </c>
      <c r="H184" s="32">
        <v>-3263326.2548000002</v>
      </c>
      <c r="I184" s="32">
        <v>3974190.6683</v>
      </c>
      <c r="J184" s="32">
        <v>3760772.4865999999</v>
      </c>
      <c r="K184" s="32">
        <v>0</v>
      </c>
      <c r="L184" s="32">
        <v>0</v>
      </c>
      <c r="M184" s="32">
        <v>0</v>
      </c>
      <c r="N184" s="33">
        <v>3.5988144014770298E-10</v>
      </c>
      <c r="O184" s="34">
        <v>-5.5019348479733605E-10</v>
      </c>
      <c r="P184" s="34">
        <v>-3.8122792630921901E-11</v>
      </c>
      <c r="Q184" s="35">
        <v>6.5854450798271898E-10</v>
      </c>
      <c r="R184" s="33">
        <v>-9.1107594363529294E-5</v>
      </c>
      <c r="S184" s="34">
        <v>1.21071776238946E-4</v>
      </c>
      <c r="T184" s="34">
        <v>-1.64441057448439E-4</v>
      </c>
      <c r="U184" s="35">
        <f t="shared" si="2"/>
        <v>2.2360641790235722E-4</v>
      </c>
      <c r="W184" s="13">
        <v>36.362951539999997</v>
      </c>
      <c r="X184" s="13">
        <v>129.39043655</v>
      </c>
      <c r="Y184" s="13">
        <v>124.2838</v>
      </c>
      <c r="Z184" s="8">
        <v>7.3444842377464804E-5</v>
      </c>
      <c r="AA184" s="8">
        <v>6.2932389301548206E-5</v>
      </c>
      <c r="AB184" s="8">
        <v>-2.9776988203726599E-5</v>
      </c>
      <c r="AC184" s="8">
        <v>1.01199305934068E-4</v>
      </c>
    </row>
    <row r="185">
      <c r="A185" s="31" t="s">
        <v>198</v>
      </c>
      <c r="B185" s="32" t="s">
        <v>11</v>
      </c>
      <c r="C185" s="32" t="s">
        <v>103</v>
      </c>
      <c r="D185" s="32" t="s">
        <v>13</v>
      </c>
      <c r="E185" s="32">
        <v>-3098874.3670999999</v>
      </c>
      <c r="F185" s="32">
        <v>4027124.0526999999</v>
      </c>
      <c r="G185" s="32">
        <v>3842103.3958999999</v>
      </c>
      <c r="H185" s="32">
        <v>-3098874.3670999999</v>
      </c>
      <c r="I185" s="32">
        <v>4027124.0526999999</v>
      </c>
      <c r="J185" s="32">
        <v>3842103.3958999999</v>
      </c>
      <c r="K185" s="32">
        <v>0</v>
      </c>
      <c r="L185" s="32">
        <v>0</v>
      </c>
      <c r="M185" s="32">
        <v>0</v>
      </c>
      <c r="N185" s="33">
        <v>9.3700868734888594E-10</v>
      </c>
      <c r="O185" s="34">
        <v>-9.5475737242076698E-11</v>
      </c>
      <c r="P185" s="34">
        <v>-6.43383019991515E-10</v>
      </c>
      <c r="Q185" s="35">
        <v>1.1406325468715101E-9</v>
      </c>
      <c r="R185" s="33">
        <v>-2.44483401061467E-5</v>
      </c>
      <c r="S185" s="34">
        <v>2.0827566067201799E-5</v>
      </c>
      <c r="T185" s="34">
        <v>4.6793999278683501E-4</v>
      </c>
      <c r="U185" s="35">
        <f t="shared" si="2"/>
        <v>4.6904087848669723E-4</v>
      </c>
      <c r="W185" s="13">
        <v>37.278574939999999</v>
      </c>
      <c r="X185" s="13">
        <v>127.57830358</v>
      </c>
      <c r="Y185" s="13">
        <v>106.8125</v>
      </c>
      <c r="Z185" s="8">
        <v>4.0572424925645E-4</v>
      </c>
      <c r="AA185" s="8">
        <v>-1.7724252736047699E-4</v>
      </c>
      <c r="AB185" s="8">
        <v>-6.9833586675529304E-5</v>
      </c>
      <c r="AC185" s="8">
        <v>4.4822294649851299E-4</v>
      </c>
    </row>
    <row r="186">
      <c r="A186" s="31" t="s">
        <v>199</v>
      </c>
      <c r="B186" s="32" t="s">
        <v>11</v>
      </c>
      <c r="C186" s="32" t="s">
        <v>103</v>
      </c>
      <c r="D186" s="32" t="s">
        <v>13</v>
      </c>
      <c r="E186" s="32">
        <v>-3095937.2239000001</v>
      </c>
      <c r="F186" s="32">
        <v>3942563.2494999999</v>
      </c>
      <c r="G186" s="32">
        <v>3931113.6708</v>
      </c>
      <c r="H186" s="32">
        <v>-3095937.2239000001</v>
      </c>
      <c r="I186" s="32">
        <v>3942563.2494999999</v>
      </c>
      <c r="J186" s="32">
        <v>3931113.6708</v>
      </c>
      <c r="K186" s="32">
        <v>0</v>
      </c>
      <c r="L186" s="32">
        <v>0</v>
      </c>
      <c r="M186" s="32">
        <v>0</v>
      </c>
      <c r="N186" s="33">
        <v>-2.6153260788672901E-9</v>
      </c>
      <c r="O186" s="34">
        <v>-5.6041951946368302E-10</v>
      </c>
      <c r="P186" s="34">
        <v>-4.1638945772279397E-11</v>
      </c>
      <c r="Q186" s="35">
        <v>2.6750204370068499E-9</v>
      </c>
      <c r="R186" s="33">
        <v>-1.40412280353747E-4</v>
      </c>
      <c r="S186" s="34">
        <v>5.3894704203089701E-4</v>
      </c>
      <c r="T186" s="34">
        <v>4.4701340012190502E-4</v>
      </c>
      <c r="U186" s="35">
        <f t="shared" si="2"/>
        <v>7.1414319465814354E-4</v>
      </c>
      <c r="W186" s="18">
        <v>38.289998279999999</v>
      </c>
      <c r="X186" s="18">
        <v>128.14112967</v>
      </c>
      <c r="Y186" s="18">
        <v>454.48669999999998</v>
      </c>
      <c r="Z186" s="16">
        <v>-1.68717670696594E-4</v>
      </c>
      <c r="AA186" s="16">
        <v>92.507455319010305</v>
      </c>
      <c r="AB186" s="16">
        <v>-7.8484052349381197E-4</v>
      </c>
      <c r="AC186" s="16">
        <v>92.507455322493499</v>
      </c>
    </row>
    <row r="187">
      <c r="A187" s="31" t="s">
        <v>200</v>
      </c>
      <c r="B187" s="32" t="s">
        <v>11</v>
      </c>
      <c r="C187" s="32" t="s">
        <v>103</v>
      </c>
      <c r="D187" s="32" t="s">
        <v>13</v>
      </c>
      <c r="E187" s="32">
        <v>-3257453.3650000002</v>
      </c>
      <c r="F187" s="32">
        <v>3964411.6579999998</v>
      </c>
      <c r="G187" s="32">
        <v>3775960.7769999998</v>
      </c>
      <c r="H187" s="32">
        <v>-3257453.3650000002</v>
      </c>
      <c r="I187" s="32">
        <v>3964411.6579999998</v>
      </c>
      <c r="J187" s="32">
        <v>3775960.7769999998</v>
      </c>
      <c r="K187" s="32">
        <v>0</v>
      </c>
      <c r="L187" s="32">
        <v>0</v>
      </c>
      <c r="M187" s="32">
        <v>0</v>
      </c>
      <c r="N187" s="33">
        <v>0</v>
      </c>
      <c r="O187" s="34">
        <v>-3.74163193246925E-10</v>
      </c>
      <c r="P187" s="34">
        <v>-2.7720450810974301E-10</v>
      </c>
      <c r="Q187" s="35">
        <v>4.65661287307739E-10</v>
      </c>
      <c r="R187" s="33">
        <v>4.9706740296411298E-5</v>
      </c>
      <c r="S187" s="34">
        <v>-1.1127240284634699E-4</v>
      </c>
      <c r="T187" s="34">
        <v>-3.5376244658672098E-4</v>
      </c>
      <c r="U187" s="35">
        <f t="shared" si="2"/>
        <v>3.7416597424287158E-4</v>
      </c>
      <c r="W187" s="13">
        <v>36.533461500000001</v>
      </c>
      <c r="X187" s="13">
        <v>129.40905083000001</v>
      </c>
      <c r="Y187" s="13">
        <v>70.575999999999993</v>
      </c>
      <c r="Z187" s="8">
        <v>-7.2902973717760397E-4</v>
      </c>
      <c r="AA187" s="8">
        <v>-8.2870413085268696E-4</v>
      </c>
      <c r="AB187" s="8">
        <v>-7.25514879561587E-4</v>
      </c>
      <c r="AC187" s="8">
        <v>1.3208356198430001E-3</v>
      </c>
    </row>
    <row r="188">
      <c r="A188" s="31" t="s">
        <v>201</v>
      </c>
      <c r="B188" s="32" t="s">
        <v>11</v>
      </c>
      <c r="C188" s="32" t="s">
        <v>103</v>
      </c>
      <c r="D188" s="32" t="s">
        <v>13</v>
      </c>
      <c r="E188" s="32">
        <v>-3101848.7889999999</v>
      </c>
      <c r="F188" s="32">
        <v>4189388.8590000002</v>
      </c>
      <c r="G188" s="32">
        <v>3663198.912</v>
      </c>
      <c r="H188" s="32">
        <v>-3101848.7889999999</v>
      </c>
      <c r="I188" s="32">
        <v>4189388.8590000002</v>
      </c>
      <c r="J188" s="32">
        <v>3663198.912</v>
      </c>
      <c r="K188" s="32">
        <v>4.4999999999999998E-2</v>
      </c>
      <c r="L188" s="32">
        <v>0</v>
      </c>
      <c r="M188" s="32">
        <v>0</v>
      </c>
      <c r="N188" s="33">
        <v>1.77407506377288E-9</v>
      </c>
      <c r="O188" s="34">
        <v>-8.0414215719311002E-10</v>
      </c>
      <c r="P188" s="34">
        <v>3.3036476820606599E-10</v>
      </c>
      <c r="Q188" s="35">
        <v>1.9756335239481501E-9</v>
      </c>
      <c r="R188" s="33">
        <v>-2.2348971394025902E-3</v>
      </c>
      <c r="S188" s="34">
        <v>-8.89741949884372E-4</v>
      </c>
      <c r="T188" s="34">
        <v>3.9190104723735801E-4</v>
      </c>
      <c r="U188" s="35">
        <f t="shared" si="2"/>
        <v>2.437209960573701E-3</v>
      </c>
      <c r="W188" s="13">
        <v>35.278583189999999</v>
      </c>
      <c r="X188" s="13">
        <v>126.5164705</v>
      </c>
      <c r="Y188" s="13">
        <v>100.002</v>
      </c>
      <c r="Z188" s="8">
        <v>2.1835599945850001E-3</v>
      </c>
      <c r="AA188" s="8">
        <v>1.3449830902210001E-3</v>
      </c>
      <c r="AB188" s="8">
        <v>-4.6513175039026298E-4</v>
      </c>
      <c r="AC188" s="8">
        <v>2.606388556634E-3</v>
      </c>
    </row>
    <row r="189">
      <c r="A189" s="31" t="s">
        <v>202</v>
      </c>
      <c r="B189" s="32" t="s">
        <v>11</v>
      </c>
      <c r="C189" s="32" t="s">
        <v>103</v>
      </c>
      <c r="D189" s="32" t="s">
        <v>13</v>
      </c>
      <c r="E189" s="32">
        <v>-3164686.9440000001</v>
      </c>
      <c r="F189" s="32">
        <v>3984004.1129999999</v>
      </c>
      <c r="G189" s="32">
        <v>3833703.9380000001</v>
      </c>
      <c r="H189" s="32">
        <v>-3164686.9440000001</v>
      </c>
      <c r="I189" s="32">
        <v>3984004.1129999999</v>
      </c>
      <c r="J189" s="32">
        <v>3833703.9380000001</v>
      </c>
      <c r="K189" s="32">
        <v>9.9000000000000005E-2</v>
      </c>
      <c r="L189" s="32">
        <v>0</v>
      </c>
      <c r="M189" s="32">
        <v>0</v>
      </c>
      <c r="N189" s="33">
        <v>0</v>
      </c>
      <c r="O189" s="34">
        <v>3.7099903116487501E-10</v>
      </c>
      <c r="P189" s="34">
        <v>2.8142521808079802E-10</v>
      </c>
      <c r="Q189" s="35">
        <v>4.65661287307739E-10</v>
      </c>
      <c r="R189" s="33">
        <v>1.4050133949028101E-4</v>
      </c>
      <c r="S189" s="34">
        <v>-1.49610672306907E-4</v>
      </c>
      <c r="T189" s="34">
        <v>-1.33700473019359E-4</v>
      </c>
      <c r="U189" s="35">
        <f t="shared" si="2"/>
        <v>2.4494855817556522E-4</v>
      </c>
      <c r="W189" s="13">
        <v>37.182518219999999</v>
      </c>
      <c r="X189" s="13">
        <v>128.46181328</v>
      </c>
      <c r="Y189" s="13">
        <v>253.58600000000001</v>
      </c>
      <c r="Z189" s="8">
        <v>-6.5399922437875299E-5</v>
      </c>
      <c r="AA189" s="8">
        <v>1.301808999406E-3</v>
      </c>
      <c r="AB189" s="8">
        <v>-7.2150342858694899E-4</v>
      </c>
      <c r="AC189" s="8">
        <v>1.4898157665469999E-3</v>
      </c>
    </row>
    <row r="190" ht="16" thickBot="true">
      <c r="A190" s="36" t="s">
        <v>203</v>
      </c>
      <c r="B190" s="37" t="s">
        <v>11</v>
      </c>
      <c r="C190" s="37" t="s">
        <v>103</v>
      </c>
      <c r="D190" s="37" t="s">
        <v>13</v>
      </c>
      <c r="E190" s="37">
        <v>-3137930.1529999999</v>
      </c>
      <c r="F190" s="37">
        <v>3925138.8580999998</v>
      </c>
      <c r="G190" s="37">
        <v>3914652.8388999999</v>
      </c>
      <c r="H190" s="37">
        <v>-3137930.1529999999</v>
      </c>
      <c r="I190" s="37">
        <v>3925138.8580999998</v>
      </c>
      <c r="J190" s="37">
        <v>3914652.8388999999</v>
      </c>
      <c r="K190" s="37">
        <v>0</v>
      </c>
      <c r="L190" s="37">
        <v>0</v>
      </c>
      <c r="M190" s="37">
        <v>0</v>
      </c>
      <c r="N190" s="38">
        <v>-1.3089839837088699E-9</v>
      </c>
      <c r="O190" s="39">
        <v>-8.2286989502456201E-10</v>
      </c>
      <c r="P190" s="39">
        <v>-4.5992529852263003E-10</v>
      </c>
      <c r="Q190" s="40">
        <v>1.6130980174698601E-9</v>
      </c>
      <c r="R190" s="38">
        <v>-1.5666291092537501E-5</v>
      </c>
      <c r="S190" s="39">
        <v>8.0460497732179201E-6</v>
      </c>
      <c r="T190" s="39">
        <v>-1.7230761082841201E-4</v>
      </c>
      <c r="U190" s="40">
        <f t="shared" si="2"/>
        <v>1.7320532423382575E-4</v>
      </c>
      <c r="W190" s="13">
        <v>38.105096449999998</v>
      </c>
      <c r="X190" s="13">
        <v>128.64039117999999</v>
      </c>
      <c r="Y190" s="13">
        <v>37.222099999999998</v>
      </c>
      <c r="Z190" s="8">
        <v>-3.9770147135681299E-4</v>
      </c>
      <c r="AA190" s="8">
        <v>2.9575064390021402E-4</v>
      </c>
      <c r="AB190" s="8">
        <v>-2.28746495511648E-5</v>
      </c>
      <c r="AC190" s="8">
        <v>4.9614327898184196E-4</v>
      </c>
    </row>
    <row r="191">
      <c r="A191" s="26" t="s">
        <v>204</v>
      </c>
      <c r="B191" s="27" t="s">
        <v>11</v>
      </c>
      <c r="C191" s="27" t="s">
        <v>205</v>
      </c>
      <c r="D191" s="42" t="s">
        <v>254</v>
      </c>
      <c r="E191" s="27">
        <v>-3046229.9550000001</v>
      </c>
      <c r="F191" s="27">
        <v>4034989.023</v>
      </c>
      <c r="G191" s="27">
        <v>3875524.0240000002</v>
      </c>
      <c r="H191" s="27">
        <v>-3046229.9550000001</v>
      </c>
      <c r="I191" s="27">
        <v>4034989.0225</v>
      </c>
      <c r="J191" s="27">
        <v>3875524.0241999999</v>
      </c>
      <c r="K191" s="27"/>
      <c r="L191" s="27"/>
      <c r="M191" s="27"/>
      <c r="N191" s="28">
        <v>3.0126415552905798E-4</v>
      </c>
      <c r="O191" s="29">
        <v>4.0213345109521201E-4</v>
      </c>
      <c r="P191" s="29">
        <v>-1.9372645443458601E-4</v>
      </c>
      <c r="Q191" s="30">
        <v>5.3851772769722005E-4</v>
      </c>
      <c r="R191" s="28">
        <v>3.0126415552905798E-4</v>
      </c>
      <c r="S191" s="29">
        <v>4.0213345109521201E-4</v>
      </c>
      <c r="T191" s="29">
        <v>-1.9372645443458601E-4</v>
      </c>
      <c r="U191" s="30">
        <f t="shared" si="2"/>
        <v>5.3851772769722027E-4</v>
      </c>
      <c r="W191" s="13">
        <v>37.658200579999999</v>
      </c>
      <c r="X191" s="13">
        <v>127.05111539000001</v>
      </c>
      <c r="Y191" s="13">
        <v>73.075999999999993</v>
      </c>
      <c r="Z191" s="8">
        <v>2.8206844270330001E-3</v>
      </c>
      <c r="AA191" s="8">
        <v>-5.3060164469126805E-4</v>
      </c>
      <c r="AB191" s="8">
        <v>1.13066501326249E-5</v>
      </c>
      <c r="AC191" s="8">
        <v>2.87017884157E-3</v>
      </c>
    </row>
    <row r="192">
      <c r="A192" s="14" t="s">
        <v>206</v>
      </c>
      <c r="B192" s="15" t="s">
        <v>11</v>
      </c>
      <c r="C192" s="15" t="s">
        <v>205</v>
      </c>
      <c r="D192" s="15" t="s">
        <v>13</v>
      </c>
      <c r="E192" s="15">
        <v>-3035913.94</v>
      </c>
      <c r="F192" s="15">
        <v>4052535.3569999998</v>
      </c>
      <c r="G192" s="15">
        <v>3865342.8229999999</v>
      </c>
      <c r="H192" s="15">
        <v>-3035915.0539000002</v>
      </c>
      <c r="I192" s="15">
        <v>4052534.5033999998</v>
      </c>
      <c r="J192" s="15">
        <v>3865341.7456</v>
      </c>
      <c r="K192" s="15"/>
      <c r="L192" s="15"/>
      <c r="M192" s="15"/>
      <c r="N192" s="24">
        <v>1.40327177629528</v>
      </c>
      <c r="O192" s="16">
        <v>-0.84494082941108495</v>
      </c>
      <c r="P192" s="16">
        <v>-0.66865555252821995</v>
      </c>
      <c r="Q192" s="17">
        <v>1.76923625649025</v>
      </c>
      <c r="R192" s="24">
        <v>-4.00164561343959E-4</v>
      </c>
      <c r="S192" s="16">
        <v>-2.9307002474154398E-4</v>
      </c>
      <c r="T192" s="16">
        <v>-6.0330487382703995E-4</v>
      </c>
      <c r="U192" s="17">
        <f t="shared" si="2"/>
        <v>7.8102399856923277E-4</v>
      </c>
      <c r="W192" s="13">
        <v>37.542518250000001</v>
      </c>
      <c r="X192" s="13">
        <v>126.83832731</v>
      </c>
      <c r="Y192" s="13">
        <v>59.018000000000001</v>
      </c>
      <c r="Z192" s="8">
        <v>1.40402120210002</v>
      </c>
      <c r="AA192" s="8">
        <v>-0.84533110546507195</v>
      </c>
      <c r="AB192" s="8">
        <v>-0.66802838680809196</v>
      </c>
      <c r="AC192" s="8">
        <v>1.7697802517246599</v>
      </c>
    </row>
    <row r="193">
      <c r="A193" s="31" t="s">
        <v>207</v>
      </c>
      <c r="B193" s="32" t="s">
        <v>11</v>
      </c>
      <c r="C193" s="32" t="s">
        <v>205</v>
      </c>
      <c r="D193" s="32" t="s">
        <v>13</v>
      </c>
      <c r="E193" s="32">
        <v>-3044105.929</v>
      </c>
      <c r="F193" s="32">
        <v>4053468.858</v>
      </c>
      <c r="G193" s="32">
        <v>3857988.182</v>
      </c>
      <c r="H193" s="32">
        <v>-3044105.9290999998</v>
      </c>
      <c r="I193" s="32">
        <v>4053468.8577000001</v>
      </c>
      <c r="J193" s="32">
        <v>3857988.1822000002</v>
      </c>
      <c r="K193" s="32"/>
      <c r="L193" s="32"/>
      <c r="M193" s="32"/>
      <c r="N193" s="33">
        <v>2.6011353409871401E-4</v>
      </c>
      <c r="O193" s="34">
        <v>2.6813237303204701E-4</v>
      </c>
      <c r="P193" s="34">
        <v>-2.1113589527434501E-5</v>
      </c>
      <c r="Q193" s="35">
        <v>3.7416547642968502E-4</v>
      </c>
      <c r="R193" s="33">
        <v>2.0511866380873201E-4</v>
      </c>
      <c r="S193" s="34">
        <v>2.42916453676101E-4</v>
      </c>
      <c r="T193" s="34">
        <v>-1.0017930172227499E-2</v>
      </c>
      <c r="U193" s="35">
        <f t="shared" si="2"/>
        <v>1.0022973960124576E-2</v>
      </c>
      <c r="W193" s="13">
        <v>37.458889720000002</v>
      </c>
      <c r="X193" s="13">
        <v>126.90610481</v>
      </c>
      <c r="Y193" s="13">
        <v>73.837999999999994</v>
      </c>
      <c r="Z193" s="8">
        <v>2.8281617898810001E-3</v>
      </c>
      <c r="AA193" s="8">
        <v>-1.247460057192E-3</v>
      </c>
      <c r="AB193" s="8">
        <v>-1.42832499729331E-5</v>
      </c>
      <c r="AC193" s="8">
        <v>3.0910936115340001E-3</v>
      </c>
    </row>
    <row r="194">
      <c r="A194" s="31" t="s">
        <v>208</v>
      </c>
      <c r="B194" s="32" t="s">
        <v>11</v>
      </c>
      <c r="C194" s="32" t="s">
        <v>205</v>
      </c>
      <c r="D194" s="32" t="s">
        <v>13</v>
      </c>
      <c r="E194" s="32">
        <v>-3059553.8840000001</v>
      </c>
      <c r="F194" s="32">
        <v>4039145.662</v>
      </c>
      <c r="G194" s="32">
        <v>3860773</v>
      </c>
      <c r="H194" s="32">
        <v>-3059553.8834000002</v>
      </c>
      <c r="I194" s="32">
        <v>4039145.662</v>
      </c>
      <c r="J194" s="32">
        <v>3860773</v>
      </c>
      <c r="K194" s="32"/>
      <c r="L194" s="32"/>
      <c r="M194" s="32"/>
      <c r="N194" s="33">
        <v>-4.78278297886707E-4</v>
      </c>
      <c r="O194" s="34">
        <v>2.20496166716202E-4</v>
      </c>
      <c r="P194" s="34">
        <v>-2.8745643971688699E-4</v>
      </c>
      <c r="Q194" s="35">
        <v>5.9999991208387103E-4</v>
      </c>
      <c r="R194" s="33">
        <v>-4.78278297886707E-4</v>
      </c>
      <c r="S194" s="34">
        <v>2.20496166716203E-4</v>
      </c>
      <c r="T194" s="34">
        <v>-2.8745643971688802E-4</v>
      </c>
      <c r="U194" s="35">
        <f t="shared" si="2"/>
        <v>5.9999991208387201E-4</v>
      </c>
      <c r="W194" s="13">
        <v>37.490496469999997</v>
      </c>
      <c r="X194" s="13">
        <v>127.14303689</v>
      </c>
      <c r="Y194" s="13">
        <v>75.182000000000002</v>
      </c>
      <c r="Z194" s="8">
        <v>-3.0266048333849999E-3</v>
      </c>
      <c r="AA194" s="8">
        <v>-2.5484073438539299E-5</v>
      </c>
      <c r="AB194" s="8">
        <v>-8.6486026230992599E-6</v>
      </c>
      <c r="AC194" s="8">
        <v>3.0267244760289998E-3</v>
      </c>
    </row>
    <row r="195" ht="16" thickBot="true">
      <c r="A195" s="36" t="s">
        <v>209</v>
      </c>
      <c r="B195" s="37" t="s">
        <v>11</v>
      </c>
      <c r="C195" s="37" t="s">
        <v>205</v>
      </c>
      <c r="D195" s="37" t="s">
        <v>13</v>
      </c>
      <c r="E195" s="37">
        <v>-3047506.7409999999</v>
      </c>
      <c r="F195" s="37">
        <v>4043980.58</v>
      </c>
      <c r="G195" s="37">
        <v>3865243.01</v>
      </c>
      <c r="H195" s="37">
        <v>-3047506.7411000002</v>
      </c>
      <c r="I195" s="37">
        <v>4043980.58</v>
      </c>
      <c r="J195" s="37">
        <v>3865243.0096</v>
      </c>
      <c r="K195" s="37"/>
      <c r="L195" s="37"/>
      <c r="M195" s="37"/>
      <c r="N195" s="38">
        <v>7.9862002989093296E-5</v>
      </c>
      <c r="O195" s="39">
        <v>-3.5383820197518602E-4</v>
      </c>
      <c r="P195" s="39">
        <v>-1.9601212919276501E-4</v>
      </c>
      <c r="Q195" s="40">
        <v>4.1231076567213701E-4</v>
      </c>
      <c r="R195" s="38">
        <v>7.9862002989093296E-5</v>
      </c>
      <c r="S195" s="39">
        <v>-3.5383820197518602E-4</v>
      </c>
      <c r="T195" s="39">
        <v>-1.9601212919276599E-4</v>
      </c>
      <c r="U195" s="40">
        <f t="shared" si="2"/>
        <v>4.1231076567213728E-4</v>
      </c>
      <c r="W195" s="13">
        <v>37.541122110000003</v>
      </c>
      <c r="X195" s="13">
        <v>127.00134461</v>
      </c>
      <c r="Y195" s="13">
        <v>96.849000000000004</v>
      </c>
      <c r="Z195" s="8">
        <v>-1.3291353054655799E-4</v>
      </c>
      <c r="AA195" s="8">
        <v>1.315854865733E-3</v>
      </c>
      <c r="AB195" s="8">
        <v>-8.5077230057791996E-7</v>
      </c>
      <c r="AC195" s="8">
        <v>1.3225508527429999E-3</v>
      </c>
    </row>
    <row r="196">
      <c r="A196" s="71" t="s">
        <v>210</v>
      </c>
      <c r="B196" s="72" t="s">
        <v>11</v>
      </c>
      <c r="C196" s="72" t="s">
        <v>211</v>
      </c>
      <c r="D196" s="72" t="s">
        <v>15</v>
      </c>
      <c r="E196" s="72">
        <v>-3120060.5240000002</v>
      </c>
      <c r="F196" s="72">
        <v>4084545.628</v>
      </c>
      <c r="G196" s="72">
        <v>3764017.6919999998</v>
      </c>
      <c r="H196" s="72"/>
      <c r="I196" s="72"/>
      <c r="J196" s="72"/>
      <c r="K196" s="72"/>
      <c r="L196" s="72"/>
      <c r="M196" s="72"/>
      <c r="N196" s="73" t="s">
        <v>249</v>
      </c>
      <c r="O196" s="74" t="s">
        <v>249</v>
      </c>
      <c r="P196" s="74" t="s">
        <v>249</v>
      </c>
      <c r="Q196" s="75" t="s">
        <v>249</v>
      </c>
      <c r="R196" s="73" t="s">
        <v>249</v>
      </c>
      <c r="S196" s="74" t="s">
        <v>249</v>
      </c>
      <c r="T196" s="74" t="s">
        <v>249</v>
      </c>
      <c r="U196" s="75" t="s">
        <v>249</v>
      </c>
      <c r="W196" s="13">
        <v>36.399594370000003</v>
      </c>
      <c r="X196" s="13">
        <v>127.375101</v>
      </c>
      <c r="Y196" s="13">
        <v>126.724</v>
      </c>
      <c r="Z196" s="8" t="s">
        <v>249</v>
      </c>
      <c r="AA196" s="8" t="s">
        <v>249</v>
      </c>
      <c r="AB196" s="8" t="s">
        <v>249</v>
      </c>
      <c r="AC196" s="8" t="s">
        <v>249</v>
      </c>
    </row>
    <row r="197">
      <c r="A197" s="65" t="s">
        <v>212</v>
      </c>
      <c r="B197" s="66" t="s">
        <v>11</v>
      </c>
      <c r="C197" s="66" t="s">
        <v>211</v>
      </c>
      <c r="D197" s="66" t="s">
        <v>15</v>
      </c>
      <c r="E197" s="66">
        <v>-3128505.0440000002</v>
      </c>
      <c r="F197" s="66">
        <v>4181465.8339999998</v>
      </c>
      <c r="G197" s="66">
        <v>3649497.125</v>
      </c>
      <c r="H197" s="66"/>
      <c r="I197" s="66"/>
      <c r="J197" s="66"/>
      <c r="K197" s="66"/>
      <c r="L197" s="66"/>
      <c r="M197" s="66"/>
      <c r="N197" s="67" t="s">
        <v>249</v>
      </c>
      <c r="O197" s="68" t="s">
        <v>249</v>
      </c>
      <c r="P197" s="68" t="s">
        <v>249</v>
      </c>
      <c r="Q197" s="69" t="s">
        <v>249</v>
      </c>
      <c r="R197" s="67" t="s">
        <v>249</v>
      </c>
      <c r="S197" s="68" t="s">
        <v>249</v>
      </c>
      <c r="T197" s="68" t="s">
        <v>249</v>
      </c>
      <c r="U197" s="69" t="s">
        <v>249</v>
      </c>
      <c r="W197" s="13">
        <v>35.128002739999999</v>
      </c>
      <c r="X197" s="13">
        <v>126.8032362</v>
      </c>
      <c r="Y197" s="13">
        <v>62.185000000000002</v>
      </c>
      <c r="Z197" s="8" t="s">
        <v>249</v>
      </c>
      <c r="AA197" s="8" t="s">
        <v>249</v>
      </c>
      <c r="AB197" s="8" t="s">
        <v>249</v>
      </c>
      <c r="AC197" s="8" t="s">
        <v>249</v>
      </c>
    </row>
    <row r="198">
      <c r="A198" s="65" t="s">
        <v>213</v>
      </c>
      <c r="B198" s="66" t="s">
        <v>11</v>
      </c>
      <c r="C198" s="66" t="s">
        <v>211</v>
      </c>
      <c r="D198" s="66" t="s">
        <v>15</v>
      </c>
      <c r="E198" s="66">
        <v>-3173497.787</v>
      </c>
      <c r="F198" s="66">
        <v>3927102.537</v>
      </c>
      <c r="G198" s="66">
        <v>3884034.86</v>
      </c>
      <c r="H198" s="66"/>
      <c r="I198" s="66"/>
      <c r="J198" s="66"/>
      <c r="K198" s="66"/>
      <c r="L198" s="66"/>
      <c r="M198" s="66"/>
      <c r="N198" s="67" t="s">
        <v>249</v>
      </c>
      <c r="O198" s="68" t="s">
        <v>249</v>
      </c>
      <c r="P198" s="68" t="s">
        <v>249</v>
      </c>
      <c r="Q198" s="69" t="s">
        <v>249</v>
      </c>
      <c r="R198" s="67" t="s">
        <v>249</v>
      </c>
      <c r="S198" s="68" t="s">
        <v>249</v>
      </c>
      <c r="T198" s="68" t="s">
        <v>249</v>
      </c>
      <c r="U198" s="69" t="s">
        <v>249</v>
      </c>
      <c r="W198" s="13">
        <v>37.75563932</v>
      </c>
      <c r="X198" s="13">
        <v>128.94172990000001</v>
      </c>
      <c r="Y198" s="13">
        <v>52.112000000000002</v>
      </c>
      <c r="Z198" s="8" t="s">
        <v>249</v>
      </c>
      <c r="AA198" s="8" t="s">
        <v>249</v>
      </c>
      <c r="AB198" s="8" t="s">
        <v>249</v>
      </c>
      <c r="AC198" s="8" t="s">
        <v>249</v>
      </c>
    </row>
    <row r="199">
      <c r="A199" s="65" t="s">
        <v>214</v>
      </c>
      <c r="B199" s="66" t="s">
        <v>11</v>
      </c>
      <c r="C199" s="66" t="s">
        <v>211</v>
      </c>
      <c r="D199" s="66" t="s">
        <v>15</v>
      </c>
      <c r="E199" s="66">
        <v>-3102213.9580000001</v>
      </c>
      <c r="F199" s="66">
        <v>4035696.3059999999</v>
      </c>
      <c r="G199" s="66">
        <v>3830502.4569999999</v>
      </c>
      <c r="H199" s="66"/>
      <c r="I199" s="66"/>
      <c r="J199" s="66"/>
      <c r="K199" s="66"/>
      <c r="L199" s="66"/>
      <c r="M199" s="66"/>
      <c r="N199" s="67" t="s">
        <v>249</v>
      </c>
      <c r="O199" s="68" t="s">
        <v>249</v>
      </c>
      <c r="P199" s="68" t="s">
        <v>249</v>
      </c>
      <c r="Q199" s="69" t="s">
        <v>249</v>
      </c>
      <c r="R199" s="67" t="s">
        <v>249</v>
      </c>
      <c r="S199" s="68" t="s">
        <v>249</v>
      </c>
      <c r="T199" s="68" t="s">
        <v>249</v>
      </c>
      <c r="U199" s="69" t="s">
        <v>249</v>
      </c>
      <c r="W199" s="13">
        <v>37.147208919999997</v>
      </c>
      <c r="X199" s="13">
        <v>127.5492428</v>
      </c>
      <c r="Y199" s="13">
        <v>173.83199999999999</v>
      </c>
      <c r="Z199" s="8" t="s">
        <v>249</v>
      </c>
      <c r="AA199" s="8" t="s">
        <v>249</v>
      </c>
      <c r="AB199" s="8" t="s">
        <v>249</v>
      </c>
      <c r="AC199" s="8" t="s">
        <v>249</v>
      </c>
    </row>
    <row r="200" ht="16" thickBot="true">
      <c r="A200" s="76" t="s">
        <v>215</v>
      </c>
      <c r="B200" s="77" t="s">
        <v>11</v>
      </c>
      <c r="C200" s="77" t="s">
        <v>211</v>
      </c>
      <c r="D200" s="77" t="s">
        <v>15</v>
      </c>
      <c r="E200" s="77">
        <v>-3154188.798</v>
      </c>
      <c r="F200" s="77">
        <v>4294796.2189999996</v>
      </c>
      <c r="G200" s="77">
        <v>3493504.5389999999</v>
      </c>
      <c r="H200" s="77"/>
      <c r="I200" s="77"/>
      <c r="J200" s="77"/>
      <c r="K200" s="77"/>
      <c r="L200" s="77"/>
      <c r="M200" s="77"/>
      <c r="N200" s="78" t="s">
        <v>249</v>
      </c>
      <c r="O200" s="79" t="s">
        <v>249</v>
      </c>
      <c r="P200" s="79" t="s">
        <v>249</v>
      </c>
      <c r="Q200" s="80" t="s">
        <v>249</v>
      </c>
      <c r="R200" s="78" t="s">
        <v>249</v>
      </c>
      <c r="S200" s="79" t="s">
        <v>249</v>
      </c>
      <c r="T200" s="79" t="s">
        <v>249</v>
      </c>
      <c r="U200" s="80" t="s">
        <v>249</v>
      </c>
      <c r="W200" s="13">
        <v>33.426011199999998</v>
      </c>
      <c r="X200" s="13">
        <v>126.2943401</v>
      </c>
      <c r="Y200" s="13">
        <v>75.923000000000002</v>
      </c>
      <c r="Z200" s="8" t="s">
        <v>249</v>
      </c>
      <c r="AA200" s="8" t="s">
        <v>249</v>
      </c>
      <c r="AB200" s="8" t="s">
        <v>249</v>
      </c>
      <c r="AC200" s="8" t="s">
        <v>249</v>
      </c>
    </row>
    <row r="201">
      <c r="A201" s="55" t="s">
        <v>216</v>
      </c>
      <c r="B201" s="56" t="s">
        <v>11</v>
      </c>
      <c r="C201" s="56" t="s">
        <v>217</v>
      </c>
      <c r="D201" s="56" t="s">
        <v>13</v>
      </c>
      <c r="E201" s="56">
        <v>-3277856.017</v>
      </c>
      <c r="F201" s="56">
        <v>4018086.4989999998</v>
      </c>
      <c r="G201" s="56">
        <v>3701411.1779999998</v>
      </c>
      <c r="H201" s="56">
        <v>-3277857.4893999998</v>
      </c>
      <c r="I201" s="56">
        <v>4018089.503</v>
      </c>
      <c r="J201" s="56">
        <v>3701412.7848</v>
      </c>
      <c r="K201" s="56">
        <v>0</v>
      </c>
      <c r="L201" s="56">
        <v>0</v>
      </c>
      <c r="M201" s="56">
        <v>0</v>
      </c>
      <c r="N201" s="57">
        <v>-0.75796984951351298</v>
      </c>
      <c r="O201" s="58">
        <v>-0.59667196401548395</v>
      </c>
      <c r="P201" s="58">
        <v>3.5837477970794702</v>
      </c>
      <c r="Q201" s="59">
        <v>3.7113048916096401</v>
      </c>
      <c r="R201" s="57" t="s">
        <v>249</v>
      </c>
      <c r="S201" s="58" t="s">
        <v>249</v>
      </c>
      <c r="T201" s="58" t="s">
        <v>249</v>
      </c>
      <c r="U201" s="59" t="s">
        <v>249</v>
      </c>
      <c r="W201" s="13">
        <v>35.701459999999997</v>
      </c>
      <c r="X201" s="13">
        <v>129.20671999999999</v>
      </c>
      <c r="Y201" s="13">
        <v>117.955</v>
      </c>
      <c r="Z201" s="8">
        <v>-0.89746603870084196</v>
      </c>
      <c r="AA201" s="8">
        <v>-0.77152264649503799</v>
      </c>
      <c r="AB201" s="8">
        <v>3.5840345361372301</v>
      </c>
      <c r="AC201" s="8">
        <v>3.7743868430382799</v>
      </c>
    </row>
    <row r="202">
      <c r="A202" s="9" t="s">
        <v>218</v>
      </c>
      <c r="B202" s="10" t="s">
        <v>11</v>
      </c>
      <c r="C202" s="10" t="s">
        <v>217</v>
      </c>
      <c r="D202" s="10" t="s">
        <v>13</v>
      </c>
      <c r="E202" s="10">
        <v>-3277475.8280000002</v>
      </c>
      <c r="F202" s="10">
        <v>4008596.548</v>
      </c>
      <c r="G202" s="10">
        <v>3712077.588</v>
      </c>
      <c r="H202" s="10">
        <v>-3277490.7442000001</v>
      </c>
      <c r="I202" s="10">
        <v>4008608.2618999998</v>
      </c>
      <c r="J202" s="10">
        <v>3712083.2074000002</v>
      </c>
      <c r="K202" s="10">
        <v>0</v>
      </c>
      <c r="L202" s="10">
        <v>0</v>
      </c>
      <c r="M202" s="10">
        <v>0</v>
      </c>
      <c r="N202" s="25">
        <v>4.1331399774049098</v>
      </c>
      <c r="O202" s="11">
        <v>-6.2761720420535401</v>
      </c>
      <c r="P202" s="11">
        <v>18.297894700359901</v>
      </c>
      <c r="Q202" s="12">
        <v>19.780953769718401</v>
      </c>
      <c r="R202" s="25" t="s">
        <v>249</v>
      </c>
      <c r="S202" s="11" t="s">
        <v>249</v>
      </c>
      <c r="T202" s="11" t="s">
        <v>249</v>
      </c>
      <c r="U202" s="12" t="s">
        <v>249</v>
      </c>
      <c r="W202" s="13">
        <v>35.81944</v>
      </c>
      <c r="X202" s="13">
        <v>129.26983999999999</v>
      </c>
      <c r="Y202" s="13">
        <v>191.804</v>
      </c>
      <c r="Z202" s="8">
        <v>3.9393889687393502</v>
      </c>
      <c r="AA202" s="8">
        <v>-5.7762851325876303</v>
      </c>
      <c r="AB202" s="8">
        <v>18.297551403592198</v>
      </c>
      <c r="AC202" s="8">
        <v>19.587869785841399</v>
      </c>
    </row>
    <row r="203">
      <c r="A203" s="9" t="s">
        <v>219</v>
      </c>
      <c r="B203" s="10" t="s">
        <v>11</v>
      </c>
      <c r="C203" s="10" t="s">
        <v>217</v>
      </c>
      <c r="D203" s="10" t="s">
        <v>13</v>
      </c>
      <c r="E203" s="10">
        <v>-3273911.9270000001</v>
      </c>
      <c r="F203" s="10">
        <v>4017678.2459999998</v>
      </c>
      <c r="G203" s="10">
        <v>3705289.2370000002</v>
      </c>
      <c r="H203" s="10">
        <v>-3273913.0485999999</v>
      </c>
      <c r="I203" s="10">
        <v>4017680.2264</v>
      </c>
      <c r="J203" s="10">
        <v>3705289.4920000001</v>
      </c>
      <c r="K203" s="10">
        <v>0</v>
      </c>
      <c r="L203" s="10">
        <v>0</v>
      </c>
      <c r="M203" s="10">
        <v>0</v>
      </c>
      <c r="N203" s="25">
        <v>-0.38154484609943401</v>
      </c>
      <c r="O203" s="11">
        <v>-1.1037710430688099</v>
      </c>
      <c r="P203" s="11">
        <v>1.9700529764863901</v>
      </c>
      <c r="Q203" s="12">
        <v>2.29019556266821</v>
      </c>
      <c r="R203" s="25" t="s">
        <v>249</v>
      </c>
      <c r="S203" s="11" t="s">
        <v>249</v>
      </c>
      <c r="T203" s="11" t="s">
        <v>249</v>
      </c>
      <c r="U203" s="12" t="s">
        <v>249</v>
      </c>
      <c r="W203" s="13">
        <v>35.744610000000002</v>
      </c>
      <c r="X203" s="13">
        <v>129.17578</v>
      </c>
      <c r="Y203" s="13">
        <v>101.967</v>
      </c>
      <c r="Z203" s="8">
        <v>6.1238943154511997E-2</v>
      </c>
      <c r="AA203" s="8">
        <v>-0.69861977286340904</v>
      </c>
      <c r="AB203" s="8">
        <v>1.97010851441823</v>
      </c>
      <c r="AC203" s="8">
        <v>2.0912071522873101</v>
      </c>
    </row>
    <row r="204">
      <c r="A204" s="9" t="s">
        <v>220</v>
      </c>
      <c r="B204" s="10" t="s">
        <v>11</v>
      </c>
      <c r="C204" s="10" t="s">
        <v>217</v>
      </c>
      <c r="D204" s="10" t="s">
        <v>13</v>
      </c>
      <c r="E204" s="10">
        <v>-3268177.676</v>
      </c>
      <c r="F204" s="10">
        <v>4016295.51</v>
      </c>
      <c r="G204" s="10">
        <v>3711809.4759999998</v>
      </c>
      <c r="H204" s="10">
        <v>-3268176.0674000001</v>
      </c>
      <c r="I204" s="10">
        <v>4016292.7012999998</v>
      </c>
      <c r="J204" s="10">
        <v>3711808.7288000002</v>
      </c>
      <c r="K204" s="10">
        <v>0</v>
      </c>
      <c r="L204" s="10">
        <v>0</v>
      </c>
      <c r="M204" s="10">
        <v>0</v>
      </c>
      <c r="N204" s="25">
        <v>0.52505237131179505</v>
      </c>
      <c r="O204" s="11">
        <v>1.2631421770272999</v>
      </c>
      <c r="P204" s="11">
        <v>-3.0271255902471901</v>
      </c>
      <c r="Q204" s="12">
        <v>3.3218515155158301</v>
      </c>
      <c r="R204" s="25" t="s">
        <v>249</v>
      </c>
      <c r="S204" s="11" t="s">
        <v>249</v>
      </c>
      <c r="T204" s="11" t="s">
        <v>249</v>
      </c>
      <c r="U204" s="12" t="s">
        <v>249</v>
      </c>
      <c r="W204" s="13">
        <v>35.817019999999999</v>
      </c>
      <c r="X204" s="13">
        <v>129.13625999999999</v>
      </c>
      <c r="Y204" s="13">
        <v>107.004</v>
      </c>
      <c r="Z204" s="8">
        <v>0.72858323839733896</v>
      </c>
      <c r="AA204" s="8">
        <v>0.83792057684126298</v>
      </c>
      <c r="AB204" s="8">
        <v>-3.0266928115997902</v>
      </c>
      <c r="AC204" s="8">
        <v>3.2239438276988301</v>
      </c>
    </row>
    <row r="205">
      <c r="A205" s="9" t="s">
        <v>221</v>
      </c>
      <c r="B205" s="10" t="s">
        <v>11</v>
      </c>
      <c r="C205" s="10" t="s">
        <v>217</v>
      </c>
      <c r="D205" s="10" t="s">
        <v>13</v>
      </c>
      <c r="E205" s="10">
        <v>-3227935.9169999999</v>
      </c>
      <c r="F205" s="10">
        <v>4042596.6860000002</v>
      </c>
      <c r="G205" s="10">
        <v>3718427.3059999999</v>
      </c>
      <c r="H205" s="10">
        <v>-3227935.9169999999</v>
      </c>
      <c r="I205" s="10">
        <v>4042596.6860000002</v>
      </c>
      <c r="J205" s="10">
        <v>3718427.3059999999</v>
      </c>
      <c r="K205" s="10">
        <v>0</v>
      </c>
      <c r="L205" s="10">
        <v>0</v>
      </c>
      <c r="M205" s="10">
        <v>0</v>
      </c>
      <c r="N205" s="25">
        <v>-1.4666158212809399E-10</v>
      </c>
      <c r="O205" s="11">
        <v>1.28273652670146E-11</v>
      </c>
      <c r="P205" s="11">
        <v>-1.60636579053253E-9</v>
      </c>
      <c r="Q205" s="12">
        <v>1.6130980174698601E-9</v>
      </c>
      <c r="R205" s="25" t="s">
        <v>249</v>
      </c>
      <c r="S205" s="11" t="s">
        <v>249</v>
      </c>
      <c r="T205" s="11" t="s">
        <v>249</v>
      </c>
      <c r="U205" s="12" t="s">
        <v>249</v>
      </c>
      <c r="W205" s="13">
        <v>35.89058</v>
      </c>
      <c r="X205" s="13">
        <v>128.60668999999999</v>
      </c>
      <c r="Y205" s="13">
        <v>110.664</v>
      </c>
      <c r="Z205" s="8">
        <v>0.37496228495417999</v>
      </c>
      <c r="AA205" s="8">
        <v>-0.17687014089712999</v>
      </c>
      <c r="AB205" s="8">
        <v>3.55632080909912E-5</v>
      </c>
      <c r="AC205" s="8">
        <v>0.41458384332215897</v>
      </c>
    </row>
    <row r="206">
      <c r="A206" s="9" t="s">
        <v>222</v>
      </c>
      <c r="B206" s="10" t="s">
        <v>11</v>
      </c>
      <c r="C206" s="10" t="s">
        <v>217</v>
      </c>
      <c r="D206" s="10" t="s">
        <v>13</v>
      </c>
      <c r="E206" s="10">
        <v>-3290020.142</v>
      </c>
      <c r="F206" s="10">
        <v>4005491.3909999998</v>
      </c>
      <c r="G206" s="10">
        <v>3704356.8229999999</v>
      </c>
      <c r="H206" s="10">
        <v>-3290020.1422999999</v>
      </c>
      <c r="I206" s="10">
        <v>4005491.3909</v>
      </c>
      <c r="J206" s="10">
        <v>3704356.8234000001</v>
      </c>
      <c r="K206" s="10">
        <v>0</v>
      </c>
      <c r="L206" s="10">
        <v>0</v>
      </c>
      <c r="M206" s="10">
        <v>0</v>
      </c>
      <c r="N206" s="25">
        <v>2.9529388694065798E-4</v>
      </c>
      <c r="O206" s="11">
        <v>2.5861946514045201E-4</v>
      </c>
      <c r="P206" s="11">
        <v>3.2544903580925498E-4</v>
      </c>
      <c r="Q206" s="12">
        <v>5.0990154179334402E-4</v>
      </c>
      <c r="R206" s="25" t="s">
        <v>249</v>
      </c>
      <c r="S206" s="11" t="s">
        <v>249</v>
      </c>
      <c r="T206" s="11" t="s">
        <v>249</v>
      </c>
      <c r="U206" s="12" t="s">
        <v>249</v>
      </c>
      <c r="W206" s="13">
        <v>35.733750000000001</v>
      </c>
      <c r="X206" s="13">
        <v>129.39891</v>
      </c>
      <c r="Y206" s="13">
        <v>180.316</v>
      </c>
      <c r="Z206" s="8">
        <v>2.5751097718495999E-2</v>
      </c>
      <c r="AA206" s="8">
        <v>0.27405049116098401</v>
      </c>
      <c r="AB206" s="8">
        <v>2.5497743595859202E-4</v>
      </c>
      <c r="AC206" s="8">
        <v>0.275257798713819</v>
      </c>
    </row>
    <row r="207">
      <c r="A207" s="9" t="s">
        <v>223</v>
      </c>
      <c r="B207" s="10" t="s">
        <v>11</v>
      </c>
      <c r="C207" s="10" t="s">
        <v>217</v>
      </c>
      <c r="D207" s="10" t="s">
        <v>13</v>
      </c>
      <c r="E207" s="10">
        <v>-3060975.943</v>
      </c>
      <c r="F207" s="10">
        <v>4116209.156</v>
      </c>
      <c r="G207" s="10">
        <v>3777929.7930000001</v>
      </c>
      <c r="H207" s="10">
        <v>-3060975.9434000002</v>
      </c>
      <c r="I207" s="10">
        <v>4116209.1564000002</v>
      </c>
      <c r="J207" s="10">
        <v>3777929.7933999998</v>
      </c>
      <c r="K207" s="10">
        <v>0</v>
      </c>
      <c r="L207" s="10">
        <v>0</v>
      </c>
      <c r="M207" s="10">
        <v>0</v>
      </c>
      <c r="N207" s="25">
        <v>8.2286399908116595E-5</v>
      </c>
      <c r="O207" s="11">
        <v>-1.2027677934392001E-5</v>
      </c>
      <c r="P207" s="11">
        <v>6.8781220751363897E-4</v>
      </c>
      <c r="Q207" s="12">
        <v>6.9282129690932399E-4</v>
      </c>
      <c r="R207" s="25" t="s">
        <v>249</v>
      </c>
      <c r="S207" s="11" t="s">
        <v>249</v>
      </c>
      <c r="T207" s="11" t="s">
        <v>249</v>
      </c>
      <c r="U207" s="12" t="s">
        <v>249</v>
      </c>
      <c r="W207" s="13">
        <v>36.555459999999997</v>
      </c>
      <c r="X207" s="13">
        <v>126.63594999999999</v>
      </c>
      <c r="Y207" s="13">
        <v>84.361000000000004</v>
      </c>
      <c r="Z207" s="8">
        <v>0.14551932894602601</v>
      </c>
      <c r="AA207" s="8">
        <v>0.20816669788547601</v>
      </c>
      <c r="AB207" s="8">
        <v>-0.999478322700736</v>
      </c>
      <c r="AC207" s="8">
        <v>1.03124495962604</v>
      </c>
    </row>
    <row r="208">
      <c r="A208" s="9" t="s">
        <v>224</v>
      </c>
      <c r="B208" s="10" t="s">
        <v>11</v>
      </c>
      <c r="C208" s="10" t="s">
        <v>217</v>
      </c>
      <c r="D208" s="10" t="s">
        <v>13</v>
      </c>
      <c r="E208" s="10">
        <v>-3141330.4339999999</v>
      </c>
      <c r="F208" s="10">
        <v>4183952.6290000002</v>
      </c>
      <c r="G208" s="10">
        <v>3635813.64</v>
      </c>
      <c r="H208" s="10">
        <v>-3141333.4131999998</v>
      </c>
      <c r="I208" s="10">
        <v>4183953.7456</v>
      </c>
      <c r="J208" s="10">
        <v>3635812.9931999999</v>
      </c>
      <c r="K208" s="10">
        <v>0</v>
      </c>
      <c r="L208" s="10">
        <v>0</v>
      </c>
      <c r="M208" s="10">
        <v>0</v>
      </c>
      <c r="N208" s="25">
        <v>1.71202002769182</v>
      </c>
      <c r="O208" s="11">
        <v>-2.0672408488565202</v>
      </c>
      <c r="P208" s="11">
        <v>1.82654896871068</v>
      </c>
      <c r="Q208" s="12">
        <v>3.2466565013097699</v>
      </c>
      <c r="R208" s="25" t="s">
        <v>249</v>
      </c>
      <c r="S208" s="11" t="s">
        <v>249</v>
      </c>
      <c r="T208" s="11" t="s">
        <v>249</v>
      </c>
      <c r="U208" s="12" t="s">
        <v>249</v>
      </c>
      <c r="W208" s="13">
        <v>34.976909999999997</v>
      </c>
      <c r="X208" s="13">
        <v>126.89939</v>
      </c>
      <c r="Y208" s="13">
        <v>79.555999999999997</v>
      </c>
      <c r="Z208" s="8">
        <v>1.3891887809391299</v>
      </c>
      <c r="AA208" s="8">
        <v>-2.3524179001086001</v>
      </c>
      <c r="AB208" s="8">
        <v>1.8363597348890599</v>
      </c>
      <c r="AC208" s="8">
        <v>3.29179776440782</v>
      </c>
    </row>
    <row r="209">
      <c r="A209" s="9" t="s">
        <v>225</v>
      </c>
      <c r="B209" s="10" t="s">
        <v>11</v>
      </c>
      <c r="C209" s="10" t="s">
        <v>217</v>
      </c>
      <c r="D209" s="10" t="s">
        <v>13</v>
      </c>
      <c r="E209" s="10">
        <v>-3180506.696</v>
      </c>
      <c r="F209" s="10">
        <v>4273848.7050000001</v>
      </c>
      <c r="G209" s="10">
        <v>3496101.1</v>
      </c>
      <c r="H209" s="10">
        <v>-3180506.6957999999</v>
      </c>
      <c r="I209" s="10">
        <v>4273848.7046999997</v>
      </c>
      <c r="J209" s="10">
        <v>3496101.1003</v>
      </c>
      <c r="K209" s="10">
        <v>0</v>
      </c>
      <c r="L209" s="10">
        <v>0</v>
      </c>
      <c r="M209" s="10">
        <v>0</v>
      </c>
      <c r="N209" s="25">
        <v>1.86550089614135E-5</v>
      </c>
      <c r="O209" s="11">
        <v>4.4878895176193601E-4</v>
      </c>
      <c r="P209" s="11">
        <v>-1.3505830011463201E-4</v>
      </c>
      <c r="Q209" s="12">
        <v>4.6904187127886802E-4</v>
      </c>
      <c r="R209" s="25" t="s">
        <v>249</v>
      </c>
      <c r="S209" s="11" t="s">
        <v>249</v>
      </c>
      <c r="T209" s="11" t="s">
        <v>249</v>
      </c>
      <c r="U209" s="12" t="s">
        <v>249</v>
      </c>
      <c r="W209" s="13">
        <v>33.451500000000003</v>
      </c>
      <c r="X209" s="13">
        <v>126.65582999999999</v>
      </c>
      <c r="Y209" s="13">
        <v>459.83</v>
      </c>
      <c r="Z209" s="8">
        <v>0.31610541032040101</v>
      </c>
      <c r="AA209" s="8">
        <v>0.35906201564067902</v>
      </c>
      <c r="AB209" s="8">
        <v>1.8534782287221699E-4</v>
      </c>
      <c r="AC209" s="8">
        <v>0.47838080632858998</v>
      </c>
    </row>
    <row r="210">
      <c r="A210" s="9" t="s">
        <v>226</v>
      </c>
      <c r="B210" s="10" t="s">
        <v>11</v>
      </c>
      <c r="C210" s="10" t="s">
        <v>217</v>
      </c>
      <c r="D210" s="10" t="s">
        <v>13</v>
      </c>
      <c r="E210" s="10">
        <v>-3185976.0589999999</v>
      </c>
      <c r="F210" s="10">
        <v>4131051.7280000001</v>
      </c>
      <c r="G210" s="10">
        <v>3657236.0630000001</v>
      </c>
      <c r="H210" s="10">
        <v>-3185983.0824000002</v>
      </c>
      <c r="I210" s="10">
        <v>4131061.2489</v>
      </c>
      <c r="J210" s="10">
        <v>3657241.3654</v>
      </c>
      <c r="K210" s="10">
        <v>0</v>
      </c>
      <c r="L210" s="10">
        <v>0</v>
      </c>
      <c r="M210" s="10">
        <v>0</v>
      </c>
      <c r="N210" s="25">
        <v>-0.25289560633527702</v>
      </c>
      <c r="O210" s="11">
        <v>-2.4883354625012402</v>
      </c>
      <c r="P210" s="11">
        <v>12.721452770725501</v>
      </c>
      <c r="Q210" s="12">
        <v>12.964996342438599</v>
      </c>
      <c r="R210" s="25" t="s">
        <v>249</v>
      </c>
      <c r="S210" s="11" t="s">
        <v>249</v>
      </c>
      <c r="T210" s="11" t="s">
        <v>249</v>
      </c>
      <c r="U210" s="12" t="s">
        <v>249</v>
      </c>
      <c r="W210" s="13">
        <v>35.212949999999999</v>
      </c>
      <c r="X210" s="13">
        <v>127.64036</v>
      </c>
      <c r="Y210" s="13">
        <v>71.974999999999994</v>
      </c>
      <c r="Z210" s="8">
        <v>-0.51182308991824499</v>
      </c>
      <c r="AA210" s="8">
        <v>-2.1961266443687202</v>
      </c>
      <c r="AB210" s="8">
        <v>12.721185276706301</v>
      </c>
      <c r="AC210" s="8">
        <v>12.919500375702199</v>
      </c>
    </row>
    <row r="211">
      <c r="A211" s="9" t="s">
        <v>227</v>
      </c>
      <c r="B211" s="10" t="s">
        <v>11</v>
      </c>
      <c r="C211" s="10" t="s">
        <v>217</v>
      </c>
      <c r="D211" s="10" t="s">
        <v>13</v>
      </c>
      <c r="E211" s="10">
        <v>-3174585.3859999999</v>
      </c>
      <c r="F211" s="10">
        <v>3964613.09</v>
      </c>
      <c r="G211" s="10">
        <v>3845686.2289999998</v>
      </c>
      <c r="H211" s="10">
        <v>-3174584.6798999999</v>
      </c>
      <c r="I211" s="10">
        <v>3964611.5586999999</v>
      </c>
      <c r="J211" s="10">
        <v>3845684.0024000001</v>
      </c>
      <c r="K211" s="10">
        <v>0</v>
      </c>
      <c r="L211" s="10">
        <v>0</v>
      </c>
      <c r="M211" s="10">
        <v>0</v>
      </c>
      <c r="N211" s="25">
        <v>0.40595254321577001</v>
      </c>
      <c r="O211" s="11">
        <v>-0.77859502300542305</v>
      </c>
      <c r="P211" s="11">
        <v>-2.6514518252147998</v>
      </c>
      <c r="Q211" s="12">
        <v>2.7930636331145502</v>
      </c>
      <c r="R211" s="25" t="s">
        <v>249</v>
      </c>
      <c r="S211" s="11" t="s">
        <v>249</v>
      </c>
      <c r="T211" s="11" t="s">
        <v>249</v>
      </c>
      <c r="U211" s="12" t="s">
        <v>249</v>
      </c>
      <c r="W211" s="13">
        <v>37.31747</v>
      </c>
      <c r="X211" s="13">
        <v>128.68530999999999</v>
      </c>
      <c r="Y211" s="13">
        <v>351.75700000000001</v>
      </c>
      <c r="Z211" s="8">
        <v>0.34887191366840398</v>
      </c>
      <c r="AA211" s="8">
        <v>-0.31090832291641701</v>
      </c>
      <c r="AB211" s="8">
        <v>-2.6513467069563101</v>
      </c>
      <c r="AC211" s="8">
        <v>2.6922137652670499</v>
      </c>
    </row>
    <row r="212">
      <c r="A212" s="9" t="s">
        <v>228</v>
      </c>
      <c r="B212" s="10" t="s">
        <v>11</v>
      </c>
      <c r="C212" s="10" t="s">
        <v>217</v>
      </c>
      <c r="D212" s="10" t="s">
        <v>13</v>
      </c>
      <c r="E212" s="10">
        <v>-3169767.8110000002</v>
      </c>
      <c r="F212" s="10">
        <v>4025937.5019999999</v>
      </c>
      <c r="G212" s="10">
        <v>3785499.105</v>
      </c>
      <c r="H212" s="10">
        <v>-3169767.8114</v>
      </c>
      <c r="I212" s="10">
        <v>4025937.5024000001</v>
      </c>
      <c r="J212" s="10">
        <v>3785499.1053999998</v>
      </c>
      <c r="K212" s="10">
        <v>0</v>
      </c>
      <c r="L212" s="10">
        <v>0</v>
      </c>
      <c r="M212" s="10">
        <v>0</v>
      </c>
      <c r="N212" s="25">
        <v>6.6834777672701101E-5</v>
      </c>
      <c r="O212" s="11">
        <v>-1.42695956517314E-5</v>
      </c>
      <c r="P212" s="11">
        <v>6.8944160231051098E-4</v>
      </c>
      <c r="Q212" s="12">
        <v>6.9282049036031499E-4</v>
      </c>
      <c r="R212" s="25" t="s">
        <v>249</v>
      </c>
      <c r="S212" s="11" t="s">
        <v>249</v>
      </c>
      <c r="T212" s="11" t="s">
        <v>249</v>
      </c>
      <c r="U212" s="12" t="s">
        <v>249</v>
      </c>
      <c r="W212" s="13">
        <v>36.640169999999998</v>
      </c>
      <c r="X212" s="13">
        <v>128.21465000000001</v>
      </c>
      <c r="Y212" s="13">
        <v>121.33499999999999</v>
      </c>
      <c r="Z212" s="8">
        <v>0.16876361283472099</v>
      </c>
      <c r="AA212" s="8">
        <v>-0.25325958411730498</v>
      </c>
      <c r="AB212" s="8">
        <v>2.8750727453284697E-4</v>
      </c>
      <c r="AC212" s="8">
        <v>0.30433806305608702</v>
      </c>
    </row>
    <row r="213">
      <c r="A213" s="9" t="s">
        <v>229</v>
      </c>
      <c r="B213" s="10" t="s">
        <v>11</v>
      </c>
      <c r="C213" s="10" t="s">
        <v>217</v>
      </c>
      <c r="D213" s="10" t="s">
        <v>13</v>
      </c>
      <c r="E213" s="10">
        <v>-3272459.0079999999</v>
      </c>
      <c r="F213" s="10">
        <v>3990652.9649999999</v>
      </c>
      <c r="G213" s="10">
        <v>3735408.1140000001</v>
      </c>
      <c r="H213" s="10">
        <v>-3272459.0076000001</v>
      </c>
      <c r="I213" s="10">
        <v>3990652.9649999999</v>
      </c>
      <c r="J213" s="10">
        <v>3735408.1140000001</v>
      </c>
      <c r="K213" s="10">
        <v>0</v>
      </c>
      <c r="L213" s="10">
        <v>0</v>
      </c>
      <c r="M213" s="10">
        <v>0</v>
      </c>
      <c r="N213" s="25">
        <v>-3.0930231936826102E-4</v>
      </c>
      <c r="O213" s="11">
        <v>1.4937007487291501E-4</v>
      </c>
      <c r="P213" s="11">
        <v>-2.0498989592348201E-4</v>
      </c>
      <c r="Q213" s="12">
        <v>4.00000251830979E-4</v>
      </c>
      <c r="R213" s="25" t="s">
        <v>249</v>
      </c>
      <c r="S213" s="11" t="s">
        <v>249</v>
      </c>
      <c r="T213" s="11" t="s">
        <v>249</v>
      </c>
      <c r="U213" s="12" t="s">
        <v>249</v>
      </c>
      <c r="W213" s="13">
        <v>36.079929999999997</v>
      </c>
      <c r="X213" s="13">
        <v>129.35281000000001</v>
      </c>
      <c r="Y213" s="13">
        <v>76.677999999999997</v>
      </c>
      <c r="Z213" s="8">
        <v>0.31600772413399503</v>
      </c>
      <c r="AA213" s="8">
        <v>-0.323877572748063</v>
      </c>
      <c r="AB213" s="8">
        <v>3.9918780126310601E-4</v>
      </c>
      <c r="AC213" s="8">
        <v>0.45250162783400499</v>
      </c>
    </row>
    <row r="214">
      <c r="A214" s="9" t="s">
        <v>230</v>
      </c>
      <c r="B214" s="10" t="s">
        <v>11</v>
      </c>
      <c r="C214" s="10" t="s">
        <v>217</v>
      </c>
      <c r="D214" s="10" t="s">
        <v>13</v>
      </c>
      <c r="E214" s="10">
        <v>-3271844.7</v>
      </c>
      <c r="F214" s="10">
        <v>3995748.7680000002</v>
      </c>
      <c r="G214" s="10">
        <v>3730532.3369999998</v>
      </c>
      <c r="H214" s="10">
        <v>-3271844.7</v>
      </c>
      <c r="I214" s="10">
        <v>3995748.7680000002</v>
      </c>
      <c r="J214" s="10">
        <v>3730532.3369999998</v>
      </c>
      <c r="K214" s="10">
        <v>0</v>
      </c>
      <c r="L214" s="10">
        <v>0</v>
      </c>
      <c r="M214" s="10">
        <v>0</v>
      </c>
      <c r="N214" s="25">
        <v>-1.3106034354820499E-9</v>
      </c>
      <c r="O214" s="11">
        <v>-4.53385539814456E-10</v>
      </c>
      <c r="P214" s="11">
        <v>-1.6829764604326501E-10</v>
      </c>
      <c r="Q214" s="12">
        <v>1.3969838619232099E-9</v>
      </c>
      <c r="R214" s="25" t="s">
        <v>249</v>
      </c>
      <c r="S214" s="11" t="s">
        <v>249</v>
      </c>
      <c r="T214" s="11" t="s">
        <v>249</v>
      </c>
      <c r="U214" s="12" t="s">
        <v>249</v>
      </c>
      <c r="W214" s="13">
        <v>36.025559999999999</v>
      </c>
      <c r="X214" s="13">
        <v>129.3117</v>
      </c>
      <c r="Y214" s="13">
        <v>78.974000000000004</v>
      </c>
      <c r="Z214" s="8">
        <v>-0.44028369771359399</v>
      </c>
      <c r="AA214" s="8">
        <v>0.144418036862309</v>
      </c>
      <c r="AB214" s="8">
        <v>4.7645345031818698E-4</v>
      </c>
      <c r="AC214" s="8">
        <v>0.46336436079116899</v>
      </c>
    </row>
    <row r="215">
      <c r="A215" s="65" t="s">
        <v>231</v>
      </c>
      <c r="B215" s="66" t="s">
        <v>11</v>
      </c>
      <c r="C215" s="66" t="s">
        <v>217</v>
      </c>
      <c r="D215" s="66" t="s">
        <v>15</v>
      </c>
      <c r="E215" s="66">
        <v>-3201472.4330000002</v>
      </c>
      <c r="F215" s="66">
        <v>3931010.86</v>
      </c>
      <c r="G215" s="66">
        <v>3857409.1660000002</v>
      </c>
      <c r="H215" s="66"/>
      <c r="I215" s="66"/>
      <c r="J215" s="66"/>
      <c r="K215" s="66"/>
      <c r="L215" s="66"/>
      <c r="M215" s="66"/>
      <c r="N215" s="67" t="s">
        <v>249</v>
      </c>
      <c r="O215" s="68" t="s">
        <v>249</v>
      </c>
      <c r="P215" s="68" t="s">
        <v>249</v>
      </c>
      <c r="Q215" s="69" t="s">
        <v>249</v>
      </c>
      <c r="R215" s="67" t="s">
        <v>249</v>
      </c>
      <c r="S215" s="68" t="s">
        <v>249</v>
      </c>
      <c r="T215" s="68" t="s">
        <v>249</v>
      </c>
      <c r="U215" s="69" t="s">
        <v>249</v>
      </c>
      <c r="W215" s="13">
        <v>37.451999999999998</v>
      </c>
      <c r="X215" s="13">
        <v>129.15987000000001</v>
      </c>
      <c r="Y215" s="13">
        <v>119.56100000000001</v>
      </c>
      <c r="Z215" s="8" t="s">
        <v>249</v>
      </c>
      <c r="AA215" s="8" t="s">
        <v>249</v>
      </c>
      <c r="AB215" s="8" t="s">
        <v>249</v>
      </c>
      <c r="AC215" s="8" t="s">
        <v>249</v>
      </c>
    </row>
    <row r="216">
      <c r="A216" s="9" t="s">
        <v>232</v>
      </c>
      <c r="B216" s="10" t="s">
        <v>11</v>
      </c>
      <c r="C216" s="10" t="s">
        <v>217</v>
      </c>
      <c r="D216" s="10" t="s">
        <v>13</v>
      </c>
      <c r="E216" s="10">
        <v>-3282611.3670000001</v>
      </c>
      <c r="F216" s="10">
        <v>4043917.5109999999</v>
      </c>
      <c r="G216" s="10">
        <v>3669297.449</v>
      </c>
      <c r="H216" s="10">
        <v>-3282661.3670000001</v>
      </c>
      <c r="I216" s="10">
        <v>4043917.5107999998</v>
      </c>
      <c r="J216" s="10">
        <v>3669297.4490999999</v>
      </c>
      <c r="K216" s="10">
        <v>0</v>
      </c>
      <c r="L216" s="10">
        <v>0</v>
      </c>
      <c r="M216" s="10">
        <v>0</v>
      </c>
      <c r="N216" s="25">
        <v>38.8202529489485</v>
      </c>
      <c r="O216" s="11">
        <v>-18.2295079998452</v>
      </c>
      <c r="P216" s="11">
        <v>25.703560047457</v>
      </c>
      <c r="Q216" s="12">
        <v>50.000000000500002</v>
      </c>
      <c r="R216" s="25" t="s">
        <v>249</v>
      </c>
      <c r="S216" s="11" t="s">
        <v>249</v>
      </c>
      <c r="T216" s="11" t="s">
        <v>249</v>
      </c>
      <c r="U216" s="12" t="s">
        <v>249</v>
      </c>
      <c r="W216" s="13">
        <v>35.345089999999999</v>
      </c>
      <c r="X216" s="13">
        <v>129.06806</v>
      </c>
      <c r="Y216" s="13">
        <v>233.77699999999999</v>
      </c>
      <c r="Z216" s="8">
        <v>0.174298063400942</v>
      </c>
      <c r="AA216" s="8">
        <v>-0.10504423552285699</v>
      </c>
      <c r="AB216" s="8">
        <v>-2.6175779922322302E-4</v>
      </c>
      <c r="AC216" s="8">
        <v>0.20350472927931099</v>
      </c>
    </row>
    <row r="217">
      <c r="A217" s="9" t="s">
        <v>233</v>
      </c>
      <c r="B217" s="10" t="s">
        <v>11</v>
      </c>
      <c r="C217" s="10" t="s">
        <v>217</v>
      </c>
      <c r="D217" s="10" t="s">
        <v>13</v>
      </c>
      <c r="E217" s="10">
        <v>-3088257.4619999998</v>
      </c>
      <c r="F217" s="10">
        <v>3954160.5019999999</v>
      </c>
      <c r="G217" s="10">
        <v>3925325.5070000002</v>
      </c>
      <c r="H217" s="10">
        <v>-3088257.4616</v>
      </c>
      <c r="I217" s="10">
        <v>3954160.5022</v>
      </c>
      <c r="J217" s="10">
        <v>3925325.5070000002</v>
      </c>
      <c r="K217" s="10">
        <v>0</v>
      </c>
      <c r="L217" s="10">
        <v>0</v>
      </c>
      <c r="M217" s="10">
        <v>0</v>
      </c>
      <c r="N217" s="25">
        <v>-4.3835031659284499E-4</v>
      </c>
      <c r="O217" s="11">
        <v>5.4814132017886803E-5</v>
      </c>
      <c r="P217" s="11">
        <v>-6.9592906177230699E-5</v>
      </c>
      <c r="Q217" s="12">
        <v>4.4721221105434398E-4</v>
      </c>
      <c r="R217" s="25" t="s">
        <v>249</v>
      </c>
      <c r="S217" s="11" t="s">
        <v>249</v>
      </c>
      <c r="T217" s="11" t="s">
        <v>249</v>
      </c>
      <c r="U217" s="12" t="s">
        <v>249</v>
      </c>
      <c r="W217" s="13">
        <v>38.225369999999998</v>
      </c>
      <c r="X217" s="13">
        <v>127.99036</v>
      </c>
      <c r="Y217" s="13">
        <v>321.89499999999998</v>
      </c>
      <c r="Z217" s="8">
        <v>-4.9118529040206999E-2</v>
      </c>
      <c r="AA217" s="8">
        <v>2.5219137333031001E-2</v>
      </c>
      <c r="AB217" s="8">
        <v>-3.3838100328941601E-4</v>
      </c>
      <c r="AC217" s="8">
        <v>5.5215480479656999E-2</v>
      </c>
    </row>
    <row r="218" ht="16" thickBot="true">
      <c r="A218" s="60" t="s">
        <v>234</v>
      </c>
      <c r="B218" s="61" t="s">
        <v>11</v>
      </c>
      <c r="C218" s="61" t="s">
        <v>217</v>
      </c>
      <c r="D218" s="61" t="s">
        <v>13</v>
      </c>
      <c r="E218" s="61">
        <v>-3278447.1379999998</v>
      </c>
      <c r="F218" s="61">
        <v>4037020.335</v>
      </c>
      <c r="G218" s="61">
        <v>3680345.1329999999</v>
      </c>
      <c r="H218" s="61">
        <v>-3278449.8428000002</v>
      </c>
      <c r="I218" s="61">
        <v>4037020.8265</v>
      </c>
      <c r="J218" s="61">
        <v>3680347.5595999998</v>
      </c>
      <c r="K218" s="61">
        <v>0</v>
      </c>
      <c r="L218" s="61">
        <v>0</v>
      </c>
      <c r="M218" s="61">
        <v>0</v>
      </c>
      <c r="N218" s="62">
        <v>1.7898050992610599</v>
      </c>
      <c r="O218" s="63">
        <v>0.76553963281314397</v>
      </c>
      <c r="P218" s="63">
        <v>3.10748284317954</v>
      </c>
      <c r="Q218" s="64">
        <v>3.6668655338591001</v>
      </c>
      <c r="R218" s="62" t="s">
        <v>249</v>
      </c>
      <c r="S218" s="63" t="s">
        <v>249</v>
      </c>
      <c r="T218" s="63" t="s">
        <v>249</v>
      </c>
      <c r="U218" s="64" t="s">
        <v>249</v>
      </c>
      <c r="W218" s="13">
        <v>35.46808</v>
      </c>
      <c r="X218" s="13">
        <v>129.07991000000001</v>
      </c>
      <c r="Y218" s="13">
        <v>105.21</v>
      </c>
      <c r="Z218" s="8">
        <v>1.35695194916441</v>
      </c>
      <c r="AA218" s="8">
        <v>0.61212890338468795</v>
      </c>
      <c r="AB218" s="8">
        <v>3.1071993606099602</v>
      </c>
      <c r="AC218" s="8">
        <v>3.4453894196846599</v>
      </c>
    </row>
    <row r="219">
      <c r="A219" s="55" t="s">
        <v>235</v>
      </c>
      <c r="B219" s="56" t="s">
        <v>11</v>
      </c>
      <c r="C219" s="56" t="s">
        <v>236</v>
      </c>
      <c r="D219" s="56" t="s">
        <v>13</v>
      </c>
      <c r="E219" s="56">
        <v>-3243254.818</v>
      </c>
      <c r="F219" s="56">
        <v>4008470.5049999999</v>
      </c>
      <c r="G219" s="56">
        <v>3743543.6439999999</v>
      </c>
      <c r="H219" s="56">
        <v>-3243253.3598000002</v>
      </c>
      <c r="I219" s="56">
        <v>4008470.6124999998</v>
      </c>
      <c r="J219" s="56">
        <v>3743544.1444999999</v>
      </c>
      <c r="K219" s="56">
        <v>0</v>
      </c>
      <c r="L219" s="56">
        <v>0</v>
      </c>
      <c r="M219" s="56">
        <v>0</v>
      </c>
      <c r="N219" s="57">
        <v>-1.2012306288321499</v>
      </c>
      <c r="O219" s="58">
        <v>0.89599474772386201</v>
      </c>
      <c r="P219" s="58">
        <v>-0.37767992575342102</v>
      </c>
      <c r="Q219" s="59">
        <v>1.54544612908711</v>
      </c>
      <c r="R219" s="57" t="s">
        <v>249</v>
      </c>
      <c r="S219" s="58" t="s">
        <v>249</v>
      </c>
      <c r="T219" s="58" t="s">
        <v>249</v>
      </c>
      <c r="U219" s="59" t="s">
        <v>249</v>
      </c>
      <c r="W219" s="13">
        <v>36.163739999999997</v>
      </c>
      <c r="X219" s="13">
        <v>128.97633332999999</v>
      </c>
      <c r="Y219" s="13">
        <v>1133.1655000000001</v>
      </c>
      <c r="Z219" s="8">
        <v>-1.21090105269987</v>
      </c>
      <c r="AA219" s="8">
        <v>0.65494798723118397</v>
      </c>
      <c r="AB219" s="8">
        <v>-0.37742724950831402</v>
      </c>
      <c r="AC219" s="8">
        <v>1.42747663871576</v>
      </c>
    </row>
    <row r="220">
      <c r="A220" s="14" t="s">
        <v>237</v>
      </c>
      <c r="B220" s="15" t="s">
        <v>11</v>
      </c>
      <c r="C220" s="15" t="s">
        <v>236</v>
      </c>
      <c r="D220" s="15" t="s">
        <v>13</v>
      </c>
      <c r="E220" s="15">
        <v>-3120042.54</v>
      </c>
      <c r="F220" s="15">
        <v>4084614.6269999999</v>
      </c>
      <c r="G220" s="15">
        <v>3764026.7439999999</v>
      </c>
      <c r="H220" s="15">
        <v>-3120042.4901999999</v>
      </c>
      <c r="I220" s="15">
        <v>4084614.5559999999</v>
      </c>
      <c r="J220" s="15">
        <v>3764026.8144999999</v>
      </c>
      <c r="K220" s="15">
        <v>0</v>
      </c>
      <c r="L220" s="15">
        <v>0</v>
      </c>
      <c r="M220" s="15">
        <v>0</v>
      </c>
      <c r="N220" s="24">
        <v>3.5232516474969998E-3</v>
      </c>
      <c r="O220" s="16">
        <v>0.10816586400849799</v>
      </c>
      <c r="P220" s="16">
        <v>-2.7910976402733999E-2</v>
      </c>
      <c r="Q220" s="17">
        <v>0.111764439973681</v>
      </c>
      <c r="R220" s="24">
        <v>-7.5178461414599607E-2</v>
      </c>
      <c r="S220" s="16">
        <v>3.43634739830872E-2</v>
      </c>
      <c r="T220" s="16">
        <v>4.9558391176391103E-3</v>
      </c>
      <c r="U220" s="17">
        <f t="shared" ref="U220:U227" si="3">SQRT(R220^2+S220^2+T220^2)</f>
        <v>8.2808271001227132E-2</v>
      </c>
      <c r="W220" s="13">
        <v>36.399430000000002</v>
      </c>
      <c r="X220" s="13">
        <v>127.37448611000001</v>
      </c>
      <c r="Y220" s="13">
        <v>116.84939</v>
      </c>
      <c r="Z220" s="8">
        <v>-1.3144715971243E-2</v>
      </c>
      <c r="AA220" s="8">
        <v>-0.252094682255248</v>
      </c>
      <c r="AB220" s="8">
        <v>-2.7701480834639001E-2</v>
      </c>
      <c r="AC220" s="8">
        <v>0.253952523948416</v>
      </c>
    </row>
    <row r="221">
      <c r="A221" s="14" t="s">
        <v>238</v>
      </c>
      <c r="B221" s="15" t="s">
        <v>11</v>
      </c>
      <c r="C221" s="15" t="s">
        <v>236</v>
      </c>
      <c r="D221" s="15" t="s">
        <v>13</v>
      </c>
      <c r="E221" s="15">
        <v>-3171944.7880000002</v>
      </c>
      <c r="F221" s="15">
        <v>4292559.8770000003</v>
      </c>
      <c r="G221" s="15">
        <v>3480970.7609999999</v>
      </c>
      <c r="H221" s="15">
        <v>-3171945.1943000001</v>
      </c>
      <c r="I221" s="15">
        <v>4292560.6547999997</v>
      </c>
      <c r="J221" s="15">
        <v>3480971.4838</v>
      </c>
      <c r="K221" s="15">
        <v>0</v>
      </c>
      <c r="L221" s="15">
        <v>0</v>
      </c>
      <c r="M221" s="15">
        <v>0</v>
      </c>
      <c r="N221" s="24">
        <v>-0.13547389321043701</v>
      </c>
      <c r="O221" s="16">
        <v>0.12834369252185099</v>
      </c>
      <c r="P221" s="16">
        <v>1.12145757335539</v>
      </c>
      <c r="Q221" s="17">
        <v>1.1368783435301699</v>
      </c>
      <c r="R221" s="24">
        <v>-7.3818039901204099E-2</v>
      </c>
      <c r="S221" s="16">
        <v>3.7343680316015697E-2</v>
      </c>
      <c r="T221" s="16">
        <v>8.3514316606818507E-3</v>
      </c>
      <c r="U221" s="17">
        <f t="shared" si="3"/>
        <v>8.3146857337987087E-2</v>
      </c>
      <c r="W221" s="13">
        <v>33.288341670000001</v>
      </c>
      <c r="X221" s="13">
        <v>126.46218333</v>
      </c>
      <c r="Y221" s="13">
        <v>430.19589999999999</v>
      </c>
      <c r="Z221" s="8">
        <v>-0.19820389517447901</v>
      </c>
      <c r="AA221" s="8">
        <v>0.12889493306119601</v>
      </c>
      <c r="AB221" s="8">
        <v>1.12170260564094</v>
      </c>
      <c r="AC221" s="8">
        <v>1.1463487354783699</v>
      </c>
    </row>
    <row r="222">
      <c r="A222" s="9" t="s">
        <v>239</v>
      </c>
      <c r="B222" s="10" t="s">
        <v>11</v>
      </c>
      <c r="C222" s="10" t="s">
        <v>236</v>
      </c>
      <c r="D222" s="10" t="s">
        <v>13</v>
      </c>
      <c r="E222" s="10">
        <v>-3206514.6359999999</v>
      </c>
      <c r="F222" s="10">
        <v>4175914.7489999998</v>
      </c>
      <c r="G222" s="10">
        <v>3588087.32</v>
      </c>
      <c r="H222" s="10">
        <v>-3206514.7494000001</v>
      </c>
      <c r="I222" s="10">
        <v>4175914.7877000002</v>
      </c>
      <c r="J222" s="10">
        <v>3588087.3576000002</v>
      </c>
      <c r="K222" s="10">
        <v>0</v>
      </c>
      <c r="L222" s="10">
        <v>0</v>
      </c>
      <c r="M222" s="10">
        <v>0</v>
      </c>
      <c r="N222" s="25">
        <v>6.6373794612859999E-2</v>
      </c>
      <c r="O222" s="11">
        <v>-2.5433206729077E-2</v>
      </c>
      <c r="P222" s="11">
        <v>0.10353106579495</v>
      </c>
      <c r="Q222" s="12">
        <v>0.125582682725256</v>
      </c>
      <c r="R222" s="25" t="s">
        <v>249</v>
      </c>
      <c r="S222" s="11" t="s">
        <v>249</v>
      </c>
      <c r="T222" s="11" t="s">
        <v>249</v>
      </c>
      <c r="U222" s="12" t="s">
        <v>249</v>
      </c>
      <c r="W222" s="13">
        <v>34.453777780000003</v>
      </c>
      <c r="X222" s="13">
        <v>127.51918889</v>
      </c>
      <c r="Y222" s="13">
        <v>39.617040000000003</v>
      </c>
      <c r="Z222" s="8">
        <v>4.3184471530865999E-2</v>
      </c>
      <c r="AA222" s="8">
        <v>-0.23561820882794099</v>
      </c>
      <c r="AB222" s="8">
        <v>0.10322820560365301</v>
      </c>
      <c r="AC222" s="8">
        <v>0.26083884171042698</v>
      </c>
    </row>
    <row r="223">
      <c r="A223" s="9" t="s">
        <v>240</v>
      </c>
      <c r="B223" s="10" t="s">
        <v>11</v>
      </c>
      <c r="C223" s="10" t="s">
        <v>236</v>
      </c>
      <c r="D223" s="10" t="s">
        <v>13</v>
      </c>
      <c r="E223" s="10">
        <v>-3109396.7710000002</v>
      </c>
      <c r="F223" s="10">
        <v>4220348.4579999996</v>
      </c>
      <c r="G223" s="10">
        <v>3621241.0830000001</v>
      </c>
      <c r="H223" s="10">
        <v>-3109396.8719000001</v>
      </c>
      <c r="I223" s="10">
        <v>4220348.6545000002</v>
      </c>
      <c r="J223" s="10">
        <v>3621241.3972</v>
      </c>
      <c r="K223" s="10">
        <v>0</v>
      </c>
      <c r="L223" s="10">
        <v>0</v>
      </c>
      <c r="M223" s="10">
        <v>0</v>
      </c>
      <c r="N223" s="25">
        <v>-3.5322302469730997E-2</v>
      </c>
      <c r="O223" s="11">
        <v>0.13345612894446901</v>
      </c>
      <c r="P223" s="11">
        <v>0.35840828112506101</v>
      </c>
      <c r="Q223" s="12">
        <v>0.38407642388413599</v>
      </c>
      <c r="R223" s="25" t="s">
        <v>249</v>
      </c>
      <c r="S223" s="11" t="s">
        <v>249</v>
      </c>
      <c r="T223" s="11" t="s">
        <v>249</v>
      </c>
      <c r="U223" s="12" t="s">
        <v>249</v>
      </c>
      <c r="W223" s="13">
        <v>34.816850000000002</v>
      </c>
      <c r="X223" s="13">
        <v>126.38141666999999</v>
      </c>
      <c r="Y223" s="13">
        <v>64.399450000000002</v>
      </c>
      <c r="Z223" s="8">
        <v>-0.117242653013534</v>
      </c>
      <c r="AA223" s="8">
        <v>2.3726084779910998E-2</v>
      </c>
      <c r="AB223" s="8">
        <v>0.35893250918393599</v>
      </c>
      <c r="AC223" s="8">
        <v>0.37834020792629502</v>
      </c>
    </row>
    <row r="224">
      <c r="A224" s="14" t="s">
        <v>241</v>
      </c>
      <c r="B224" s="15" t="s">
        <v>11</v>
      </c>
      <c r="C224" s="15" t="s">
        <v>236</v>
      </c>
      <c r="D224" s="15" t="s">
        <v>13</v>
      </c>
      <c r="E224" s="15">
        <v>-3253751.0040000002</v>
      </c>
      <c r="F224" s="15">
        <v>4054962.9640000002</v>
      </c>
      <c r="G224" s="15">
        <v>3682413.1869999999</v>
      </c>
      <c r="H224" s="15">
        <v>-3253751.6316</v>
      </c>
      <c r="I224" s="15">
        <v>4054963.5888</v>
      </c>
      <c r="J224" s="15">
        <v>3682413.3870999999</v>
      </c>
      <c r="K224" s="15">
        <v>0</v>
      </c>
      <c r="L224" s="15">
        <v>0</v>
      </c>
      <c r="M224" s="15">
        <v>0</v>
      </c>
      <c r="N224" s="24">
        <v>9.8471040112174002E-2</v>
      </c>
      <c r="O224" s="16">
        <v>-0.34804153518664899</v>
      </c>
      <c r="P224" s="16">
        <v>0.832746872116783</v>
      </c>
      <c r="Q224" s="17">
        <v>0.90790792979031698</v>
      </c>
      <c r="R224" s="24">
        <v>-7.3944429518246799E-2</v>
      </c>
      <c r="S224" s="16">
        <v>3.2557999167748597E-2</v>
      </c>
      <c r="T224" s="16">
        <v>6.8744667194293799E-3</v>
      </c>
      <c r="U224" s="17">
        <f t="shared" si="3"/>
        <v>8.1086745274814367E-2</v>
      </c>
      <c r="W224" s="13">
        <v>35.491370000000003</v>
      </c>
      <c r="X224" s="13">
        <v>128.74397777999999</v>
      </c>
      <c r="Y224" s="13">
        <v>42.614989999999999</v>
      </c>
      <c r="Z224" s="8">
        <v>-2.5230417846498002E-2</v>
      </c>
      <c r="AA224" s="8">
        <v>-0.32221525415638702</v>
      </c>
      <c r="AB224" s="8">
        <v>0.83277047771714496</v>
      </c>
      <c r="AC224" s="8">
        <v>0.89328937783509799</v>
      </c>
    </row>
    <row r="225">
      <c r="A225" s="9" t="s">
        <v>242</v>
      </c>
      <c r="B225" s="10" t="s">
        <v>11</v>
      </c>
      <c r="C225" s="10" t="s">
        <v>236</v>
      </c>
      <c r="D225" s="10" t="s">
        <v>13</v>
      </c>
      <c r="E225" s="10">
        <v>-3175230.1320000002</v>
      </c>
      <c r="F225" s="10">
        <v>3997975.4709999999</v>
      </c>
      <c r="G225" s="10">
        <v>3812384.281</v>
      </c>
      <c r="H225" s="10">
        <v>-3175229.9446</v>
      </c>
      <c r="I225" s="10">
        <v>3997975.2511</v>
      </c>
      <c r="J225" s="10">
        <v>3812384.2741999999</v>
      </c>
      <c r="K225" s="10">
        <v>0</v>
      </c>
      <c r="L225" s="10">
        <v>0</v>
      </c>
      <c r="M225" s="10">
        <v>0</v>
      </c>
      <c r="N225" s="25">
        <v>-9.9868246897890003E-3</v>
      </c>
      <c r="O225" s="11">
        <v>0.168072253752234</v>
      </c>
      <c r="P225" s="11">
        <v>-0.23488931494312501</v>
      </c>
      <c r="Q225" s="12">
        <v>0.28900001630309702</v>
      </c>
      <c r="R225" s="25" t="s">
        <v>249</v>
      </c>
      <c r="S225" s="11" t="s">
        <v>249</v>
      </c>
      <c r="T225" s="11" t="s">
        <v>249</v>
      </c>
      <c r="U225" s="12" t="s">
        <v>249</v>
      </c>
      <c r="W225" s="13">
        <v>36.934230560000003</v>
      </c>
      <c r="X225" s="13">
        <v>128.45693610999999</v>
      </c>
      <c r="Y225" s="13">
        <v>1369.30619</v>
      </c>
      <c r="Z225" s="8">
        <v>5.3701832032495997E-2</v>
      </c>
      <c r="AA225" s="8">
        <v>0.15046663268999799</v>
      </c>
      <c r="AB225" s="8">
        <v>-0.235591005587791</v>
      </c>
      <c r="AC225" s="8">
        <v>0.28465279944272398</v>
      </c>
    </row>
    <row r="226">
      <c r="A226" s="14" t="s">
        <v>243</v>
      </c>
      <c r="B226" s="15" t="s">
        <v>11</v>
      </c>
      <c r="C226" s="15" t="s">
        <v>236</v>
      </c>
      <c r="D226" s="15" t="s">
        <v>13</v>
      </c>
      <c r="E226" s="15">
        <v>-3126511.514</v>
      </c>
      <c r="F226" s="15">
        <v>3921457.9330000002</v>
      </c>
      <c r="G226" s="15">
        <v>3927385.9870000002</v>
      </c>
      <c r="H226" s="15">
        <v>-3126510.7305999999</v>
      </c>
      <c r="I226" s="15">
        <v>3921456.7584000002</v>
      </c>
      <c r="J226" s="15">
        <v>3927385.5630999999</v>
      </c>
      <c r="K226" s="15">
        <v>0</v>
      </c>
      <c r="L226" s="15">
        <v>0</v>
      </c>
      <c r="M226" s="15">
        <v>0</v>
      </c>
      <c r="N226" s="24">
        <v>0.11970055171494901</v>
      </c>
      <c r="O226" s="16">
        <v>0.53806543104486304</v>
      </c>
      <c r="P226" s="16">
        <v>-1.36720492123128</v>
      </c>
      <c r="Q226" s="17">
        <v>1.47414108103851</v>
      </c>
      <c r="R226" s="24">
        <v>-7.4270995824297706E-2</v>
      </c>
      <c r="S226" s="16">
        <v>3.5339765887584099E-2</v>
      </c>
      <c r="T226" s="16">
        <v>7.99126638056139E-3</v>
      </c>
      <c r="U226" s="17">
        <f t="shared" si="3"/>
        <v>8.2637402016805875E-2</v>
      </c>
      <c r="W226" s="13">
        <v>38.250959999999999</v>
      </c>
      <c r="X226" s="13">
        <v>128.56475832999999</v>
      </c>
      <c r="Y226" s="13">
        <v>46.043689999999998</v>
      </c>
      <c r="Z226" s="8">
        <v>8.7762961433217004E-2</v>
      </c>
      <c r="AA226" s="8">
        <v>0.66615654848460104</v>
      </c>
      <c r="AB226" s="8">
        <v>-1.36774025949379</v>
      </c>
      <c r="AC226" s="8">
        <v>1.52387017226816</v>
      </c>
    </row>
    <row r="227" ht="16" thickBot="true">
      <c r="A227" s="50" t="s">
        <v>244</v>
      </c>
      <c r="B227" s="51" t="s">
        <v>11</v>
      </c>
      <c r="C227" s="51" t="s">
        <v>236</v>
      </c>
      <c r="D227" s="51" t="s">
        <v>13</v>
      </c>
      <c r="E227" s="51">
        <v>-3043537.1570000001</v>
      </c>
      <c r="F227" s="51">
        <v>4050958.7749999999</v>
      </c>
      <c r="G227" s="51">
        <v>3861031.5660000001</v>
      </c>
      <c r="H227" s="51">
        <v>-3043537.0921999998</v>
      </c>
      <c r="I227" s="51">
        <v>4050959.0348999999</v>
      </c>
      <c r="J227" s="51">
        <v>3861032.1348999999</v>
      </c>
      <c r="K227" s="51">
        <v>0</v>
      </c>
      <c r="L227" s="51">
        <v>0</v>
      </c>
      <c r="M227" s="51">
        <v>0</v>
      </c>
      <c r="N227" s="52">
        <v>-0.20792186420698999</v>
      </c>
      <c r="O227" s="53">
        <v>0.34859419571760902</v>
      </c>
      <c r="P227" s="53">
        <v>0.48025497969977599</v>
      </c>
      <c r="Q227" s="54">
        <v>0.62880383302723997</v>
      </c>
      <c r="R227" s="52">
        <v>2.54378234054254E-2</v>
      </c>
      <c r="S227" s="53">
        <v>-4.2016675862520097E-3</v>
      </c>
      <c r="T227" s="53">
        <v>5.5359940168240199E-5</v>
      </c>
      <c r="U227" s="54">
        <f t="shared" si="3"/>
        <v>2.5782550976075746E-2</v>
      </c>
      <c r="W227" s="13">
        <v>37.493524999999998</v>
      </c>
      <c r="X227" s="13">
        <v>126.91800556</v>
      </c>
      <c r="Y227" s="13">
        <v>61.702010000000001</v>
      </c>
      <c r="Z227" s="8">
        <v>-0.118857102720799</v>
      </c>
      <c r="AA227" s="8">
        <v>0.43883128859021298</v>
      </c>
      <c r="AB227" s="8">
        <v>0.48028113968807701</v>
      </c>
      <c r="AC227" s="8">
        <v>0.66133946189004</v>
      </c>
    </row>
  </sheetData>
  <mergeCells count="3">
    <mergeCell ref="Z1:AC1"/>
    <mergeCell ref="N1:Q1"/>
    <mergeCell ref="R1:U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3520-567A-194C-9E65-0CF422CDFF08}">
  <dimension ref="B3:H8"/>
  <sheetViews>
    <sheetView tabSelected="1" workbookViewId="0">
      <selection activeCell="F3" sqref="F3:H8"/>
    </sheetView>
  </sheetViews>
  <sheetFormatPr baseColWidth="10" defaultRowHeight="15"/>
  <sheetData>
    <row r="3" spans="2:8">
      <c r="B3" s="14" t="s">
        <v>19</v>
      </c>
      <c r="C3" s="15"/>
      <c r="D3" s="15"/>
      <c r="E3" s="15"/>
      <c r="F3" s="15">
        <v>-3297091.8709999998</v>
      </c>
      <c r="G3" s="15">
        <v>4040601.466</v>
      </c>
      <c r="H3" s="15">
        <v>3659769.5240000002</v>
      </c>
    </row>
    <row r="4" spans="2:8">
      <c r="B4" s="14" t="s">
        <v>20</v>
      </c>
      <c r="C4" s="15"/>
      <c r="D4" s="15"/>
      <c r="E4" s="15"/>
      <c r="F4" s="15">
        <v>-3132008.7069999999</v>
      </c>
      <c r="G4" s="15">
        <v>4040623.7340000002</v>
      </c>
      <c r="H4" s="15">
        <v>3801205.219</v>
      </c>
    </row>
    <row r="5" spans="2:8">
      <c r="B5" s="9" t="s">
        <v>21</v>
      </c>
      <c r="C5" s="10"/>
      <c r="D5" s="10"/>
      <c r="E5" s="10"/>
      <c r="F5" s="10">
        <v>-3183644.767</v>
      </c>
      <c r="G5" s="10">
        <v>4180751.773</v>
      </c>
      <c r="H5" s="10">
        <v>3602743.2889999999</v>
      </c>
    </row>
    <row r="6" spans="2:8">
      <c r="B6" s="9" t="s">
        <v>26</v>
      </c>
      <c r="C6" s="10"/>
      <c r="D6" s="10"/>
      <c r="E6" s="10"/>
      <c r="F6" s="10">
        <v>-3049045.2969999998</v>
      </c>
      <c r="G6" s="10">
        <v>4071455.9339999999</v>
      </c>
      <c r="H6" s="10">
        <v>3835250.9879999999</v>
      </c>
    </row>
    <row r="7" spans="2:8">
      <c r="B7" s="14" t="s">
        <v>33</v>
      </c>
      <c r="C7" s="15"/>
      <c r="D7" s="15"/>
      <c r="E7" s="15"/>
      <c r="F7" s="15">
        <v>-3152145.2050000001</v>
      </c>
      <c r="G7" s="15">
        <v>3978050.2549999999</v>
      </c>
      <c r="H7" s="15">
        <v>3850200.8909999998</v>
      </c>
    </row>
    <row r="8" spans="2:8" ht="16" thickBot="1">
      <c r="B8" s="60" t="s">
        <v>43</v>
      </c>
      <c r="C8" s="61"/>
      <c r="D8" s="61"/>
      <c r="E8" s="61"/>
      <c r="F8" s="61">
        <v>-3191448.54</v>
      </c>
      <c r="G8" s="61">
        <v>3994642.3250000002</v>
      </c>
      <c r="H8" s="61">
        <v>3800403.6630000002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FED60-9C7E-9747-8401-3AE71EFF759F}">
  <dimension ref="A1:U136"/>
  <sheetViews>
    <sheetView topLeftCell="A30" workbookViewId="0">
      <selection activeCell="M29" sqref="M29:M31"/>
    </sheetView>
  </sheetViews>
  <sheetFormatPr baseColWidth="10" defaultRowHeight="15"/>
  <cols>
    <col min="2" max="2" width="19.1640625" bestFit="1" customWidth="1"/>
    <col min="3" max="3" width="7.33203125" bestFit="1" customWidth="1"/>
  </cols>
  <sheetData>
    <row r="1" spans="1:14" ht="20" thickBot="1">
      <c r="D1" s="98" t="s">
        <v>261</v>
      </c>
      <c r="E1" s="99"/>
      <c r="F1" s="99"/>
      <c r="G1" s="99"/>
      <c r="H1" s="99" t="s">
        <v>262</v>
      </c>
      <c r="I1" s="99"/>
      <c r="J1" s="99"/>
      <c r="K1" s="100"/>
    </row>
    <row r="2" spans="1:14" ht="18" thickBot="1">
      <c r="A2" s="86" t="s">
        <v>1</v>
      </c>
      <c r="B2" s="92" t="s">
        <v>263</v>
      </c>
      <c r="C2" s="87" t="s">
        <v>0</v>
      </c>
      <c r="D2" s="90" t="s">
        <v>250</v>
      </c>
      <c r="E2" s="88" t="s">
        <v>252</v>
      </c>
      <c r="F2" s="88" t="s">
        <v>251</v>
      </c>
      <c r="G2" s="88" t="s">
        <v>253</v>
      </c>
      <c r="H2" s="88" t="s">
        <v>258</v>
      </c>
      <c r="I2" s="88" t="s">
        <v>259</v>
      </c>
      <c r="J2" s="88" t="s">
        <v>260</v>
      </c>
      <c r="K2" s="89" t="s">
        <v>253</v>
      </c>
      <c r="M2">
        <v>103</v>
      </c>
      <c r="N2">
        <v>123</v>
      </c>
    </row>
    <row r="3" spans="1:14">
      <c r="A3" s="5" t="s">
        <v>11</v>
      </c>
      <c r="B3" s="93" t="s">
        <v>70</v>
      </c>
      <c r="C3" s="6" t="s">
        <v>69</v>
      </c>
      <c r="D3" s="43">
        <v>8.31976860580262E-4</v>
      </c>
      <c r="E3" s="43">
        <v>3.76703208535236E-4</v>
      </c>
      <c r="F3" s="43">
        <v>-5.0587139218808796E-4</v>
      </c>
      <c r="G3" s="43">
        <v>1.044029055772E-3</v>
      </c>
      <c r="H3" s="43">
        <v>8.3197686058026298E-4</v>
      </c>
      <c r="I3" s="43">
        <v>4.56908480627632E-4</v>
      </c>
      <c r="J3" s="43">
        <v>-4.4614557292805499E-4</v>
      </c>
      <c r="K3" s="44">
        <f t="shared" ref="K3:K7" si="0">SQRT(H3^2+I3^2+J3^2)</f>
        <v>1.0488072885205099E-3</v>
      </c>
      <c r="N3">
        <v>226</v>
      </c>
    </row>
    <row r="4" spans="1:14">
      <c r="A4" s="7" t="s">
        <v>11</v>
      </c>
      <c r="B4" s="94" t="s">
        <v>70</v>
      </c>
      <c r="C4" t="s">
        <v>71</v>
      </c>
      <c r="D4" s="8">
        <v>-7.1342984798385305E-5</v>
      </c>
      <c r="E4" s="8">
        <v>6.5710808500242101E-4</v>
      </c>
      <c r="F4" s="8">
        <v>-2.0764846470006299E-4</v>
      </c>
      <c r="G4" s="8">
        <v>6.92819414961637E-4</v>
      </c>
      <c r="H4" s="8">
        <v>-7.1342984798385305E-5</v>
      </c>
      <c r="I4" s="8">
        <v>6.5710808500242101E-4</v>
      </c>
      <c r="J4" s="8">
        <v>-2.0764846470006299E-4</v>
      </c>
      <c r="K4" s="45">
        <f t="shared" si="0"/>
        <v>6.9281941496163689E-4</v>
      </c>
    </row>
    <row r="5" spans="1:14">
      <c r="A5" s="7" t="s">
        <v>11</v>
      </c>
      <c r="B5" s="94" t="s">
        <v>70</v>
      </c>
      <c r="C5" t="s">
        <v>72</v>
      </c>
      <c r="D5" s="8">
        <v>6.1172778993212699E-5</v>
      </c>
      <c r="E5" s="8">
        <v>4.8695086799935499E-5</v>
      </c>
      <c r="F5" s="8">
        <v>-6.2340727168630502E-5</v>
      </c>
      <c r="G5" s="8">
        <v>9.9998433148321505E-5</v>
      </c>
      <c r="H5" s="8">
        <v>-4.8621432016613998E-10</v>
      </c>
      <c r="I5" s="8">
        <v>-1.5895893476584699E-9</v>
      </c>
      <c r="J5" s="8">
        <v>5.2207990158164004E-10</v>
      </c>
      <c r="K5" s="45">
        <f t="shared" si="0"/>
        <v>1.7423449953896606E-9</v>
      </c>
    </row>
    <row r="6" spans="1:14">
      <c r="A6" s="7" t="s">
        <v>11</v>
      </c>
      <c r="B6" s="94" t="s">
        <v>70</v>
      </c>
      <c r="C6" t="s">
        <v>73</v>
      </c>
      <c r="D6" s="8">
        <v>-9.9998836076504506E-4</v>
      </c>
      <c r="E6" s="8">
        <v>4.1142475759151401E-4</v>
      </c>
      <c r="F6" s="8">
        <v>2.8416725471392703E-4</v>
      </c>
      <c r="G6" s="8">
        <v>1.1180331307600001E-3</v>
      </c>
      <c r="H6" s="8">
        <v>-9.9998836076504506E-4</v>
      </c>
      <c r="I6" s="8">
        <v>4.9423284397303701E-4</v>
      </c>
      <c r="J6" s="8">
        <v>3.4022864951933402E-4</v>
      </c>
      <c r="K6" s="45">
        <f t="shared" si="0"/>
        <v>1.1661896756878737E-3</v>
      </c>
    </row>
    <row r="7" spans="1:14">
      <c r="A7" s="7" t="s">
        <v>11</v>
      </c>
      <c r="B7" s="94" t="s">
        <v>70</v>
      </c>
      <c r="C7" t="s">
        <v>74</v>
      </c>
      <c r="D7" s="8">
        <v>6.0841737063639504E-4</v>
      </c>
      <c r="E7" s="8">
        <v>6.3855916172514599E-4</v>
      </c>
      <c r="F7" s="8">
        <v>-1.79075219966204E-4</v>
      </c>
      <c r="G7" s="8">
        <v>8.9999857462174304E-4</v>
      </c>
      <c r="H7" s="8">
        <v>6.8288350873380195E-4</v>
      </c>
      <c r="I7" s="8">
        <v>6.7778066668266199E-4</v>
      </c>
      <c r="J7" s="8">
        <v>-6.5424879551015695E-5</v>
      </c>
      <c r="K7" s="45">
        <f t="shared" si="0"/>
        <v>9.6436348618850513E-4</v>
      </c>
    </row>
    <row r="8" spans="1:14">
      <c r="A8" s="7" t="s">
        <v>11</v>
      </c>
      <c r="B8" s="94" t="s">
        <v>70</v>
      </c>
      <c r="C8" t="s">
        <v>76</v>
      </c>
      <c r="D8" s="8">
        <v>-3.5380175036715898E-4</v>
      </c>
      <c r="E8" s="8">
        <v>9.1945313534232099E-4</v>
      </c>
      <c r="F8" s="8">
        <v>-4.11618431314677E-4</v>
      </c>
      <c r="G8" s="8">
        <v>1.067707581528E-3</v>
      </c>
      <c r="H8" s="8">
        <v>-4.1253565956606898E-4</v>
      </c>
      <c r="I8" s="8">
        <v>8.7173842177231298E-4</v>
      </c>
      <c r="J8" s="8">
        <v>-3.4624565376524503E-4</v>
      </c>
      <c r="K8" s="45">
        <f t="shared" ref="K8:K39" si="1">SQRT(H8^2+I8^2+J8^2)</f>
        <v>1.0246948810055687E-3</v>
      </c>
    </row>
    <row r="9" spans="1:14">
      <c r="A9" s="7" t="s">
        <v>11</v>
      </c>
      <c r="B9" s="94" t="s">
        <v>70</v>
      </c>
      <c r="C9" t="s">
        <v>78</v>
      </c>
      <c r="D9" s="8">
        <v>6.5407983032576096E-4</v>
      </c>
      <c r="E9" s="8">
        <v>-1.291302154932E-3</v>
      </c>
      <c r="F9" s="8">
        <v>2.9106915233146702E-4</v>
      </c>
      <c r="G9" s="8">
        <v>1.4764832986559999E-3</v>
      </c>
      <c r="H9" s="8">
        <v>7.3493744463442895E-4</v>
      </c>
      <c r="I9" s="8">
        <v>-1.3245955447670199E-3</v>
      </c>
      <c r="J9" s="8">
        <v>3.3958268062013198E-4</v>
      </c>
      <c r="K9" s="45">
        <f t="shared" si="1"/>
        <v>1.5524183719988556E-3</v>
      </c>
    </row>
    <row r="10" spans="1:14">
      <c r="A10" s="7" t="s">
        <v>11</v>
      </c>
      <c r="B10" s="94" t="s">
        <v>70</v>
      </c>
      <c r="C10" t="s">
        <v>79</v>
      </c>
      <c r="D10" s="8">
        <v>2.30674478784143E-4</v>
      </c>
      <c r="E10" s="8">
        <v>-2.3189446299510001E-3</v>
      </c>
      <c r="F10" s="8">
        <v>-1.3888959861720499E-4</v>
      </c>
      <c r="G10" s="8">
        <v>2.3345246266740002E-3</v>
      </c>
      <c r="H10" s="8">
        <v>1.7004478670637401E-4</v>
      </c>
      <c r="I10" s="8">
        <v>-2.2805262999034599E-3</v>
      </c>
      <c r="J10" s="8">
        <v>-1.70372108454935E-5</v>
      </c>
      <c r="K10" s="45">
        <f t="shared" si="1"/>
        <v>2.2869205715526668E-3</v>
      </c>
    </row>
    <row r="11" spans="1:14">
      <c r="A11" s="7" t="s">
        <v>11</v>
      </c>
      <c r="B11" s="94" t="s">
        <v>70</v>
      </c>
      <c r="C11" t="s">
        <v>82</v>
      </c>
      <c r="D11" s="8">
        <v>1.3148911438482601E-4</v>
      </c>
      <c r="E11" s="8">
        <v>1.4309486030970001E-3</v>
      </c>
      <c r="F11" s="8">
        <v>2.7403760454135402E-4</v>
      </c>
      <c r="G11" s="8">
        <v>1.462873849862E-3</v>
      </c>
      <c r="H11" s="8">
        <v>2.10430633661873E-4</v>
      </c>
      <c r="I11" s="8">
        <v>1.4725682470785599E-3</v>
      </c>
      <c r="J11" s="8">
        <v>3.8374619043983097E-4</v>
      </c>
      <c r="K11" s="45">
        <f t="shared" si="1"/>
        <v>1.5362289648891676E-3</v>
      </c>
    </row>
    <row r="12" spans="1:14">
      <c r="A12" s="7" t="s">
        <v>11</v>
      </c>
      <c r="B12" s="94" t="s">
        <v>70</v>
      </c>
      <c r="C12" t="s">
        <v>83</v>
      </c>
      <c r="D12" s="8">
        <v>-1.3264683494940001E-3</v>
      </c>
      <c r="E12" s="8">
        <v>-2.9644061181495197E-4</v>
      </c>
      <c r="F12" s="8">
        <v>5.10712068475933E-5</v>
      </c>
      <c r="G12" s="8">
        <v>1.360148369374E-3</v>
      </c>
      <c r="H12" s="8">
        <v>-1.2480977753485799E-3</v>
      </c>
      <c r="I12" s="8">
        <v>-2.5694693262529598E-4</v>
      </c>
      <c r="J12" s="8">
        <v>1.61968611970253E-4</v>
      </c>
      <c r="K12" s="45">
        <f t="shared" si="1"/>
        <v>1.2845246647220103E-3</v>
      </c>
    </row>
    <row r="13" spans="1:14">
      <c r="A13" s="7" t="s">
        <v>11</v>
      </c>
      <c r="B13" s="94" t="s">
        <v>70</v>
      </c>
      <c r="C13" t="s">
        <v>84</v>
      </c>
      <c r="D13" s="8">
        <v>-1.0417728124080001E-3</v>
      </c>
      <c r="E13" s="8">
        <v>4.9073632473476997E-4</v>
      </c>
      <c r="F13" s="8">
        <v>-1.0274429279209E-2</v>
      </c>
      <c r="G13" s="8">
        <v>1.0338762486224E-2</v>
      </c>
      <c r="H13" s="8">
        <v>-1.02804284836185E-3</v>
      </c>
      <c r="I13" s="8">
        <v>4.8571767788220597E-4</v>
      </c>
      <c r="J13" s="8">
        <v>-1.0101841951714E-2</v>
      </c>
      <c r="K13" s="45">
        <f t="shared" si="1"/>
        <v>1.0165628587455089E-2</v>
      </c>
    </row>
    <row r="14" spans="1:14">
      <c r="A14" s="7" t="s">
        <v>11</v>
      </c>
      <c r="B14" s="94" t="s">
        <v>70</v>
      </c>
      <c r="C14" t="s">
        <v>85</v>
      </c>
      <c r="D14" s="8">
        <v>-1.5579409289781E-4</v>
      </c>
      <c r="E14" s="8">
        <v>4.7158892726048899E-4</v>
      </c>
      <c r="F14" s="8">
        <v>2.08163917685078E-4</v>
      </c>
      <c r="G14" s="8">
        <v>5.3851660357184003E-4</v>
      </c>
      <c r="H14" s="8">
        <v>-1.5579409289781E-4</v>
      </c>
      <c r="I14" s="8">
        <v>5.5049989603992203E-4</v>
      </c>
      <c r="J14" s="8">
        <v>2.69589630249027E-4</v>
      </c>
      <c r="K14" s="45">
        <f t="shared" si="1"/>
        <v>6.3245593021144441E-4</v>
      </c>
    </row>
    <row r="15" spans="1:14">
      <c r="A15" s="7" t="s">
        <v>11</v>
      </c>
      <c r="B15" s="94" t="s">
        <v>70</v>
      </c>
      <c r="C15" t="s">
        <v>86</v>
      </c>
      <c r="D15" s="8">
        <v>8.27714425990354E-4</v>
      </c>
      <c r="E15" s="8">
        <v>-1.404647986873E-3</v>
      </c>
      <c r="F15" s="8">
        <v>-4.3063230299041303E-5</v>
      </c>
      <c r="G15" s="8">
        <v>1.6309511273559999E-3</v>
      </c>
      <c r="H15" s="8">
        <v>8.2771442599035498E-4</v>
      </c>
      <c r="I15" s="8">
        <v>-1.40464798687307E-3</v>
      </c>
      <c r="J15" s="8">
        <v>-4.3063230299041303E-5</v>
      </c>
      <c r="K15" s="45">
        <f t="shared" si="1"/>
        <v>1.6309511273557215E-3</v>
      </c>
    </row>
    <row r="16" spans="1:14">
      <c r="A16" s="7" t="s">
        <v>11</v>
      </c>
      <c r="B16" s="94" t="s">
        <v>70</v>
      </c>
      <c r="C16" t="s">
        <v>87</v>
      </c>
      <c r="D16" s="8">
        <v>8.3395793460245399E-4</v>
      </c>
      <c r="E16" s="8">
        <v>7.7316673462721002E-4</v>
      </c>
      <c r="F16" s="8">
        <v>-2.1617269552061901E-4</v>
      </c>
      <c r="G16" s="8">
        <v>1.157585102923E-3</v>
      </c>
      <c r="H16" s="8">
        <v>9.1453508272363703E-4</v>
      </c>
      <c r="I16" s="8">
        <v>8.1952260940661495E-4</v>
      </c>
      <c r="J16" s="8">
        <v>-1.0959695660760101E-4</v>
      </c>
      <c r="K16" s="45">
        <f t="shared" si="1"/>
        <v>1.2328841055665391E-3</v>
      </c>
    </row>
    <row r="17" spans="1:13">
      <c r="A17" s="7" t="s">
        <v>11</v>
      </c>
      <c r="B17" s="94" t="s">
        <v>70</v>
      </c>
      <c r="C17" t="s">
        <v>88</v>
      </c>
      <c r="D17" s="8">
        <v>-1.5550655788060001E-3</v>
      </c>
      <c r="E17" s="8">
        <v>-2.567151971067E-3</v>
      </c>
      <c r="F17" s="8">
        <v>-3.76163566104293E-4</v>
      </c>
      <c r="G17" s="8">
        <v>3.0248962338240001E-3</v>
      </c>
      <c r="H17" s="8">
        <v>-1.5368096753116201E-3</v>
      </c>
      <c r="I17" s="8">
        <v>-2.5683899505673001E-3</v>
      </c>
      <c r="J17" s="8">
        <v>-2.0392800801453601E-4</v>
      </c>
      <c r="K17" s="45">
        <f t="shared" si="1"/>
        <v>2.9999995914598526E-3</v>
      </c>
    </row>
    <row r="18" spans="1:13">
      <c r="A18" s="7" t="s">
        <v>11</v>
      </c>
      <c r="B18" s="94" t="s">
        <v>70</v>
      </c>
      <c r="C18" t="s">
        <v>89</v>
      </c>
      <c r="D18" s="8">
        <v>5.50228757135628E-4</v>
      </c>
      <c r="E18" s="8">
        <v>-1.70652476670637E-5</v>
      </c>
      <c r="F18" s="8">
        <v>5.2626676207300003E-4</v>
      </c>
      <c r="G18" s="8">
        <v>7.61577056324411E-4</v>
      </c>
      <c r="H18" s="8">
        <v>6.2883284296350202E-4</v>
      </c>
      <c r="I18" s="8">
        <v>-5.3913803332196198E-5</v>
      </c>
      <c r="J18" s="8">
        <v>5.7590090014287296E-4</v>
      </c>
      <c r="K18" s="45">
        <f t="shared" si="1"/>
        <v>8.5439995866378317E-4</v>
      </c>
    </row>
    <row r="19" spans="1:13">
      <c r="A19" s="7" t="s">
        <v>11</v>
      </c>
      <c r="B19" s="94" t="s">
        <v>70</v>
      </c>
      <c r="C19" t="s">
        <v>90</v>
      </c>
      <c r="D19" s="8">
        <v>-1.8172338971389999E-3</v>
      </c>
      <c r="E19" s="8">
        <v>-2.8303346308500002E-3</v>
      </c>
      <c r="F19" s="8">
        <v>-3.6995623237389899E-4</v>
      </c>
      <c r="G19" s="8">
        <v>3.3837849774139999E-3</v>
      </c>
      <c r="H19" s="8">
        <v>-1.73798435191101E-3</v>
      </c>
      <c r="I19" s="8">
        <v>-2.8664428514166601E-3</v>
      </c>
      <c r="J19" s="8">
        <v>-3.2080579853621498E-4</v>
      </c>
      <c r="K19" s="45">
        <f t="shared" si="1"/>
        <v>3.3674917354463789E-3</v>
      </c>
    </row>
    <row r="20" spans="1:13">
      <c r="A20" s="7" t="s">
        <v>11</v>
      </c>
      <c r="B20" s="94" t="s">
        <v>70</v>
      </c>
      <c r="C20" t="s">
        <v>91</v>
      </c>
      <c r="D20" s="8">
        <v>3.6324829553696202E-4</v>
      </c>
      <c r="E20" s="8">
        <v>-9.5004631531969903E-4</v>
      </c>
      <c r="F20" s="8">
        <v>-7.3912466666222097E-5</v>
      </c>
      <c r="G20" s="8">
        <v>1.019804088142E-3</v>
      </c>
      <c r="H20" s="8">
        <v>4.4362215052901998E-4</v>
      </c>
      <c r="I20" s="8">
        <v>-9.0666372429165003E-4</v>
      </c>
      <c r="J20" s="8">
        <v>3.4059841878549899E-5</v>
      </c>
      <c r="K20" s="45">
        <f t="shared" si="1"/>
        <v>1.0099503919575403E-3</v>
      </c>
    </row>
    <row r="21" spans="1:13">
      <c r="A21" s="7" t="s">
        <v>11</v>
      </c>
      <c r="B21" s="94" t="s">
        <v>70</v>
      </c>
      <c r="C21" t="s">
        <v>92</v>
      </c>
      <c r="D21" s="8">
        <v>2.3289652953701999E-4</v>
      </c>
      <c r="E21" s="8">
        <v>1.16202942996088E-4</v>
      </c>
      <c r="F21" s="8">
        <v>-4.8192993299905998E-4</v>
      </c>
      <c r="G21" s="8">
        <v>5.4772290234371098E-4</v>
      </c>
      <c r="H21" s="8">
        <v>1.7066202680033699E-4</v>
      </c>
      <c r="I21" s="8">
        <v>6.8715836403766798E-5</v>
      </c>
      <c r="J21" s="8">
        <v>-4.1970608385752498E-4</v>
      </c>
      <c r="K21" s="45">
        <f t="shared" si="1"/>
        <v>4.5825821366483763E-4</v>
      </c>
    </row>
    <row r="22" spans="1:13">
      <c r="A22" s="7" t="s">
        <v>11</v>
      </c>
      <c r="B22" s="94" t="s">
        <v>70</v>
      </c>
      <c r="C22" t="s">
        <v>93</v>
      </c>
      <c r="D22" s="8">
        <v>6.5460423429753703E-4</v>
      </c>
      <c r="E22" s="8">
        <v>8.6372316033220405E-4</v>
      </c>
      <c r="F22" s="8">
        <v>8.4585592798416299E-4</v>
      </c>
      <c r="G22" s="8">
        <v>1.3747714908889999E-3</v>
      </c>
      <c r="H22" s="8">
        <v>6.6892458151920605E-4</v>
      </c>
      <c r="I22" s="8">
        <v>7.7819829855944704E-4</v>
      </c>
      <c r="J22" s="8">
        <v>9.5757186622611899E-4</v>
      </c>
      <c r="K22" s="45">
        <f t="shared" si="1"/>
        <v>1.4035656616735947E-3</v>
      </c>
    </row>
    <row r="23" spans="1:13">
      <c r="A23" s="7" t="s">
        <v>11</v>
      </c>
      <c r="B23" s="94" t="s">
        <v>70</v>
      </c>
      <c r="C23" t="s">
        <v>94</v>
      </c>
      <c r="D23" s="8">
        <v>-1.292042564989E-3</v>
      </c>
      <c r="E23" s="8">
        <v>-9.4735152832982805E-4</v>
      </c>
      <c r="F23" s="8">
        <v>-5.6186200962221697E-5</v>
      </c>
      <c r="G23" s="8">
        <v>1.603123762269E-3</v>
      </c>
      <c r="H23" s="8">
        <v>-1.35386036676585E-3</v>
      </c>
      <c r="I23" s="8">
        <v>-9.1251991709387901E-4</v>
      </c>
      <c r="J23" s="8">
        <v>6.6146338833914593E-5</v>
      </c>
      <c r="K23" s="45">
        <f t="shared" si="1"/>
        <v>1.6340152477665295E-3</v>
      </c>
    </row>
    <row r="24" spans="1:13">
      <c r="A24" s="7" t="s">
        <v>11</v>
      </c>
      <c r="B24" s="94" t="s">
        <v>70</v>
      </c>
      <c r="C24" t="s">
        <v>95</v>
      </c>
      <c r="D24" s="8">
        <v>-2.4943188207179298E-4</v>
      </c>
      <c r="E24" s="8">
        <v>1.254962880872E-3</v>
      </c>
      <c r="F24" s="8">
        <v>4.7207292749757698E-4</v>
      </c>
      <c r="G24" s="8">
        <v>1.3638185161660001E-3</v>
      </c>
      <c r="H24" s="8">
        <v>-3.1200794482776799E-4</v>
      </c>
      <c r="I24" s="8">
        <v>1.29258726044344E-3</v>
      </c>
      <c r="J24" s="8">
        <v>5.9318758700338298E-4</v>
      </c>
      <c r="K24" s="45">
        <f t="shared" si="1"/>
        <v>1.4560227666047057E-3</v>
      </c>
    </row>
    <row r="25" spans="1:13">
      <c r="A25" s="7" t="s">
        <v>11</v>
      </c>
      <c r="B25" s="94" t="s">
        <v>70</v>
      </c>
      <c r="C25" t="s">
        <v>96</v>
      </c>
      <c r="D25" s="8">
        <v>-7.8449561298273897E-4</v>
      </c>
      <c r="E25" s="8">
        <v>-1.0496200590810499E-4</v>
      </c>
      <c r="F25" s="8">
        <v>4.6211280741664199E-4</v>
      </c>
      <c r="G25" s="8">
        <v>9.1651439500528705E-4</v>
      </c>
      <c r="H25" s="8">
        <v>-8.4146500490454303E-4</v>
      </c>
      <c r="I25" s="8">
        <v>-1.55289472236151E-4</v>
      </c>
      <c r="J25" s="8">
        <v>5.2708736916781402E-4</v>
      </c>
      <c r="K25" s="45">
        <f t="shared" si="1"/>
        <v>1.0049871986262473E-3</v>
      </c>
    </row>
    <row r="26" spans="1:13">
      <c r="A26" s="7" t="s">
        <v>11</v>
      </c>
      <c r="B26" s="94" t="s">
        <v>70</v>
      </c>
      <c r="C26" t="s">
        <v>98</v>
      </c>
      <c r="D26" s="8">
        <v>8.06394970216447E-4</v>
      </c>
      <c r="E26" s="8">
        <v>1.3617850188015301E-4</v>
      </c>
      <c r="F26" s="8">
        <v>-3.7574361149959098E-4</v>
      </c>
      <c r="G26" s="8">
        <v>9.00000385526286E-4</v>
      </c>
      <c r="H26" s="8">
        <v>7.4510261688857601E-4</v>
      </c>
      <c r="I26" s="8">
        <v>1.7402382555052999E-4</v>
      </c>
      <c r="J26" s="8">
        <v>-2.5404314279509299E-4</v>
      </c>
      <c r="K26" s="45">
        <f t="shared" si="1"/>
        <v>8.0622584922256948E-4</v>
      </c>
    </row>
    <row r="27" spans="1:13">
      <c r="A27" s="7" t="s">
        <v>11</v>
      </c>
      <c r="B27" s="94" t="s">
        <v>70</v>
      </c>
      <c r="C27" t="s">
        <v>99</v>
      </c>
      <c r="D27" s="8">
        <v>-1.079673499421E-3</v>
      </c>
      <c r="E27" s="8">
        <v>-2.4691380657430001E-3</v>
      </c>
      <c r="F27" s="8">
        <v>2.60117113741951E-4</v>
      </c>
      <c r="G27" s="8">
        <v>2.70739700929E-3</v>
      </c>
      <c r="H27" s="8">
        <v>-1.0796734994207499E-3</v>
      </c>
      <c r="I27" s="8">
        <v>-2.38982243415222E-3</v>
      </c>
      <c r="J27" s="8">
        <v>3.21018645830846E-4</v>
      </c>
      <c r="K27" s="45">
        <f t="shared" si="1"/>
        <v>2.6419687929837023E-3</v>
      </c>
    </row>
    <row r="28" spans="1:13">
      <c r="A28" s="7" t="s">
        <v>11</v>
      </c>
      <c r="B28" s="94" t="s">
        <v>70</v>
      </c>
      <c r="C28" t="s">
        <v>100</v>
      </c>
      <c r="D28" s="8">
        <v>1.1591282738179999E-3</v>
      </c>
      <c r="E28" s="8">
        <v>-1.3591263594127099E-4</v>
      </c>
      <c r="F28" s="8">
        <v>-6.7671921644764496E-4</v>
      </c>
      <c r="G28" s="8">
        <v>1.3490735701519999E-3</v>
      </c>
      <c r="H28" s="8">
        <v>1.0961004566405E-3</v>
      </c>
      <c r="I28" s="8">
        <v>-9.8659470038378803E-5</v>
      </c>
      <c r="J28" s="8">
        <v>-5.5572488623825504E-4</v>
      </c>
      <c r="K28" s="45">
        <f t="shared" si="1"/>
        <v>1.232882821382587E-3</v>
      </c>
    </row>
    <row r="29" spans="1:13" ht="18" thickBot="1">
      <c r="A29" s="47" t="s">
        <v>11</v>
      </c>
      <c r="B29" s="95" t="s">
        <v>70</v>
      </c>
      <c r="C29" s="46" t="s">
        <v>101</v>
      </c>
      <c r="D29" s="48">
        <v>-4.5129403350705498E-5</v>
      </c>
      <c r="E29" s="48">
        <v>-1.235417856214E-3</v>
      </c>
      <c r="F29" s="48">
        <v>1.4732958575121999E-4</v>
      </c>
      <c r="G29" s="48">
        <v>1.2449899394520001E-3</v>
      </c>
      <c r="H29" s="48">
        <v>-4.5129403350705498E-5</v>
      </c>
      <c r="I29" s="48">
        <v>-1.1554136014391501E-3</v>
      </c>
      <c r="J29" s="48">
        <v>2.0732362914970299E-4</v>
      </c>
      <c r="K29" s="49">
        <f t="shared" si="1"/>
        <v>1.1747341574335792E-3</v>
      </c>
      <c r="M29" s="97" t="s">
        <v>267</v>
      </c>
    </row>
    <row r="30" spans="1:13" ht="17">
      <c r="A30" s="5" t="s">
        <v>11</v>
      </c>
      <c r="B30" s="93" t="s">
        <v>103</v>
      </c>
      <c r="C30" s="6" t="s">
        <v>104</v>
      </c>
      <c r="D30" s="43">
        <v>0</v>
      </c>
      <c r="E30" s="43">
        <v>-7.48762487729409E-10</v>
      </c>
      <c r="F30" s="43">
        <v>-5.5381989397065697E-10</v>
      </c>
      <c r="G30" s="43">
        <v>9.31322574615478E-10</v>
      </c>
      <c r="H30" s="43">
        <v>9.4620023706625997E-4</v>
      </c>
      <c r="I30" s="43">
        <v>5.6292595522269698E-4</v>
      </c>
      <c r="J30" s="43">
        <v>-8.8421239746089395E-5</v>
      </c>
      <c r="K30" s="44">
        <f t="shared" si="1"/>
        <v>1.1045355744953931E-3</v>
      </c>
      <c r="M30" s="20" t="s">
        <v>265</v>
      </c>
    </row>
    <row r="31" spans="1:13" ht="17">
      <c r="A31" s="7" t="s">
        <v>11</v>
      </c>
      <c r="B31" s="94" t="s">
        <v>103</v>
      </c>
      <c r="C31" t="s">
        <v>105</v>
      </c>
      <c r="D31" s="8">
        <v>-1.2398533304945901E-9</v>
      </c>
      <c r="E31" s="8">
        <v>-1.05330920770405E-10</v>
      </c>
      <c r="F31" s="8">
        <v>9.1482998172295698E-10</v>
      </c>
      <c r="G31" s="8">
        <v>1.5444237693936499E-9</v>
      </c>
      <c r="H31" s="8">
        <v>-1.4993587866653499E-5</v>
      </c>
      <c r="I31" s="8">
        <v>4.5976682062788696E-6</v>
      </c>
      <c r="J31" s="8">
        <v>-1.72492528685104E-4</v>
      </c>
      <c r="K31" s="45">
        <f t="shared" si="1"/>
        <v>1.7320397998380843E-4</v>
      </c>
      <c r="M31" s="20" t="s">
        <v>266</v>
      </c>
    </row>
    <row r="32" spans="1:13">
      <c r="A32" s="7" t="s">
        <v>11</v>
      </c>
      <c r="B32" s="94" t="s">
        <v>103</v>
      </c>
      <c r="C32" t="s">
        <v>106</v>
      </c>
      <c r="D32" s="8">
        <v>-1.80230274035818E-10</v>
      </c>
      <c r="E32" s="8">
        <v>1.1282924425469999E-9</v>
      </c>
      <c r="F32" s="8">
        <v>-8.0376434536884102E-10</v>
      </c>
      <c r="G32" s="8">
        <v>1.3969838619232099E-9</v>
      </c>
      <c r="H32" s="8">
        <v>-7.9721970871366E-5</v>
      </c>
      <c r="I32" s="8">
        <v>3.4535283416984198E-5</v>
      </c>
      <c r="J32" s="8">
        <v>-4.9517340239642403E-5</v>
      </c>
      <c r="K32" s="45">
        <f t="shared" si="1"/>
        <v>1.0000122711604524E-4</v>
      </c>
    </row>
    <row r="33" spans="1:11">
      <c r="A33" s="7" t="s">
        <v>11</v>
      </c>
      <c r="B33" s="94" t="s">
        <v>103</v>
      </c>
      <c r="C33" t="s">
        <v>107</v>
      </c>
      <c r="D33" s="8">
        <v>1.67474212071303E-9</v>
      </c>
      <c r="E33" s="8">
        <v>-4.4039515140960402E-10</v>
      </c>
      <c r="F33" s="8">
        <v>-1.92502006960794E-10</v>
      </c>
      <c r="G33" s="8">
        <v>1.74234499538966E-9</v>
      </c>
      <c r="H33" s="8">
        <v>-7.9061883993114705E-5</v>
      </c>
      <c r="I33" s="8">
        <v>3.7651373411471499E-5</v>
      </c>
      <c r="J33" s="8">
        <v>-4.8283322294644903E-5</v>
      </c>
      <c r="K33" s="45">
        <f t="shared" si="1"/>
        <v>9.99984331483216E-5</v>
      </c>
    </row>
    <row r="34" spans="1:11">
      <c r="A34" s="7" t="s">
        <v>11</v>
      </c>
      <c r="B34" s="94" t="s">
        <v>103</v>
      </c>
      <c r="C34" t="s">
        <v>108</v>
      </c>
      <c r="D34" s="8">
        <v>3.7113291204858199E-10</v>
      </c>
      <c r="E34" s="8">
        <v>-1.68781032568752E-10</v>
      </c>
      <c r="F34" s="8">
        <v>2.2497501891646901E-10</v>
      </c>
      <c r="G34" s="8">
        <v>4.65661287307739E-10</v>
      </c>
      <c r="H34" s="8">
        <v>-2.8019526600173698E-4</v>
      </c>
      <c r="I34" s="8">
        <v>-3.43133556512836E-4</v>
      </c>
      <c r="J34" s="8">
        <v>-2.0916477947274499E-4</v>
      </c>
      <c r="K34" s="45">
        <f t="shared" si="1"/>
        <v>4.8989787677312284E-4</v>
      </c>
    </row>
    <row r="35" spans="1:11">
      <c r="A35" s="7" t="s">
        <v>11</v>
      </c>
      <c r="B35" s="94" t="s">
        <v>103</v>
      </c>
      <c r="C35" t="s">
        <v>109</v>
      </c>
      <c r="D35" s="8">
        <v>-1.12254243125935E-9</v>
      </c>
      <c r="E35" s="8">
        <v>4.59127413687691E-10</v>
      </c>
      <c r="F35" s="8">
        <v>-6.9329965995714399E-10</v>
      </c>
      <c r="G35" s="8">
        <v>1.3969838619232099E-9</v>
      </c>
      <c r="H35" s="8">
        <v>9.0176380095241798E-4</v>
      </c>
      <c r="I35" s="8">
        <v>-7.9313794290526504E-5</v>
      </c>
      <c r="J35" s="8">
        <v>3.00880103081363E-4</v>
      </c>
      <c r="K35" s="45">
        <f t="shared" si="1"/>
        <v>9.5393787381734864E-4</v>
      </c>
    </row>
    <row r="36" spans="1:11">
      <c r="A36" s="7" t="s">
        <v>11</v>
      </c>
      <c r="B36" s="94" t="s">
        <v>103</v>
      </c>
      <c r="C36" t="s">
        <v>110</v>
      </c>
      <c r="D36" s="8">
        <v>-1.30556540088222E-9</v>
      </c>
      <c r="E36" s="8">
        <v>-1.07423166391695E-10</v>
      </c>
      <c r="F36" s="8">
        <v>1.3668475891053499E-10</v>
      </c>
      <c r="G36" s="8">
        <v>1.3170890159654299E-9</v>
      </c>
      <c r="H36" s="8">
        <v>-6.0760203603683197E-5</v>
      </c>
      <c r="I36" s="8">
        <v>1.8679316999689399E-4</v>
      </c>
      <c r="J36" s="8">
        <v>2.4782398663163201E-4</v>
      </c>
      <c r="K36" s="45">
        <f t="shared" si="1"/>
        <v>3.1622811236423125E-4</v>
      </c>
    </row>
    <row r="37" spans="1:11">
      <c r="A37" s="7" t="s">
        <v>11</v>
      </c>
      <c r="B37" s="94" t="s">
        <v>103</v>
      </c>
      <c r="C37" t="s">
        <v>111</v>
      </c>
      <c r="D37" s="8">
        <v>-4.29883003431668E-10</v>
      </c>
      <c r="E37" s="8">
        <v>-8.0528766150773698E-10</v>
      </c>
      <c r="F37" s="8">
        <v>1.9288238670296102E-9</v>
      </c>
      <c r="G37" s="8">
        <v>2.1339280972982901E-9</v>
      </c>
      <c r="H37" s="8">
        <v>1.6062698406922701E-5</v>
      </c>
      <c r="I37" s="8">
        <v>-1.6303712543215001E-4</v>
      </c>
      <c r="J37" s="8">
        <v>5.6224987255697999E-5</v>
      </c>
      <c r="K37" s="45">
        <f t="shared" si="1"/>
        <v>1.7320613078408562E-4</v>
      </c>
    </row>
    <row r="38" spans="1:11">
      <c r="A38" s="7" t="s">
        <v>11</v>
      </c>
      <c r="B38" s="94" t="s">
        <v>103</v>
      </c>
      <c r="C38" t="s">
        <v>112</v>
      </c>
      <c r="D38" s="8">
        <v>4.97983486201817E-10</v>
      </c>
      <c r="E38" s="8">
        <v>-5.7766281574177998E-10</v>
      </c>
      <c r="F38" s="8">
        <v>1.5665516913715201E-9</v>
      </c>
      <c r="G38" s="8">
        <v>1.74234499538966E-9</v>
      </c>
      <c r="H38" s="8">
        <v>-8.1910923225201303E-4</v>
      </c>
      <c r="I38" s="8">
        <v>-7.6045771743603503E-4</v>
      </c>
      <c r="J38" s="8">
        <v>6.9337330262427401E-4</v>
      </c>
      <c r="K38" s="45">
        <f t="shared" si="1"/>
        <v>1.3152955603820001E-3</v>
      </c>
    </row>
    <row r="39" spans="1:11">
      <c r="A39" s="7" t="s">
        <v>11</v>
      </c>
      <c r="B39" s="94" t="s">
        <v>103</v>
      </c>
      <c r="C39" t="s">
        <v>113</v>
      </c>
      <c r="D39" s="8">
        <v>-8.4355078286542303E-10</v>
      </c>
      <c r="E39" s="8">
        <v>-6.8974502849338896E-10</v>
      </c>
      <c r="F39" s="8">
        <v>8.7420694510492896E-10</v>
      </c>
      <c r="G39" s="8">
        <v>1.3969838619232099E-9</v>
      </c>
      <c r="H39" s="8">
        <v>-6.0384458057044202E-5</v>
      </c>
      <c r="I39" s="8">
        <v>-4.93744782046613E-5</v>
      </c>
      <c r="J39" s="8">
        <v>6.2578938556076197E-5</v>
      </c>
      <c r="K39" s="45">
        <f t="shared" si="1"/>
        <v>1.0000122711062431E-4</v>
      </c>
    </row>
    <row r="40" spans="1:11">
      <c r="A40" s="7" t="s">
        <v>11</v>
      </c>
      <c r="B40" s="94" t="s">
        <v>103</v>
      </c>
      <c r="C40" t="s">
        <v>114</v>
      </c>
      <c r="D40" s="8">
        <v>-1.30911737575017E-9</v>
      </c>
      <c r="E40" s="8">
        <v>2.96864983053874E-10</v>
      </c>
      <c r="F40" s="8">
        <v>3.86842072193959E-10</v>
      </c>
      <c r="G40" s="8">
        <v>1.3969838619232099E-9</v>
      </c>
      <c r="H40" s="8">
        <v>1.09121477131304E-4</v>
      </c>
      <c r="I40" s="8">
        <v>1.2844744144246601E-4</v>
      </c>
      <c r="J40" s="8">
        <v>5.1146222826565601E-4</v>
      </c>
      <c r="K40" s="45">
        <f t="shared" ref="K40:K71" si="2">SQRT(H40^2+I40^2+J40^2)</f>
        <v>5.3851634415949111E-4</v>
      </c>
    </row>
    <row r="41" spans="1:11">
      <c r="A41" s="7" t="s">
        <v>11</v>
      </c>
      <c r="B41" s="94" t="s">
        <v>103</v>
      </c>
      <c r="C41" t="s">
        <v>115</v>
      </c>
      <c r="D41" s="8">
        <v>-1.30362830364572E-9</v>
      </c>
      <c r="E41" s="8">
        <v>2.6291173123480098E-10</v>
      </c>
      <c r="F41" s="8">
        <v>4.2777865536606599E-10</v>
      </c>
      <c r="G41" s="8">
        <v>1.3969838619232099E-9</v>
      </c>
      <c r="H41" s="8">
        <v>-7.8878986011763502E-5</v>
      </c>
      <c r="I41" s="8">
        <v>-8.8036056510499097E-4</v>
      </c>
      <c r="J41" s="8">
        <v>5.1840480218474797E-4</v>
      </c>
      <c r="K41" s="45">
        <f t="shared" si="2"/>
        <v>1.0246951536698272E-3</v>
      </c>
    </row>
    <row r="42" spans="1:11">
      <c r="A42" s="7" t="s">
        <v>11</v>
      </c>
      <c r="B42" s="94" t="s">
        <v>103</v>
      </c>
      <c r="C42" t="s">
        <v>117</v>
      </c>
      <c r="D42" s="8">
        <v>-6.5285225027190096E-10</v>
      </c>
      <c r="E42" s="8">
        <v>3.2216479566231701E-10</v>
      </c>
      <c r="F42" s="8">
        <v>3.4715282980565601E-10</v>
      </c>
      <c r="G42" s="8">
        <v>8.06549008734932E-10</v>
      </c>
      <c r="H42" s="8">
        <v>9.2056931996353395E-4</v>
      </c>
      <c r="I42" s="8">
        <v>5.1165237980621602E-4</v>
      </c>
      <c r="J42" s="8">
        <v>3.1743148166039702E-4</v>
      </c>
      <c r="K42" s="45">
        <f t="shared" si="2"/>
        <v>1.0999994437128604E-3</v>
      </c>
    </row>
    <row r="43" spans="1:11">
      <c r="A43" s="7" t="s">
        <v>11</v>
      </c>
      <c r="B43" s="94" t="s">
        <v>103</v>
      </c>
      <c r="C43" s="20" t="s">
        <v>248</v>
      </c>
      <c r="D43" s="8">
        <v>-2.8034882467172102E-10</v>
      </c>
      <c r="E43" s="8">
        <v>-2.1451512491329699E-10</v>
      </c>
      <c r="F43" s="8">
        <v>3.03691014331536E-10</v>
      </c>
      <c r="G43" s="8">
        <v>4.65661287307739E-10</v>
      </c>
      <c r="H43" s="8">
        <v>-1.9642047564068799E-5</v>
      </c>
      <c r="I43" s="8">
        <v>1.6247963552225701E-4</v>
      </c>
      <c r="J43" s="8">
        <v>-5.6696173456620101E-5</v>
      </c>
      <c r="K43" s="45">
        <f t="shared" si="2"/>
        <v>1.7320478652906154E-4</v>
      </c>
    </row>
    <row r="44" spans="1:11">
      <c r="A44" s="7" t="s">
        <v>11</v>
      </c>
      <c r="B44" s="94" t="s">
        <v>103</v>
      </c>
      <c r="C44" t="s">
        <v>118</v>
      </c>
      <c r="D44" s="8">
        <v>-2.7909205779658398E-10</v>
      </c>
      <c r="E44" s="8">
        <v>-1.1996461989444001E-2</v>
      </c>
      <c r="F44" s="8">
        <v>-9.0047164095949997E-3</v>
      </c>
      <c r="G44" s="8">
        <v>1.5000000596046E-2</v>
      </c>
      <c r="H44" s="8">
        <v>5.9934461227701003E-5</v>
      </c>
      <c r="I44" s="8">
        <v>-1.20283839016164E-2</v>
      </c>
      <c r="J44" s="8">
        <v>-9.1287685629070602E-3</v>
      </c>
      <c r="K44" s="45">
        <f t="shared" si="2"/>
        <v>1.5100332012887248E-2</v>
      </c>
    </row>
    <row r="45" spans="1:11">
      <c r="A45" s="7" t="s">
        <v>11</v>
      </c>
      <c r="B45" s="94" t="s">
        <v>103</v>
      </c>
      <c r="C45" t="s">
        <v>119</v>
      </c>
      <c r="D45" s="8">
        <v>-9.3286844325008401E-10</v>
      </c>
      <c r="E45" s="8">
        <v>4.5071655613656299E-10</v>
      </c>
      <c r="F45" s="8">
        <v>9.3710989968437895E-10</v>
      </c>
      <c r="G45" s="8">
        <v>1.3969838619232099E-9</v>
      </c>
      <c r="H45" s="8">
        <v>1.03906057884808E-3</v>
      </c>
      <c r="I45" s="8">
        <v>-1.63219989254408E-5</v>
      </c>
      <c r="J45" s="8">
        <v>3.4653263057444502E-4</v>
      </c>
      <c r="K45" s="45">
        <f t="shared" si="2"/>
        <v>1.0954442743553294E-3</v>
      </c>
    </row>
    <row r="46" spans="1:11">
      <c r="A46" s="7" t="s">
        <v>11</v>
      </c>
      <c r="B46" s="94" t="s">
        <v>103</v>
      </c>
      <c r="C46" t="s">
        <v>120</v>
      </c>
      <c r="D46" s="8">
        <v>-2.9383393787070598E-10</v>
      </c>
      <c r="E46" s="8">
        <v>-2.19950417489455E-10</v>
      </c>
      <c r="F46" s="8">
        <v>2.8657261784530102E-10</v>
      </c>
      <c r="G46" s="8">
        <v>4.65661287307739E-10</v>
      </c>
      <c r="H46" s="8">
        <v>-1.44779710915752E-5</v>
      </c>
      <c r="I46" s="8">
        <v>6.32541578209355E-6</v>
      </c>
      <c r="J46" s="8">
        <v>-1.7248295184369699E-4</v>
      </c>
      <c r="K46" s="45">
        <f t="shared" si="2"/>
        <v>1.7320505537789577E-4</v>
      </c>
    </row>
    <row r="47" spans="1:11">
      <c r="A47" s="7" t="s">
        <v>11</v>
      </c>
      <c r="B47" s="94" t="s">
        <v>103</v>
      </c>
      <c r="C47" t="s">
        <v>121</v>
      </c>
      <c r="D47" s="8">
        <v>1.02597824687041E-9</v>
      </c>
      <c r="E47" s="8">
        <v>-8.4539641470303301E-10</v>
      </c>
      <c r="F47" s="8">
        <v>-4.2922890097227702E-10</v>
      </c>
      <c r="G47" s="8">
        <v>1.3969838619232099E-9</v>
      </c>
      <c r="H47" s="8">
        <v>7.5428169682597202E-4</v>
      </c>
      <c r="I47" s="8">
        <v>1.0527105200712099E-3</v>
      </c>
      <c r="J47" s="8">
        <v>-5.3469656514598103E-5</v>
      </c>
      <c r="K47" s="45">
        <f t="shared" si="2"/>
        <v>1.2961478779070904E-3</v>
      </c>
    </row>
    <row r="48" spans="1:11">
      <c r="A48" s="7" t="s">
        <v>11</v>
      </c>
      <c r="B48" s="94" t="s">
        <v>103</v>
      </c>
      <c r="C48" t="s">
        <v>123</v>
      </c>
      <c r="D48" s="8">
        <v>0</v>
      </c>
      <c r="E48" s="8">
        <v>3.8018199209426601E-10</v>
      </c>
      <c r="F48" s="8">
        <v>2.68890474699897E-10</v>
      </c>
      <c r="G48" s="8">
        <v>4.65661287307739E-10</v>
      </c>
      <c r="H48" s="8">
        <v>1.48192077204542E-5</v>
      </c>
      <c r="I48" s="8">
        <v>-1.62856035513976E-4</v>
      </c>
      <c r="J48" s="8">
        <v>5.7082283766373802E-5</v>
      </c>
      <c r="K48" s="45">
        <f t="shared" si="2"/>
        <v>1.7320532422756584E-4</v>
      </c>
    </row>
    <row r="49" spans="1:11">
      <c r="A49" s="7" t="s">
        <v>11</v>
      </c>
      <c r="B49" s="94" t="s">
        <v>103</v>
      </c>
      <c r="C49" t="s">
        <v>125</v>
      </c>
      <c r="D49" s="8">
        <v>-1.08790537383095E-9</v>
      </c>
      <c r="E49" s="8">
        <v>5.3620872525642295E-10</v>
      </c>
      <c r="F49" s="8">
        <v>-6.9318540883555302E-10</v>
      </c>
      <c r="G49" s="8">
        <v>1.3969838619232099E-9</v>
      </c>
      <c r="H49" s="8">
        <v>-1.5575178602013199E-4</v>
      </c>
      <c r="I49" s="8">
        <v>1.5586435350818699E-4</v>
      </c>
      <c r="J49" s="8">
        <v>-3.8056006676794198E-5</v>
      </c>
      <c r="K49" s="45">
        <f t="shared" si="2"/>
        <v>2.236080839038926E-4</v>
      </c>
    </row>
    <row r="50" spans="1:11">
      <c r="A50" s="7" t="s">
        <v>11</v>
      </c>
      <c r="B50" s="94" t="s">
        <v>103</v>
      </c>
      <c r="C50" t="s">
        <v>126</v>
      </c>
      <c r="D50" s="8">
        <v>4.4813230794545302E-10</v>
      </c>
      <c r="E50" s="8">
        <v>-1.6972460097238501E-10</v>
      </c>
      <c r="F50" s="8">
        <v>1.03509110776919E-9</v>
      </c>
      <c r="G50" s="8">
        <v>1.1406325468715101E-9</v>
      </c>
      <c r="H50" s="8">
        <v>6.9495781976328699E-5</v>
      </c>
      <c r="I50" s="8">
        <v>-1.6486282038112799E-4</v>
      </c>
      <c r="J50" s="8">
        <v>5.7270583318243696E-4</v>
      </c>
      <c r="K50" s="45">
        <f t="shared" si="2"/>
        <v>6.0000115384698286E-4</v>
      </c>
    </row>
    <row r="51" spans="1:11">
      <c r="A51" s="7" t="s">
        <v>11</v>
      </c>
      <c r="B51" s="94" t="s">
        <v>103</v>
      </c>
      <c r="C51" t="s">
        <v>127</v>
      </c>
      <c r="D51" s="8">
        <v>1.7644254265595E-9</v>
      </c>
      <c r="E51" s="8">
        <v>-8.1296162691608402E-10</v>
      </c>
      <c r="F51" s="8">
        <v>3.5919928761075198E-10</v>
      </c>
      <c r="G51" s="8">
        <v>1.9756335239481501E-9</v>
      </c>
      <c r="H51" s="8">
        <v>-7.9589837455989402E-5</v>
      </c>
      <c r="I51" s="8">
        <v>1.16694314666242E-4</v>
      </c>
      <c r="J51" s="8">
        <v>6.8819395866798502E-6</v>
      </c>
      <c r="K51" s="45">
        <f t="shared" si="2"/>
        <v>1.414194696432193E-4</v>
      </c>
    </row>
    <row r="52" spans="1:11">
      <c r="A52" s="7" t="s">
        <v>11</v>
      </c>
      <c r="B52" s="94" t="s">
        <v>103</v>
      </c>
      <c r="C52" t="s">
        <v>129</v>
      </c>
      <c r="D52" s="8">
        <v>-2.1191132454548499E-10</v>
      </c>
      <c r="E52" s="8">
        <v>-9.6599306099125196E-10</v>
      </c>
      <c r="F52" s="8">
        <v>5.6832526217715604E-10</v>
      </c>
      <c r="G52" s="8">
        <v>1.1406325468715101E-9</v>
      </c>
      <c r="H52" s="8">
        <v>9.1014777590745299E-5</v>
      </c>
      <c r="I52" s="8">
        <v>8.7151512211499499E-5</v>
      </c>
      <c r="J52" s="8">
        <v>-4.73413253711377E-4</v>
      </c>
      <c r="K52" s="45">
        <f t="shared" si="2"/>
        <v>4.8989711635223632E-4</v>
      </c>
    </row>
    <row r="53" spans="1:11">
      <c r="A53" s="7" t="s">
        <v>11</v>
      </c>
      <c r="B53" s="94" t="s">
        <v>103</v>
      </c>
      <c r="C53" t="s">
        <v>130</v>
      </c>
      <c r="D53" s="8">
        <v>-3.6801039390974799E-10</v>
      </c>
      <c r="E53" s="8">
        <v>5.43770097136656E-10</v>
      </c>
      <c r="F53" s="8">
        <v>5.0629047281025898E-11</v>
      </c>
      <c r="G53" s="8">
        <v>6.5854450798271898E-10</v>
      </c>
      <c r="H53" s="8">
        <v>2.2733261575240901E-4</v>
      </c>
      <c r="I53" s="8">
        <v>1.47435367599999E-3</v>
      </c>
      <c r="J53" s="8">
        <v>5.3348101990803999E-4</v>
      </c>
      <c r="K53" s="45">
        <f t="shared" si="2"/>
        <v>1.5842982290975517E-3</v>
      </c>
    </row>
    <row r="54" spans="1:11">
      <c r="A54" s="7" t="s">
        <v>11</v>
      </c>
      <c r="B54" s="94" t="s">
        <v>103</v>
      </c>
      <c r="C54" t="s">
        <v>131</v>
      </c>
      <c r="D54" s="8">
        <v>-7.2337371243322905E-10</v>
      </c>
      <c r="E54" s="8">
        <v>7.2065518023860801E-10</v>
      </c>
      <c r="F54" s="8">
        <v>-2.03933214169073E-10</v>
      </c>
      <c r="G54" s="8">
        <v>1.0412502929101601E-9</v>
      </c>
      <c r="H54" s="8">
        <v>-1.3667462765012701E-3</v>
      </c>
      <c r="I54" s="8">
        <v>-9.4998444791846205E-4</v>
      </c>
      <c r="J54" s="8">
        <v>8.0593654894574296E-4</v>
      </c>
      <c r="K54" s="45">
        <f t="shared" si="2"/>
        <v>1.8493240809938113E-3</v>
      </c>
    </row>
    <row r="55" spans="1:11">
      <c r="A55" s="7" t="s">
        <v>11</v>
      </c>
      <c r="B55" s="94" t="s">
        <v>103</v>
      </c>
      <c r="C55" t="s">
        <v>132</v>
      </c>
      <c r="D55" s="8">
        <v>0</v>
      </c>
      <c r="E55" s="8">
        <v>-3.78281004213638E-10</v>
      </c>
      <c r="F55" s="8">
        <v>-2.7155831113818301E-10</v>
      </c>
      <c r="G55" s="8">
        <v>4.65661287307739E-10</v>
      </c>
      <c r="H55" s="8">
        <v>3.5174805797192798E-5</v>
      </c>
      <c r="I55" s="8">
        <v>1.28025437142916E-4</v>
      </c>
      <c r="J55" s="8">
        <v>-3.4981752904918899E-4</v>
      </c>
      <c r="K55" s="45">
        <f t="shared" si="2"/>
        <v>3.741658497893483E-4</v>
      </c>
    </row>
    <row r="56" spans="1:11">
      <c r="A56" s="7" t="s">
        <v>11</v>
      </c>
      <c r="B56" s="94" t="s">
        <v>103</v>
      </c>
      <c r="C56" t="s">
        <v>133</v>
      </c>
      <c r="D56" s="8">
        <v>6.5322011617947202E-10</v>
      </c>
      <c r="E56" s="8">
        <v>4.81290353709362E-11</v>
      </c>
      <c r="F56" s="8">
        <v>-6.8322359202101706E-11</v>
      </c>
      <c r="G56" s="8">
        <v>6.5854450798271898E-10</v>
      </c>
      <c r="H56" s="8">
        <v>-9.2077929568826797E-4</v>
      </c>
      <c r="I56" s="8">
        <v>-4.35550326238176E-4</v>
      </c>
      <c r="J56" s="8">
        <v>-2.49919600626214E-4</v>
      </c>
      <c r="K56" s="45">
        <f t="shared" si="2"/>
        <v>1.0488080877031462E-3</v>
      </c>
    </row>
    <row r="57" spans="1:11">
      <c r="A57" s="7" t="s">
        <v>11</v>
      </c>
      <c r="B57" s="94" t="s">
        <v>103</v>
      </c>
      <c r="C57" t="s">
        <v>134</v>
      </c>
      <c r="D57" s="8">
        <v>6.5317672135094805E-10</v>
      </c>
      <c r="E57" s="8">
        <v>5.20155152746764E-11</v>
      </c>
      <c r="F57" s="8">
        <v>-6.5843950748240706E-11</v>
      </c>
      <c r="G57" s="8">
        <v>6.5854450798271898E-10</v>
      </c>
      <c r="H57" s="8">
        <v>7.9144699777550006E-5</v>
      </c>
      <c r="I57" s="8">
        <v>4.0578442954343401E-5</v>
      </c>
      <c r="J57" s="8">
        <v>1.0995240628480201E-4</v>
      </c>
      <c r="K57" s="45">
        <f t="shared" si="2"/>
        <v>1.414214452736769E-4</v>
      </c>
    </row>
    <row r="58" spans="1:11">
      <c r="A58" s="7" t="s">
        <v>11</v>
      </c>
      <c r="B58" s="94" t="s">
        <v>103</v>
      </c>
      <c r="C58" t="s">
        <v>135</v>
      </c>
      <c r="D58" s="8">
        <v>-6.5294689124352099E-10</v>
      </c>
      <c r="E58" s="8">
        <v>-4.1945565175362298E-10</v>
      </c>
      <c r="F58" s="8">
        <v>-2.1963291401487701E-10</v>
      </c>
      <c r="G58" s="8">
        <v>8.06549008734932E-10</v>
      </c>
      <c r="H58" s="8">
        <v>4.2509429299352498E-5</v>
      </c>
      <c r="I58" s="8">
        <v>2.14078555676559E-4</v>
      </c>
      <c r="J58" s="8">
        <v>-1.11189971241501E-4</v>
      </c>
      <c r="K58" s="45">
        <f t="shared" si="2"/>
        <v>2.4494874828135792E-4</v>
      </c>
    </row>
    <row r="59" spans="1:11">
      <c r="A59" s="7" t="s">
        <v>11</v>
      </c>
      <c r="B59" s="94" t="s">
        <v>103</v>
      </c>
      <c r="C59" t="s">
        <v>136</v>
      </c>
      <c r="D59" s="8">
        <v>-2.8793260215255201E-10</v>
      </c>
      <c r="E59" s="8">
        <v>-2.23847857131216E-10</v>
      </c>
      <c r="F59" s="8">
        <v>2.89529597748698E-10</v>
      </c>
      <c r="G59" s="8">
        <v>4.65661287307739E-10</v>
      </c>
      <c r="H59" s="8">
        <v>-1.06907380603796E-4</v>
      </c>
      <c r="I59" s="8">
        <v>-2.3808356630762299E-5</v>
      </c>
      <c r="J59" s="8">
        <v>3.5777693703271398E-4</v>
      </c>
      <c r="K59" s="45">
        <f t="shared" si="2"/>
        <v>3.7416622314892755E-4</v>
      </c>
    </row>
    <row r="60" spans="1:11">
      <c r="A60" s="7" t="s">
        <v>11</v>
      </c>
      <c r="B60" s="94" t="s">
        <v>103</v>
      </c>
      <c r="C60" t="s">
        <v>138</v>
      </c>
      <c r="D60" s="8">
        <v>1.9592366336319499E-9</v>
      </c>
      <c r="E60" s="8">
        <v>-2.1803794599594399E-10</v>
      </c>
      <c r="F60" s="8">
        <v>-4.8354888375977796E-10</v>
      </c>
      <c r="G60" s="8">
        <v>2.0297704932934899E-9</v>
      </c>
      <c r="H60" s="8">
        <v>-1.8180266008158601E-5</v>
      </c>
      <c r="I60" s="8">
        <v>2.4411255336234501E-4</v>
      </c>
      <c r="J60" s="8">
        <v>8.8559871610846693E-6</v>
      </c>
      <c r="K60" s="45">
        <f t="shared" si="2"/>
        <v>2.4494874829198137E-4</v>
      </c>
    </row>
    <row r="61" spans="1:11">
      <c r="A61" s="7" t="s">
        <v>11</v>
      </c>
      <c r="B61" s="94" t="s">
        <v>103</v>
      </c>
      <c r="C61" t="s">
        <v>139</v>
      </c>
      <c r="D61" s="8">
        <v>-2.77924812092054E-10</v>
      </c>
      <c r="E61" s="8">
        <v>-2.2703541406516901E-10</v>
      </c>
      <c r="F61" s="8">
        <v>2.9673751714428401E-10</v>
      </c>
      <c r="G61" s="8">
        <v>4.65661287307739E-10</v>
      </c>
      <c r="H61" s="8">
        <v>-4.1104616024247697E-5</v>
      </c>
      <c r="I61" s="8">
        <v>5.6714677403810502E-4</v>
      </c>
      <c r="J61" s="8">
        <v>8.1575554764477701E-5</v>
      </c>
      <c r="K61" s="45">
        <f t="shared" si="2"/>
        <v>5.7445593729672816E-4</v>
      </c>
    </row>
    <row r="62" spans="1:11">
      <c r="A62" s="7" t="s">
        <v>11</v>
      </c>
      <c r="B62" s="94" t="s">
        <v>103</v>
      </c>
      <c r="C62" t="s">
        <v>140</v>
      </c>
      <c r="D62" s="8">
        <v>5.7946826413010201E-10</v>
      </c>
      <c r="E62" s="8">
        <v>-5.2475939373583605E-10</v>
      </c>
      <c r="F62" s="8">
        <v>1.5571159855680099E-9</v>
      </c>
      <c r="G62" s="8">
        <v>1.74234499538966E-9</v>
      </c>
      <c r="H62" s="8">
        <v>5.89482476378873E-5</v>
      </c>
      <c r="I62" s="8">
        <v>4.6432471488331001E-5</v>
      </c>
      <c r="J62" s="8">
        <v>-6.6097726557925098E-5</v>
      </c>
      <c r="K62" s="45">
        <f t="shared" si="2"/>
        <v>9.9998898815029932E-5</v>
      </c>
    </row>
    <row r="63" spans="1:11">
      <c r="A63" s="7" t="s">
        <v>11</v>
      </c>
      <c r="B63" s="94" t="s">
        <v>103</v>
      </c>
      <c r="C63" t="s">
        <v>141</v>
      </c>
      <c r="D63" s="8">
        <v>9.2982677505757703E-10</v>
      </c>
      <c r="E63" s="8">
        <v>-8.5059882949120203E-11</v>
      </c>
      <c r="F63" s="8">
        <v>-6.5515615824115697E-10</v>
      </c>
      <c r="G63" s="8">
        <v>1.1406325468715101E-9</v>
      </c>
      <c r="H63" s="8">
        <v>6.9807647029243797E-4</v>
      </c>
      <c r="I63" s="8">
        <v>1.31899555266742E-3</v>
      </c>
      <c r="J63" s="8">
        <v>2.50880345798328E-4</v>
      </c>
      <c r="K63" s="45">
        <f t="shared" si="2"/>
        <v>1.5132749169401672E-3</v>
      </c>
    </row>
    <row r="64" spans="1:11">
      <c r="A64" s="7" t="s">
        <v>11</v>
      </c>
      <c r="B64" s="94" t="s">
        <v>103</v>
      </c>
      <c r="C64" t="s">
        <v>142</v>
      </c>
      <c r="D64" s="8">
        <v>-2.09474687259898E-10</v>
      </c>
      <c r="E64" s="8">
        <v>1.04271224604868E-10</v>
      </c>
      <c r="F64" s="8">
        <v>1.3772478998316399E-9</v>
      </c>
      <c r="G64" s="8">
        <v>1.3969838619232099E-9</v>
      </c>
      <c r="H64" s="8">
        <v>-2.4173809014936E-4</v>
      </c>
      <c r="I64" s="8">
        <v>-1.45470943245105E-3</v>
      </c>
      <c r="J64" s="8">
        <v>7.3369706869290296E-5</v>
      </c>
      <c r="K64" s="45">
        <f t="shared" si="2"/>
        <v>1.4764822894221257E-3</v>
      </c>
    </row>
    <row r="65" spans="1:11">
      <c r="A65" s="7" t="s">
        <v>11</v>
      </c>
      <c r="B65" s="94" t="s">
        <v>103</v>
      </c>
      <c r="C65" t="s">
        <v>143</v>
      </c>
      <c r="D65" s="8">
        <v>1.67633217658552E-9</v>
      </c>
      <c r="E65" s="8">
        <v>-5.3479269104076198E-11</v>
      </c>
      <c r="F65" s="8">
        <v>7.7304915642189896E-11</v>
      </c>
      <c r="G65" s="8">
        <v>1.6789656483866201E-9</v>
      </c>
      <c r="H65" s="8">
        <v>-6.7986410070902399E-4</v>
      </c>
      <c r="I65" s="8">
        <v>-1.8083498312435701E-4</v>
      </c>
      <c r="J65" s="8">
        <v>-4.4168078320716802E-4</v>
      </c>
      <c r="K65" s="45">
        <f t="shared" si="2"/>
        <v>8.3066142369136997E-4</v>
      </c>
    </row>
    <row r="66" spans="1:11">
      <c r="A66" s="7" t="s">
        <v>11</v>
      </c>
      <c r="B66" s="94" t="s">
        <v>103</v>
      </c>
      <c r="C66" t="s">
        <v>144</v>
      </c>
      <c r="D66" s="8">
        <v>0</v>
      </c>
      <c r="E66" s="8">
        <v>-3.7843248962462899E-10</v>
      </c>
      <c r="F66" s="8">
        <v>-2.7134716746928699E-10</v>
      </c>
      <c r="G66" s="8">
        <v>4.65661287307739E-10</v>
      </c>
      <c r="H66" s="8">
        <v>-9.7716695505768901E-5</v>
      </c>
      <c r="I66" s="8">
        <v>1.9846580276796399E-4</v>
      </c>
      <c r="J66" s="8">
        <v>-1.05179189176953E-4</v>
      </c>
      <c r="K66" s="45">
        <f t="shared" si="2"/>
        <v>2.4494874828180039E-4</v>
      </c>
    </row>
    <row r="67" spans="1:11">
      <c r="A67" s="7" t="s">
        <v>11</v>
      </c>
      <c r="B67" s="94" t="s">
        <v>103</v>
      </c>
      <c r="C67" t="s">
        <v>145</v>
      </c>
      <c r="D67" s="8">
        <v>-2.61546193674298E-9</v>
      </c>
      <c r="E67" s="8">
        <v>1.8408824466234301E-10</v>
      </c>
      <c r="F67" s="8">
        <v>5.3028738814922597E-10</v>
      </c>
      <c r="G67" s="8">
        <v>2.6750204370068499E-9</v>
      </c>
      <c r="H67" s="8">
        <v>-7.86249426306681E-5</v>
      </c>
      <c r="I67" s="8">
        <v>3.7110965958431998E-5</v>
      </c>
      <c r="J67" s="8">
        <v>-4.9408836890685202E-5</v>
      </c>
      <c r="K67" s="45">
        <f t="shared" si="2"/>
        <v>1.0000169279034272E-4</v>
      </c>
    </row>
    <row r="68" spans="1:11">
      <c r="A68" s="7" t="s">
        <v>11</v>
      </c>
      <c r="B68" s="94" t="s">
        <v>103</v>
      </c>
      <c r="C68" t="s">
        <v>146</v>
      </c>
      <c r="D68" s="8">
        <v>1.5007015345451E-9</v>
      </c>
      <c r="E68" s="8">
        <v>1.43295389832464E-10</v>
      </c>
      <c r="F68" s="8">
        <v>1.43672197220225E-9</v>
      </c>
      <c r="G68" s="8">
        <v>2.0825005858203301E-9</v>
      </c>
      <c r="H68" s="8">
        <v>-1.18467686688994E-4</v>
      </c>
      <c r="I68" s="8">
        <v>1.5611729268051399E-4</v>
      </c>
      <c r="J68" s="8">
        <v>3.0264367606301802E-4</v>
      </c>
      <c r="K68" s="45">
        <f t="shared" si="2"/>
        <v>3.6055567742620821E-4</v>
      </c>
    </row>
    <row r="69" spans="1:11">
      <c r="A69" s="7" t="s">
        <v>11</v>
      </c>
      <c r="B69" s="94" t="s">
        <v>103</v>
      </c>
      <c r="C69" t="s">
        <v>149</v>
      </c>
      <c r="D69" s="8">
        <v>-8.7316158165924595E-10</v>
      </c>
      <c r="E69" s="8">
        <v>-2.9179064791897502E-10</v>
      </c>
      <c r="F69" s="8">
        <v>1.1492830004278101E-9</v>
      </c>
      <c r="G69" s="8">
        <v>1.4725502860585099E-9</v>
      </c>
      <c r="H69" s="8">
        <v>-1.56120571898647E-4</v>
      </c>
      <c r="I69" s="8">
        <v>7.5872713777937602E-5</v>
      </c>
      <c r="J69" s="8">
        <v>-9.9346608911022401E-5</v>
      </c>
      <c r="K69" s="45">
        <f t="shared" si="2"/>
        <v>2.0000012592023307E-4</v>
      </c>
    </row>
    <row r="70" spans="1:11">
      <c r="A70" s="7" t="s">
        <v>11</v>
      </c>
      <c r="B70" s="94" t="s">
        <v>103</v>
      </c>
      <c r="C70" t="s">
        <v>150</v>
      </c>
      <c r="D70" s="8">
        <v>-8.4022006346049901E-10</v>
      </c>
      <c r="E70" s="8">
        <v>-6.5004579363870796E-10</v>
      </c>
      <c r="F70" s="8">
        <v>9.0721255591231903E-10</v>
      </c>
      <c r="G70" s="8">
        <v>1.3969838619232099E-9</v>
      </c>
      <c r="H70" s="8">
        <v>-6.1847296474111405E-4</v>
      </c>
      <c r="I70" s="8">
        <v>1.6279264726259399E-3</v>
      </c>
      <c r="J70" s="8">
        <v>1.3170035601657901E-4</v>
      </c>
      <c r="K70" s="45">
        <f t="shared" si="2"/>
        <v>1.7464244593359578E-3</v>
      </c>
    </row>
    <row r="71" spans="1:11">
      <c r="A71" s="7" t="s">
        <v>11</v>
      </c>
      <c r="B71" s="94" t="s">
        <v>103</v>
      </c>
      <c r="C71" t="s">
        <v>151</v>
      </c>
      <c r="D71" s="8">
        <v>1.1136950718197901E-9</v>
      </c>
      <c r="E71" s="8">
        <v>-8.7131975883542597E-10</v>
      </c>
      <c r="F71" s="8">
        <v>4.10961689015261E-10</v>
      </c>
      <c r="G71" s="8">
        <v>1.4725502860585099E-9</v>
      </c>
      <c r="H71" s="8">
        <v>1.20276552383325E-3</v>
      </c>
      <c r="I71" s="8">
        <v>2.6702422589801799E-4</v>
      </c>
      <c r="J71" s="8">
        <v>-5.4042054503938505E-4</v>
      </c>
      <c r="K71" s="45">
        <f t="shared" si="2"/>
        <v>1.3453628536714451E-3</v>
      </c>
    </row>
    <row r="72" spans="1:11">
      <c r="A72" s="7" t="s">
        <v>11</v>
      </c>
      <c r="B72" s="94" t="s">
        <v>103</v>
      </c>
      <c r="C72" t="s">
        <v>152</v>
      </c>
      <c r="D72" s="8">
        <v>-2.1973979182466601E-9</v>
      </c>
      <c r="E72" s="8">
        <v>1.01762754467306E-9</v>
      </c>
      <c r="F72" s="8">
        <v>-1.3936040366989199E-9</v>
      </c>
      <c r="G72" s="8">
        <v>2.7939677238464302E-9</v>
      </c>
      <c r="H72" s="8">
        <v>-1.4041220508681301E-4</v>
      </c>
      <c r="I72" s="8">
        <v>-9.0717624418483301E-5</v>
      </c>
      <c r="J72" s="8">
        <v>-4.5336171279738799E-5</v>
      </c>
      <c r="K72" s="45">
        <f t="shared" ref="K72:K103" si="3">SQRT(H72^2+I72^2+J72^2)</f>
        <v>1.7320693734311003E-4</v>
      </c>
    </row>
    <row r="73" spans="1:11">
      <c r="A73" s="7" t="s">
        <v>11</v>
      </c>
      <c r="B73" s="94" t="s">
        <v>103</v>
      </c>
      <c r="C73" t="s">
        <v>153</v>
      </c>
      <c r="D73" s="8">
        <v>-1.30881467030583E-9</v>
      </c>
      <c r="E73" s="8">
        <v>-1.21395475141883E-9</v>
      </c>
      <c r="F73" s="8">
        <v>-7.0682770655270997E-10</v>
      </c>
      <c r="G73" s="8">
        <v>1.9199706733308998E-9</v>
      </c>
      <c r="H73" s="8">
        <v>1.1847022155414E-3</v>
      </c>
      <c r="I73" s="8">
        <v>1.11998202350128E-3</v>
      </c>
      <c r="J73" s="8">
        <v>-1.02084114615369E-3</v>
      </c>
      <c r="K73" s="45">
        <f t="shared" si="3"/>
        <v>1.9235372931542302E-3</v>
      </c>
    </row>
    <row r="74" spans="1:11">
      <c r="A74" s="7" t="s">
        <v>11</v>
      </c>
      <c r="B74" s="94" t="s">
        <v>103</v>
      </c>
      <c r="C74" t="s">
        <v>154</v>
      </c>
      <c r="D74" s="8">
        <v>-4.6301874345178002E-10</v>
      </c>
      <c r="E74" s="8">
        <v>-8.2175062220692196E-10</v>
      </c>
      <c r="F74" s="8">
        <v>1.1308155919891899E-9</v>
      </c>
      <c r="G74" s="8">
        <v>1.4725502860585099E-9</v>
      </c>
      <c r="H74" s="8">
        <v>-1.4999978399756499E-3</v>
      </c>
      <c r="I74" s="8">
        <v>-1.66852214984049E-6</v>
      </c>
      <c r="J74" s="8">
        <v>2.2960625908036699E-6</v>
      </c>
      <c r="K74" s="45">
        <f t="shared" si="3"/>
        <v>1.5000005252669749E-3</v>
      </c>
    </row>
    <row r="75" spans="1:11">
      <c r="A75" s="7" t="s">
        <v>11</v>
      </c>
      <c r="B75" s="94" t="s">
        <v>103</v>
      </c>
      <c r="C75" t="s">
        <v>155</v>
      </c>
      <c r="D75" s="8">
        <v>1.1169966840187799E-9</v>
      </c>
      <c r="E75" s="8">
        <v>-1.02740617452841E-10</v>
      </c>
      <c r="F75" s="8">
        <v>9.5402679123148606E-10</v>
      </c>
      <c r="G75" s="8">
        <v>1.4725502860585099E-9</v>
      </c>
      <c r="H75" s="8">
        <v>-1.84203884017894E-2</v>
      </c>
      <c r="I75" s="8">
        <v>-7.9166282826779698E-3</v>
      </c>
      <c r="J75" s="8">
        <v>-4.9108281271398099E-3</v>
      </c>
      <c r="K75" s="45">
        <f t="shared" si="3"/>
        <v>2.0642188477319492E-2</v>
      </c>
    </row>
    <row r="76" spans="1:11">
      <c r="A76" s="7" t="s">
        <v>11</v>
      </c>
      <c r="B76" s="94" t="s">
        <v>103</v>
      </c>
      <c r="C76" t="s">
        <v>156</v>
      </c>
      <c r="D76" s="8">
        <v>-5.5353048705758597E-10</v>
      </c>
      <c r="E76" s="8">
        <v>-4.2763811685217698E-10</v>
      </c>
      <c r="F76" s="8">
        <v>6.14891355363952E-10</v>
      </c>
      <c r="G76" s="8">
        <v>9.31322574615478E-10</v>
      </c>
      <c r="H76" s="8">
        <v>-2.0986369447273699E-5</v>
      </c>
      <c r="I76" s="8">
        <v>7.9851870694832401E-5</v>
      </c>
      <c r="J76" s="8">
        <v>-1.14817232292848E-4</v>
      </c>
      <c r="K76" s="45">
        <f t="shared" si="3"/>
        <v>1.4142045745729829E-4</v>
      </c>
    </row>
    <row r="77" spans="1:11">
      <c r="A77" s="7" t="s">
        <v>11</v>
      </c>
      <c r="B77" s="94" t="s">
        <v>103</v>
      </c>
      <c r="C77" t="s">
        <v>157</v>
      </c>
      <c r="D77" s="8">
        <v>-2.0039442120659901E-10</v>
      </c>
      <c r="E77" s="8">
        <v>1.5278688262965799E-10</v>
      </c>
      <c r="F77" s="8">
        <v>1.3740677402950299E-9</v>
      </c>
      <c r="G77" s="8">
        <v>1.3969838619232099E-9</v>
      </c>
      <c r="H77" s="8">
        <v>7.9163439245884999E-5</v>
      </c>
      <c r="I77" s="8">
        <v>-1.16813946307628E-4</v>
      </c>
      <c r="J77" s="8">
        <v>-9.3536493101129807E-6</v>
      </c>
      <c r="K77" s="45">
        <f t="shared" si="3"/>
        <v>1.4142078673453525E-4</v>
      </c>
    </row>
    <row r="78" spans="1:11">
      <c r="A78" s="7" t="s">
        <v>11</v>
      </c>
      <c r="B78" s="94" t="s">
        <v>103</v>
      </c>
      <c r="C78" t="s">
        <v>158</v>
      </c>
      <c r="D78" s="8">
        <v>-1.30942440532391E-9</v>
      </c>
      <c r="E78" s="8">
        <v>-8.2396347939374194E-11</v>
      </c>
      <c r="F78" s="8">
        <v>1.15507768419154E-10</v>
      </c>
      <c r="G78" s="8">
        <v>1.3170890159654299E-9</v>
      </c>
      <c r="H78" s="8">
        <v>-9.3152502976488399E-5</v>
      </c>
      <c r="I78" s="8">
        <v>1.1805069128540201E-4</v>
      </c>
      <c r="J78" s="8">
        <v>-1.65490003522344E-4</v>
      </c>
      <c r="K78" s="45">
        <f t="shared" si="3"/>
        <v>2.2360745915458945E-4</v>
      </c>
    </row>
    <row r="79" spans="1:11">
      <c r="A79" s="7" t="s">
        <v>11</v>
      </c>
      <c r="B79" s="94" t="s">
        <v>103</v>
      </c>
      <c r="C79" t="s">
        <v>159</v>
      </c>
      <c r="D79" s="8">
        <v>-2.8657230053611699E-10</v>
      </c>
      <c r="E79" s="8">
        <v>-5.9180298827323301E-10</v>
      </c>
      <c r="F79" s="8">
        <v>3.64198933346868E-11</v>
      </c>
      <c r="G79" s="8">
        <v>6.5854450798271898E-10</v>
      </c>
      <c r="H79" s="8">
        <v>1.40361176594673E-4</v>
      </c>
      <c r="I79" s="8">
        <v>-7.2348549283367806E-5</v>
      </c>
      <c r="J79" s="8">
        <v>-7.1164729542650695E-5</v>
      </c>
      <c r="K79" s="45">
        <f t="shared" si="3"/>
        <v>1.732050553804002E-4</v>
      </c>
    </row>
    <row r="80" spans="1:11">
      <c r="A80" s="7" t="s">
        <v>11</v>
      </c>
      <c r="B80" s="94" t="s">
        <v>103</v>
      </c>
      <c r="C80" t="s">
        <v>160</v>
      </c>
      <c r="D80" s="8">
        <v>-2.8280671083542699E-10</v>
      </c>
      <c r="E80" s="8">
        <v>-9.733544736747809E-10</v>
      </c>
      <c r="F80" s="8">
        <v>-2.38335069532873E-10</v>
      </c>
      <c r="G80" s="8">
        <v>1.0412502929101601E-9</v>
      </c>
      <c r="H80" s="8">
        <v>1.0186707173247499E-3</v>
      </c>
      <c r="I80" s="8">
        <v>-4.9402002939274005E-4</v>
      </c>
      <c r="J80" s="8">
        <v>-1.68089579574742E-4</v>
      </c>
      <c r="K80" s="45">
        <f t="shared" si="3"/>
        <v>1.1445522821338209E-3</v>
      </c>
    </row>
    <row r="81" spans="1:11">
      <c r="A81" s="7" t="s">
        <v>11</v>
      </c>
      <c r="B81" s="94" t="s">
        <v>103</v>
      </c>
      <c r="C81" t="s">
        <v>161</v>
      </c>
      <c r="D81" s="8">
        <v>9.3479219881541896E-10</v>
      </c>
      <c r="E81" s="8">
        <v>2.8060741515191998E-10</v>
      </c>
      <c r="F81" s="8">
        <v>-3.6280186890518602E-10</v>
      </c>
      <c r="G81" s="8">
        <v>1.0412502929101601E-9</v>
      </c>
      <c r="H81" s="8">
        <v>-1.8947444345290699E-5</v>
      </c>
      <c r="I81" s="8">
        <v>1.6484288905241299E-4</v>
      </c>
      <c r="J81" s="8">
        <v>-4.96770318252153E-5</v>
      </c>
      <c r="K81" s="45">
        <f t="shared" si="3"/>
        <v>1.7320505538040014E-4</v>
      </c>
    </row>
    <row r="82" spans="1:11">
      <c r="A82" s="7" t="s">
        <v>11</v>
      </c>
      <c r="B82" s="94" t="s">
        <v>103</v>
      </c>
      <c r="C82" t="s">
        <v>162</v>
      </c>
      <c r="D82" s="8">
        <v>-3.71343540145895E-10</v>
      </c>
      <c r="E82" s="8">
        <v>9.1751603920515697E-10</v>
      </c>
      <c r="F82" s="8">
        <v>3.2321891262532501E-10</v>
      </c>
      <c r="G82" s="8">
        <v>1.0412502929101601E-9</v>
      </c>
      <c r="H82" s="8">
        <v>1.24345834586715E-3</v>
      </c>
      <c r="I82" s="8">
        <v>1.2881483749148501E-3</v>
      </c>
      <c r="J82" s="8">
        <v>-6.6993112657791896E-5</v>
      </c>
      <c r="K82" s="45">
        <f t="shared" si="3"/>
        <v>1.7916481157989751E-3</v>
      </c>
    </row>
    <row r="83" spans="1:11">
      <c r="A83" s="7" t="s">
        <v>11</v>
      </c>
      <c r="B83" s="94" t="s">
        <v>103</v>
      </c>
      <c r="C83" t="s">
        <v>163</v>
      </c>
      <c r="D83" s="8">
        <v>-2.8093381534632901E-10</v>
      </c>
      <c r="E83" s="8">
        <v>-5.9555416343237499E-10</v>
      </c>
      <c r="F83" s="8">
        <v>8.5028705458309298E-12</v>
      </c>
      <c r="G83" s="8">
        <v>6.5854450798271898E-10</v>
      </c>
      <c r="H83" s="8">
        <v>3.3884470389839401E-5</v>
      </c>
      <c r="I83" s="8">
        <v>1.54981472313357E-6</v>
      </c>
      <c r="J83" s="8">
        <v>-4.2483935788181996E-3</v>
      </c>
      <c r="K83" s="45">
        <f t="shared" si="3"/>
        <v>4.2485289877559956E-3</v>
      </c>
    </row>
    <row r="84" spans="1:11">
      <c r="A84" s="7" t="s">
        <v>11</v>
      </c>
      <c r="B84" s="94" t="s">
        <v>103</v>
      </c>
      <c r="C84" t="s">
        <v>164</v>
      </c>
      <c r="D84" s="8">
        <v>7.4634344539079504E-10</v>
      </c>
      <c r="E84" s="8">
        <v>-3.4102366828493601E-10</v>
      </c>
      <c r="F84" s="8">
        <v>4.4049524081434202E-10</v>
      </c>
      <c r="G84" s="8">
        <v>9.31322574615478E-10</v>
      </c>
      <c r="H84" s="8">
        <v>-9.0183988650497401E-4</v>
      </c>
      <c r="I84" s="8">
        <v>1.35826382887307E-3</v>
      </c>
      <c r="J84" s="8">
        <v>4.2443916198729602E-5</v>
      </c>
      <c r="K84" s="45">
        <f t="shared" si="3"/>
        <v>1.6309498139852501E-3</v>
      </c>
    </row>
    <row r="85" spans="1:11">
      <c r="A85" s="7" t="s">
        <v>11</v>
      </c>
      <c r="B85" s="94" t="s">
        <v>103</v>
      </c>
      <c r="C85" t="s">
        <v>165</v>
      </c>
      <c r="D85" s="8">
        <v>-9.437784456926639E-10</v>
      </c>
      <c r="E85" s="8">
        <v>-1.00651085688488E-9</v>
      </c>
      <c r="F85" s="8">
        <v>-2.1859105858362201E-10</v>
      </c>
      <c r="G85" s="8">
        <v>1.3969838619232099E-9</v>
      </c>
      <c r="H85" s="8">
        <v>-7.8320579247350601E-5</v>
      </c>
      <c r="I85" s="8">
        <v>1.1717907385712601E-4</v>
      </c>
      <c r="J85" s="8">
        <v>1.16179473728893E-5</v>
      </c>
      <c r="K85" s="45">
        <f t="shared" si="3"/>
        <v>1.4142144527904367E-4</v>
      </c>
    </row>
    <row r="86" spans="1:11">
      <c r="A86" s="7" t="s">
        <v>11</v>
      </c>
      <c r="B86" s="94" t="s">
        <v>103</v>
      </c>
      <c r="C86" t="s">
        <v>166</v>
      </c>
      <c r="D86" s="8">
        <v>-1.84410331386151E-10</v>
      </c>
      <c r="E86" s="8">
        <v>-2.6180084585866999E-10</v>
      </c>
      <c r="F86" s="8">
        <v>1.09475830838059E-9</v>
      </c>
      <c r="G86" s="8">
        <v>1.1406325468715101E-9</v>
      </c>
      <c r="H86" s="8">
        <v>5.9854845710340198E-5</v>
      </c>
      <c r="I86" s="8">
        <v>1.2811692373170601E-4</v>
      </c>
      <c r="J86" s="8">
        <v>-1.8138959396723001E-6</v>
      </c>
      <c r="K86" s="45">
        <f t="shared" si="3"/>
        <v>1.4142078673223525E-4</v>
      </c>
    </row>
    <row r="87" spans="1:11">
      <c r="A87" s="7" t="s">
        <v>11</v>
      </c>
      <c r="B87" s="94" t="s">
        <v>103</v>
      </c>
      <c r="C87" t="s">
        <v>167</v>
      </c>
      <c r="D87" s="8">
        <v>7.4191502514114496E-10</v>
      </c>
      <c r="E87" s="8">
        <v>7.5382274817159598E-10</v>
      </c>
      <c r="F87" s="8">
        <v>1.3039321333072301E-9</v>
      </c>
      <c r="G87" s="8">
        <v>1.6789656483866201E-9</v>
      </c>
      <c r="H87" s="8">
        <v>-7.9661641994480196E-5</v>
      </c>
      <c r="I87" s="8">
        <v>1.16012216651782E-4</v>
      </c>
      <c r="J87" s="8">
        <v>1.3971884910926E-5</v>
      </c>
      <c r="K87" s="45">
        <f t="shared" si="3"/>
        <v>1.4142144528211023E-4</v>
      </c>
    </row>
    <row r="88" spans="1:11">
      <c r="A88" s="7" t="s">
        <v>11</v>
      </c>
      <c r="B88" s="94" t="s">
        <v>103</v>
      </c>
      <c r="C88" t="s">
        <v>168</v>
      </c>
      <c r="D88" s="8">
        <v>-2.0946725225333699E-9</v>
      </c>
      <c r="E88" s="8">
        <v>1.0329532553235599E-9</v>
      </c>
      <c r="F88" s="8">
        <v>-6.3249215574727397E-10</v>
      </c>
      <c r="G88" s="8">
        <v>2.4196470262047901E-9</v>
      </c>
      <c r="H88" s="8">
        <v>-9.10648126888409E-5</v>
      </c>
      <c r="I88" s="8">
        <v>3.8787695675923402E-5</v>
      </c>
      <c r="J88" s="8">
        <v>-2.24061246164525E-4</v>
      </c>
      <c r="K88" s="45">
        <f t="shared" si="3"/>
        <v>2.4495045923349804E-4</v>
      </c>
    </row>
    <row r="89" spans="1:11">
      <c r="A89" s="7" t="s">
        <v>11</v>
      </c>
      <c r="B89" s="94" t="s">
        <v>103</v>
      </c>
      <c r="C89" t="s">
        <v>169</v>
      </c>
      <c r="D89" s="8">
        <v>-1.4424447005273699E-9</v>
      </c>
      <c r="E89" s="8">
        <v>-4.5660293596262399E-10</v>
      </c>
      <c r="F89" s="8">
        <v>-1.76971124967276E-9</v>
      </c>
      <c r="G89" s="8">
        <v>2.3283064365386901E-9</v>
      </c>
      <c r="H89" s="8">
        <v>-9.1614143338645106E-5</v>
      </c>
      <c r="I89" s="8">
        <v>3.6577967518201202E-5</v>
      </c>
      <c r="J89" s="8">
        <v>-2.2420951788341701E-4</v>
      </c>
      <c r="K89" s="45">
        <f t="shared" si="3"/>
        <v>2.4495102954866444E-4</v>
      </c>
    </row>
    <row r="90" spans="1:11">
      <c r="A90" s="7" t="s">
        <v>11</v>
      </c>
      <c r="B90" s="94" t="s">
        <v>103</v>
      </c>
      <c r="C90" t="s">
        <v>170</v>
      </c>
      <c r="D90" s="8">
        <v>-9.4854891641343993E-10</v>
      </c>
      <c r="E90" s="8">
        <v>-6.2813039140763296E-10</v>
      </c>
      <c r="F90" s="8">
        <v>8.2156993272554403E-11</v>
      </c>
      <c r="G90" s="8">
        <v>1.1406325468715101E-9</v>
      </c>
      <c r="H90" s="8">
        <v>4.3795864109963003E-5</v>
      </c>
      <c r="I90" s="8">
        <v>8.32635799919182E-5</v>
      </c>
      <c r="J90" s="8">
        <v>5.7545584844775899E-4</v>
      </c>
      <c r="K90" s="45">
        <f t="shared" si="3"/>
        <v>5.8309547672652983E-4</v>
      </c>
    </row>
    <row r="91" spans="1:11">
      <c r="A91" s="7" t="s">
        <v>11</v>
      </c>
      <c r="B91" s="94" t="s">
        <v>103</v>
      </c>
      <c r="C91" t="s">
        <v>171</v>
      </c>
      <c r="D91" s="8">
        <v>1.30522291017507E-9</v>
      </c>
      <c r="E91" s="8">
        <v>1.0498115177392099E-10</v>
      </c>
      <c r="F91" s="8">
        <v>-1.4175890978397999E-10</v>
      </c>
      <c r="G91" s="8">
        <v>1.3170890159654299E-9</v>
      </c>
      <c r="H91" s="8">
        <v>1.52268057681589E-3</v>
      </c>
      <c r="I91" s="8">
        <v>7.6993967173975603E-4</v>
      </c>
      <c r="J91" s="8">
        <v>1.3653396352786599E-4</v>
      </c>
      <c r="K91" s="45">
        <f t="shared" si="3"/>
        <v>1.7117256673683792E-3</v>
      </c>
    </row>
    <row r="92" spans="1:11">
      <c r="A92" s="7" t="s">
        <v>11</v>
      </c>
      <c r="B92" s="94" t="s">
        <v>103</v>
      </c>
      <c r="C92" t="s">
        <v>172</v>
      </c>
      <c r="D92" s="8">
        <v>1.0256541574108099E-9</v>
      </c>
      <c r="E92" s="8">
        <v>-1.0749134597179E-10</v>
      </c>
      <c r="F92" s="8">
        <v>1.4381005671574899E-10</v>
      </c>
      <c r="G92" s="8">
        <v>1.0412502929101601E-9</v>
      </c>
      <c r="H92" s="8">
        <v>-8.8102909033567598E-4</v>
      </c>
      <c r="I92" s="8">
        <v>5.7292106823483803E-4</v>
      </c>
      <c r="J92" s="8">
        <v>2.3568435065198399E-4</v>
      </c>
      <c r="K92" s="45">
        <f t="shared" si="3"/>
        <v>1.0770319965475975E-3</v>
      </c>
    </row>
    <row r="93" spans="1:11">
      <c r="A93" s="7" t="s">
        <v>11</v>
      </c>
      <c r="B93" s="94" t="s">
        <v>103</v>
      </c>
      <c r="C93" t="s">
        <v>174</v>
      </c>
      <c r="D93" s="8">
        <v>-2.583982608955E-3</v>
      </c>
      <c r="E93" s="8">
        <v>1.076923216758E-3</v>
      </c>
      <c r="F93" s="8">
        <v>-1.5502478041729999E-3</v>
      </c>
      <c r="G93" s="8">
        <v>3.1999996863310001E-3</v>
      </c>
      <c r="H93" s="8">
        <v>5.8986864063180802E-5</v>
      </c>
      <c r="I93" s="8">
        <v>1.28196197834202E-4</v>
      </c>
      <c r="J93" s="8">
        <v>-9.2652173717836506E-6</v>
      </c>
      <c r="K93" s="45">
        <f t="shared" si="3"/>
        <v>1.4141979891125721E-4</v>
      </c>
    </row>
    <row r="94" spans="1:11">
      <c r="A94" s="7" t="s">
        <v>11</v>
      </c>
      <c r="B94" s="94" t="s">
        <v>103</v>
      </c>
      <c r="C94" t="s">
        <v>175</v>
      </c>
      <c r="D94" s="8">
        <v>2.77168442513735E-10</v>
      </c>
      <c r="E94" s="8">
        <v>2.1851576800604599E-10</v>
      </c>
      <c r="F94" s="8">
        <v>-3.0375804204059899E-10</v>
      </c>
      <c r="G94" s="8">
        <v>4.65661287307739E-10</v>
      </c>
      <c r="H94" s="8">
        <v>-4.1664985801902101E-4</v>
      </c>
      <c r="I94" s="8">
        <v>-5.7201347399789704E-4</v>
      </c>
      <c r="J94" s="8">
        <v>2.8142928449458E-4</v>
      </c>
      <c r="K94" s="45">
        <f t="shared" si="3"/>
        <v>7.6157662831362186E-4</v>
      </c>
    </row>
    <row r="95" spans="1:11">
      <c r="A95" s="7" t="s">
        <v>11</v>
      </c>
      <c r="B95" s="94" t="s">
        <v>103</v>
      </c>
      <c r="C95" t="s">
        <v>176</v>
      </c>
      <c r="D95" s="8">
        <v>-1.5952863217644899E-9</v>
      </c>
      <c r="E95" s="8">
        <v>-6.8537303089080097E-10</v>
      </c>
      <c r="F95" s="8">
        <v>1.4522893333654099E-10</v>
      </c>
      <c r="G95" s="8">
        <v>1.74234499538966E-9</v>
      </c>
      <c r="H95" s="8">
        <v>4.9411568059101599E-4</v>
      </c>
      <c r="I95" s="8">
        <v>1.01726099338235E-3</v>
      </c>
      <c r="J95" s="8">
        <v>-3.2045388138763103E-5</v>
      </c>
      <c r="K95" s="45">
        <f t="shared" si="3"/>
        <v>1.1313695865472664E-3</v>
      </c>
    </row>
    <row r="96" spans="1:11">
      <c r="A96" s="7" t="s">
        <v>11</v>
      </c>
      <c r="B96" s="94" t="s">
        <v>103</v>
      </c>
      <c r="C96" t="s">
        <v>177</v>
      </c>
      <c r="D96" s="8">
        <v>-9.3627697085615504E-10</v>
      </c>
      <c r="E96" s="8">
        <v>-1.0243456078011101E-9</v>
      </c>
      <c r="F96" s="8">
        <v>-1.60204307360598E-10</v>
      </c>
      <c r="G96" s="8">
        <v>1.3969838619232099E-9</v>
      </c>
      <c r="H96" s="8">
        <v>1.21949855094309E-3</v>
      </c>
      <c r="I96" s="8">
        <v>2.9739432116926499E-4</v>
      </c>
      <c r="J96" s="8">
        <v>2.7272214712699302E-4</v>
      </c>
      <c r="K96" s="45">
        <f t="shared" si="3"/>
        <v>1.2845222721111463E-3</v>
      </c>
    </row>
    <row r="97" spans="1:11">
      <c r="A97" s="7" t="s">
        <v>11</v>
      </c>
      <c r="B97" s="94" t="s">
        <v>103</v>
      </c>
      <c r="C97" t="s">
        <v>178</v>
      </c>
      <c r="D97" s="8">
        <v>9.3317185787655293E-10</v>
      </c>
      <c r="E97" s="8">
        <v>-8.6875080582346504E-11</v>
      </c>
      <c r="F97" s="8">
        <v>-6.5014276203279996E-10</v>
      </c>
      <c r="G97" s="8">
        <v>1.1406325468715101E-9</v>
      </c>
      <c r="H97" s="8">
        <v>9.3317185787655293E-10</v>
      </c>
      <c r="I97" s="8">
        <v>7.9208982693968494E-5</v>
      </c>
      <c r="J97" s="8">
        <v>6.1039413122169703E-5</v>
      </c>
      <c r="K97" s="45">
        <f t="shared" si="3"/>
        <v>9.999936447089608E-5</v>
      </c>
    </row>
    <row r="98" spans="1:11">
      <c r="A98" s="7" t="s">
        <v>11</v>
      </c>
      <c r="B98" s="94" t="s">
        <v>103</v>
      </c>
      <c r="C98" t="s">
        <v>179</v>
      </c>
      <c r="D98" s="8">
        <v>-1.8688699061313599E-10</v>
      </c>
      <c r="E98" s="8">
        <v>-5.6489186818538696E-10</v>
      </c>
      <c r="F98" s="8">
        <v>8.5450137652498296E-10</v>
      </c>
      <c r="G98" s="8">
        <v>1.0412502929101601E-9</v>
      </c>
      <c r="H98" s="8">
        <v>9.6017001004452E-4</v>
      </c>
      <c r="I98" s="8">
        <v>-1.79589450262962E-4</v>
      </c>
      <c r="J98" s="8">
        <v>-4.5367516094827398E-4</v>
      </c>
      <c r="K98" s="45">
        <f t="shared" si="3"/>
        <v>1.0770329477300538E-3</v>
      </c>
    </row>
    <row r="99" spans="1:11">
      <c r="A99" s="7" t="s">
        <v>11</v>
      </c>
      <c r="B99" s="94" t="s">
        <v>103</v>
      </c>
      <c r="C99" t="s">
        <v>180</v>
      </c>
      <c r="D99" s="8">
        <v>-1.7509706305343199E-9</v>
      </c>
      <c r="E99" s="8">
        <v>4.6201169729436601E-10</v>
      </c>
      <c r="F99" s="8">
        <v>-6.37914123546511E-10</v>
      </c>
      <c r="G99" s="8">
        <v>1.9199706733308998E-9</v>
      </c>
      <c r="H99" s="8">
        <v>-1.6609366691409699E-5</v>
      </c>
      <c r="I99" s="8">
        <v>1.6337024695161801E-4</v>
      </c>
      <c r="J99" s="8">
        <v>-5.5087703633139902E-5</v>
      </c>
      <c r="K99" s="45">
        <f t="shared" si="3"/>
        <v>1.7320613078784198E-4</v>
      </c>
    </row>
    <row r="100" spans="1:11">
      <c r="A100" s="7" t="s">
        <v>11</v>
      </c>
      <c r="B100" s="94" t="s">
        <v>103</v>
      </c>
      <c r="C100" t="s">
        <v>181</v>
      </c>
      <c r="D100" s="8">
        <v>1.8955961003049901E-10</v>
      </c>
      <c r="E100" s="8">
        <v>2.4955150055644098E-10</v>
      </c>
      <c r="F100" s="8">
        <v>-1.0967378035782799E-9</v>
      </c>
      <c r="G100" s="8">
        <v>1.1406325468715101E-9</v>
      </c>
      <c r="H100" s="8">
        <v>7.9967397648503605E-4</v>
      </c>
      <c r="I100" s="8">
        <v>-3.8041594705442701E-4</v>
      </c>
      <c r="J100" s="8">
        <v>-1.6063935129630299E-4</v>
      </c>
      <c r="K100" s="45">
        <f t="shared" si="3"/>
        <v>8.9999986812532571E-4</v>
      </c>
    </row>
    <row r="101" spans="1:11">
      <c r="A101" s="7" t="s">
        <v>11</v>
      </c>
      <c r="B101" s="94" t="s">
        <v>103</v>
      </c>
      <c r="C101" t="s">
        <v>182</v>
      </c>
      <c r="D101" s="8">
        <v>-6.5210863525267602E-10</v>
      </c>
      <c r="E101" s="8">
        <v>3.1502722973089598E-10</v>
      </c>
      <c r="F101" s="8">
        <v>3.5501193761375299E-10</v>
      </c>
      <c r="G101" s="8">
        <v>8.06549008734932E-10</v>
      </c>
      <c r="H101" s="8">
        <v>9.8615386146199004E-5</v>
      </c>
      <c r="I101" s="8">
        <v>-5.0349180716164103E-4</v>
      </c>
      <c r="J101" s="8">
        <v>4.9676064223622097E-4</v>
      </c>
      <c r="K101" s="45">
        <f t="shared" si="3"/>
        <v>7.1414293382949731E-4</v>
      </c>
    </row>
    <row r="102" spans="1:11">
      <c r="A102" s="7" t="s">
        <v>11</v>
      </c>
      <c r="B102" s="94" t="s">
        <v>103</v>
      </c>
      <c r="C102" t="s">
        <v>183</v>
      </c>
      <c r="D102" s="8">
        <v>-1.1548697225386499E-9</v>
      </c>
      <c r="E102" s="8">
        <v>-1.8671225584888701E-10</v>
      </c>
      <c r="F102" s="8">
        <v>-2.0662201611648099E-9</v>
      </c>
      <c r="G102" s="8">
        <v>2.3744159907068898E-9</v>
      </c>
      <c r="H102" s="8">
        <v>-9.6193771166639395E-5</v>
      </c>
      <c r="I102" s="8">
        <v>-2.4761526854811001E-5</v>
      </c>
      <c r="J102" s="8">
        <v>5.2927452454302505E-4</v>
      </c>
      <c r="K102" s="45">
        <f t="shared" si="3"/>
        <v>5.3851452826612445E-4</v>
      </c>
    </row>
    <row r="103" spans="1:11">
      <c r="A103" s="7" t="s">
        <v>11</v>
      </c>
      <c r="B103" s="94" t="s">
        <v>103</v>
      </c>
      <c r="C103" t="s">
        <v>184</v>
      </c>
      <c r="D103" s="8">
        <v>-1.01759259969011E-9</v>
      </c>
      <c r="E103" s="8">
        <v>5.0660568177326602E-10</v>
      </c>
      <c r="F103" s="8">
        <v>9.4332344577946798E-11</v>
      </c>
      <c r="G103" s="8">
        <v>1.1406325468715101E-9</v>
      </c>
      <c r="H103" s="8">
        <v>6.2662224954423705E-5</v>
      </c>
      <c r="I103" s="8">
        <v>-1.16290968424208E-4</v>
      </c>
      <c r="J103" s="8">
        <v>-1.8041531629685699E-4</v>
      </c>
      <c r="K103" s="45">
        <f t="shared" si="3"/>
        <v>2.2360641790381127E-4</v>
      </c>
    </row>
    <row r="104" spans="1:11">
      <c r="A104" s="7" t="s">
        <v>11</v>
      </c>
      <c r="B104" s="94" t="s">
        <v>103</v>
      </c>
      <c r="C104" t="s">
        <v>186</v>
      </c>
      <c r="D104" s="8">
        <v>1.30343529875437E-9</v>
      </c>
      <c r="E104" s="8">
        <v>4.9121056491477603E-10</v>
      </c>
      <c r="F104" s="8">
        <v>1.06454278218871E-10</v>
      </c>
      <c r="G104" s="8">
        <v>1.3969838619232099E-9</v>
      </c>
      <c r="H104" s="8">
        <v>1.3995673835151399E-4</v>
      </c>
      <c r="I104" s="8">
        <v>1.1456134436555301E-5</v>
      </c>
      <c r="J104" s="8">
        <v>-1.67709894780317E-5</v>
      </c>
      <c r="K104" s="45">
        <f t="shared" ref="K104:K122" si="4">SQRT(H104^2+I104^2+J104^2)</f>
        <v>1.4142276236269331E-4</v>
      </c>
    </row>
    <row r="105" spans="1:11">
      <c r="A105" s="7" t="s">
        <v>11</v>
      </c>
      <c r="B105" s="94" t="s">
        <v>103</v>
      </c>
      <c r="C105" t="s">
        <v>187</v>
      </c>
      <c r="D105" s="8">
        <v>1.22626287465258E-9</v>
      </c>
      <c r="E105" s="8">
        <v>4.9447209653482399E-10</v>
      </c>
      <c r="F105" s="8">
        <v>-6.4821374018779098E-10</v>
      </c>
      <c r="G105" s="8">
        <v>1.4725502860585099E-9</v>
      </c>
      <c r="H105" s="8">
        <v>1.1401757723243399E-3</v>
      </c>
      <c r="I105" s="8">
        <v>-1.5988530282635901E-4</v>
      </c>
      <c r="J105" s="8">
        <v>-1.20160766728689E-4</v>
      </c>
      <c r="K105" s="45">
        <f t="shared" si="4"/>
        <v>1.1575848615613922E-3</v>
      </c>
    </row>
    <row r="106" spans="1:11">
      <c r="A106" s="7" t="s">
        <v>11</v>
      </c>
      <c r="B106" s="94" t="s">
        <v>103</v>
      </c>
      <c r="C106" t="s">
        <v>188</v>
      </c>
      <c r="D106" s="8">
        <v>-2.3900873945009401E-9</v>
      </c>
      <c r="E106" s="8">
        <v>8.1979302837074595E-10</v>
      </c>
      <c r="F106" s="8">
        <v>-3.47325023854352E-10</v>
      </c>
      <c r="G106" s="8">
        <v>2.5505319121534199E-9</v>
      </c>
      <c r="H106" s="8">
        <v>8.1697746115269696E-4</v>
      </c>
      <c r="I106" s="8">
        <v>5.37065955026819E-4</v>
      </c>
      <c r="J106" s="8">
        <v>-6.4073952719859094E-5</v>
      </c>
      <c r="K106" s="45">
        <f t="shared" si="4"/>
        <v>9.7979461291513659E-4</v>
      </c>
    </row>
    <row r="107" spans="1:11">
      <c r="A107" s="7" t="s">
        <v>11</v>
      </c>
      <c r="B107" s="94" t="s">
        <v>103</v>
      </c>
      <c r="C107" t="s">
        <v>189</v>
      </c>
      <c r="D107" s="8">
        <v>0</v>
      </c>
      <c r="E107" s="8">
        <v>-3.7879184615747899E-10</v>
      </c>
      <c r="F107" s="8">
        <v>-2.7084529123045299E-10</v>
      </c>
      <c r="G107" s="8">
        <v>4.65661287307739E-10</v>
      </c>
      <c r="H107" s="8">
        <v>6.3361004899423198E-5</v>
      </c>
      <c r="I107" s="8">
        <v>-3.6347270638261601E-5</v>
      </c>
      <c r="J107" s="8">
        <v>-1.21096561846787E-4</v>
      </c>
      <c r="K107" s="45">
        <f t="shared" si="4"/>
        <v>1.4142177454631402E-4</v>
      </c>
    </row>
    <row r="108" spans="1:11">
      <c r="A108" s="7" t="s">
        <v>11</v>
      </c>
      <c r="B108" s="94" t="s">
        <v>103</v>
      </c>
      <c r="C108" t="s">
        <v>190</v>
      </c>
      <c r="D108" s="8">
        <v>0</v>
      </c>
      <c r="E108" s="8">
        <v>3.78887596930449E-10</v>
      </c>
      <c r="F108" s="8">
        <v>2.7071132852056702E-10</v>
      </c>
      <c r="G108" s="8">
        <v>4.65661287307739E-10</v>
      </c>
      <c r="H108" s="8">
        <v>-2.8980660616438801E-5</v>
      </c>
      <c r="I108" s="8">
        <v>2.4493070042727702E-4</v>
      </c>
      <c r="J108" s="8">
        <v>-1.7078975395600201E-4</v>
      </c>
      <c r="K108" s="45">
        <f t="shared" si="4"/>
        <v>3.0000011126316841E-4</v>
      </c>
    </row>
    <row r="109" spans="1:11">
      <c r="A109" s="7" t="s">
        <v>11</v>
      </c>
      <c r="B109" s="94" t="s">
        <v>103</v>
      </c>
      <c r="C109" t="s">
        <v>191</v>
      </c>
      <c r="D109" s="8">
        <v>-1.6064832300301201E-9</v>
      </c>
      <c r="E109" s="8">
        <v>4.5023875134643999E-10</v>
      </c>
      <c r="F109" s="8">
        <v>9.5014950658761193E-10</v>
      </c>
      <c r="G109" s="8">
        <v>1.9199706733308998E-9</v>
      </c>
      <c r="H109" s="8">
        <v>9.1025939745118504E-5</v>
      </c>
      <c r="I109" s="8">
        <v>-1.2289144339869401E-4</v>
      </c>
      <c r="J109" s="8">
        <v>1.6313152575436E-4</v>
      </c>
      <c r="K109" s="45">
        <f t="shared" si="4"/>
        <v>2.2360662615862208E-4</v>
      </c>
    </row>
    <row r="110" spans="1:11">
      <c r="A110" s="7" t="s">
        <v>11</v>
      </c>
      <c r="B110" s="94" t="s">
        <v>103</v>
      </c>
      <c r="C110" t="s">
        <v>192</v>
      </c>
      <c r="D110" s="8">
        <v>-1.49141955982098E-9</v>
      </c>
      <c r="E110" s="8">
        <v>-2.4384247892784799E-12</v>
      </c>
      <c r="F110" s="8">
        <v>1.5262080051903301E-9</v>
      </c>
      <c r="G110" s="8">
        <v>2.1339280972982901E-9</v>
      </c>
      <c r="H110" s="8">
        <v>-9.9785804350369602E-5</v>
      </c>
      <c r="I110" s="8">
        <v>2.8061385918588903E-4</v>
      </c>
      <c r="J110" s="8">
        <v>-3.6037786355692402E-5</v>
      </c>
      <c r="K110" s="45">
        <f t="shared" si="4"/>
        <v>3.0000011127075723E-4</v>
      </c>
    </row>
    <row r="111" spans="1:11">
      <c r="A111" s="7" t="s">
        <v>11</v>
      </c>
      <c r="B111" s="94" t="s">
        <v>103</v>
      </c>
      <c r="C111" t="s">
        <v>193</v>
      </c>
      <c r="D111" s="8">
        <v>1.58935088696609E-9</v>
      </c>
      <c r="E111" s="8">
        <v>-4.0546706728793001E-11</v>
      </c>
      <c r="F111" s="8">
        <v>-7.1280137880966601E-10</v>
      </c>
      <c r="G111" s="8">
        <v>1.74234499538966E-9</v>
      </c>
      <c r="H111" s="8">
        <v>6.0885414374740803E-5</v>
      </c>
      <c r="I111" s="8">
        <v>4.82421953288792E-5</v>
      </c>
      <c r="J111" s="8">
        <v>-6.2975410526500204E-5</v>
      </c>
      <c r="K111" s="45">
        <f t="shared" si="4"/>
        <v>1.0000122711604524E-4</v>
      </c>
    </row>
    <row r="112" spans="1:11">
      <c r="A112" s="7" t="s">
        <v>11</v>
      </c>
      <c r="B112" s="94" t="s">
        <v>103</v>
      </c>
      <c r="C112" t="s">
        <v>194</v>
      </c>
      <c r="D112" s="8">
        <v>-3.63666015862725E-9</v>
      </c>
      <c r="E112" s="8">
        <v>-2.60726694302474E-11</v>
      </c>
      <c r="F112" s="8">
        <v>3.5911152656179698E-11</v>
      </c>
      <c r="G112" s="8">
        <v>3.63693091827754E-9</v>
      </c>
      <c r="H112" s="8">
        <v>-1.5519885912111301E-4</v>
      </c>
      <c r="I112" s="8">
        <v>-6.8046029072122704E-6</v>
      </c>
      <c r="J112" s="8">
        <v>-1.608357718268E-4</v>
      </c>
      <c r="K112" s="45">
        <f t="shared" si="4"/>
        <v>2.2360933341956547E-4</v>
      </c>
    </row>
    <row r="113" spans="1:11">
      <c r="A113" s="7" t="s">
        <v>11</v>
      </c>
      <c r="B113" s="94" t="s">
        <v>103</v>
      </c>
      <c r="C113" t="s">
        <v>195</v>
      </c>
      <c r="D113" s="8">
        <v>-1.30996969311373E-9</v>
      </c>
      <c r="E113" s="8">
        <v>2.9598908731390799E-10</v>
      </c>
      <c r="F113" s="8">
        <v>3.8462159818253102E-10</v>
      </c>
      <c r="G113" s="8">
        <v>1.3969838619232099E-9</v>
      </c>
      <c r="H113" s="8">
        <v>-1.3099696931137401E-9</v>
      </c>
      <c r="I113" s="8">
        <v>1.6169543195612099E-4</v>
      </c>
      <c r="J113" s="8">
        <v>1.17706516027499E-4</v>
      </c>
      <c r="K113" s="45">
        <f t="shared" si="4"/>
        <v>2.000005915804362E-4</v>
      </c>
    </row>
    <row r="114" spans="1:11">
      <c r="A114" s="7" t="s">
        <v>11</v>
      </c>
      <c r="B114" s="94" t="s">
        <v>103</v>
      </c>
      <c r="C114" t="s">
        <v>196</v>
      </c>
      <c r="D114" s="8">
        <v>-3.7061751825798201E-9</v>
      </c>
      <c r="E114" s="8">
        <v>3.5189995731761098E-10</v>
      </c>
      <c r="F114" s="8">
        <v>-4.84830051029038E-10</v>
      </c>
      <c r="G114" s="8">
        <v>3.7542813216794902E-9</v>
      </c>
      <c r="H114" s="8">
        <v>-4.7874859049896203E-5</v>
      </c>
      <c r="I114" s="8">
        <v>-4.7371996351399101E-5</v>
      </c>
      <c r="J114" s="8">
        <v>2.35508090157395E-4</v>
      </c>
      <c r="K114" s="45">
        <f t="shared" si="4"/>
        <v>2.4494931862927911E-4</v>
      </c>
    </row>
    <row r="115" spans="1:11">
      <c r="A115" s="7" t="s">
        <v>11</v>
      </c>
      <c r="B115" s="94" t="s">
        <v>103</v>
      </c>
      <c r="C115" t="s">
        <v>197</v>
      </c>
      <c r="D115" s="8">
        <v>3.5988144014770298E-10</v>
      </c>
      <c r="E115" s="8">
        <v>-5.5019348479733605E-10</v>
      </c>
      <c r="F115" s="8">
        <v>-3.8122792630921901E-11</v>
      </c>
      <c r="G115" s="8">
        <v>6.5854450798271898E-10</v>
      </c>
      <c r="H115" s="8">
        <v>-9.1107594363529294E-5</v>
      </c>
      <c r="I115" s="8">
        <v>1.21071776238946E-4</v>
      </c>
      <c r="J115" s="8">
        <v>-1.64441057448439E-4</v>
      </c>
      <c r="K115" s="45">
        <f t="shared" si="4"/>
        <v>2.2360641790235722E-4</v>
      </c>
    </row>
    <row r="116" spans="1:11">
      <c r="A116" s="7" t="s">
        <v>11</v>
      </c>
      <c r="B116" s="94" t="s">
        <v>103</v>
      </c>
      <c r="C116" t="s">
        <v>198</v>
      </c>
      <c r="D116" s="8">
        <v>9.3700868734888594E-10</v>
      </c>
      <c r="E116" s="8">
        <v>-9.5475737242076698E-11</v>
      </c>
      <c r="F116" s="8">
        <v>-6.43383019991515E-10</v>
      </c>
      <c r="G116" s="8">
        <v>1.1406325468715101E-9</v>
      </c>
      <c r="H116" s="8">
        <v>-2.44483401061467E-5</v>
      </c>
      <c r="I116" s="8">
        <v>2.0827566067201799E-5</v>
      </c>
      <c r="J116" s="8">
        <v>4.6793999278683501E-4</v>
      </c>
      <c r="K116" s="45">
        <f t="shared" si="4"/>
        <v>4.6904087848669723E-4</v>
      </c>
    </row>
    <row r="117" spans="1:11">
      <c r="A117" s="7" t="s">
        <v>11</v>
      </c>
      <c r="B117" s="94" t="s">
        <v>103</v>
      </c>
      <c r="C117" t="s">
        <v>199</v>
      </c>
      <c r="D117" s="8">
        <v>-2.6153260788672901E-9</v>
      </c>
      <c r="E117" s="8">
        <v>-5.6041951946368302E-10</v>
      </c>
      <c r="F117" s="8">
        <v>-4.1638945772279397E-11</v>
      </c>
      <c r="G117" s="8">
        <v>2.6750204370068499E-9</v>
      </c>
      <c r="H117" s="8">
        <v>-1.40412280353747E-4</v>
      </c>
      <c r="I117" s="8">
        <v>5.3894704203089701E-4</v>
      </c>
      <c r="J117" s="8">
        <v>4.4701340012190502E-4</v>
      </c>
      <c r="K117" s="45">
        <f t="shared" si="4"/>
        <v>7.1414319465814354E-4</v>
      </c>
    </row>
    <row r="118" spans="1:11">
      <c r="A118" s="7" t="s">
        <v>11</v>
      </c>
      <c r="B118" s="94" t="s">
        <v>103</v>
      </c>
      <c r="C118" t="s">
        <v>200</v>
      </c>
      <c r="D118" s="8">
        <v>0</v>
      </c>
      <c r="E118" s="8">
        <v>-3.74163193246925E-10</v>
      </c>
      <c r="F118" s="8">
        <v>-2.7720450810974301E-10</v>
      </c>
      <c r="G118" s="8">
        <v>4.65661287307739E-10</v>
      </c>
      <c r="H118" s="8">
        <v>4.9706740296411298E-5</v>
      </c>
      <c r="I118" s="8">
        <v>-1.1127240284634699E-4</v>
      </c>
      <c r="J118" s="8">
        <v>-3.5376244658672098E-4</v>
      </c>
      <c r="K118" s="45">
        <f t="shared" si="4"/>
        <v>3.7416597424287158E-4</v>
      </c>
    </row>
    <row r="119" spans="1:11">
      <c r="A119" s="7" t="s">
        <v>11</v>
      </c>
      <c r="B119" s="94" t="s">
        <v>103</v>
      </c>
      <c r="C119" t="s">
        <v>201</v>
      </c>
      <c r="D119" s="8">
        <v>1.77407506377288E-9</v>
      </c>
      <c r="E119" s="8">
        <v>-8.0414215719311002E-10</v>
      </c>
      <c r="F119" s="8">
        <v>3.3036476820606599E-10</v>
      </c>
      <c r="G119" s="8">
        <v>1.9756335239481501E-9</v>
      </c>
      <c r="H119" s="8">
        <v>-2.2348971394025902E-3</v>
      </c>
      <c r="I119" s="8">
        <v>-8.89741949884372E-4</v>
      </c>
      <c r="J119" s="8">
        <v>3.9190104723735801E-4</v>
      </c>
      <c r="K119" s="45">
        <f t="shared" si="4"/>
        <v>2.437209960573701E-3</v>
      </c>
    </row>
    <row r="120" spans="1:11">
      <c r="A120" s="7" t="s">
        <v>11</v>
      </c>
      <c r="B120" s="94" t="s">
        <v>103</v>
      </c>
      <c r="C120" t="s">
        <v>202</v>
      </c>
      <c r="D120" s="8">
        <v>0</v>
      </c>
      <c r="E120" s="8">
        <v>3.7099903116487501E-10</v>
      </c>
      <c r="F120" s="8">
        <v>2.8142521808079802E-10</v>
      </c>
      <c r="G120" s="8">
        <v>4.65661287307739E-10</v>
      </c>
      <c r="H120" s="8">
        <v>1.4050133949028101E-4</v>
      </c>
      <c r="I120" s="8">
        <v>-1.49610672306907E-4</v>
      </c>
      <c r="J120" s="8">
        <v>-1.33700473019359E-4</v>
      </c>
      <c r="K120" s="45">
        <f t="shared" si="4"/>
        <v>2.4494855817556522E-4</v>
      </c>
    </row>
    <row r="121" spans="1:11" ht="16" thickBot="1">
      <c r="A121" s="47" t="s">
        <v>11</v>
      </c>
      <c r="B121" s="95" t="s">
        <v>103</v>
      </c>
      <c r="C121" s="46" t="s">
        <v>203</v>
      </c>
      <c r="D121" s="48">
        <v>-1.3089839837088699E-9</v>
      </c>
      <c r="E121" s="48">
        <v>-8.2286989502456201E-10</v>
      </c>
      <c r="F121" s="48">
        <v>-4.5992529852263003E-10</v>
      </c>
      <c r="G121" s="48">
        <v>1.6130980174698601E-9</v>
      </c>
      <c r="H121" s="48">
        <v>-1.5666291092537501E-5</v>
      </c>
      <c r="I121" s="48">
        <v>8.0460497732179201E-6</v>
      </c>
      <c r="J121" s="48">
        <v>-1.7230761082841201E-4</v>
      </c>
      <c r="K121" s="49">
        <f t="shared" si="4"/>
        <v>1.7320532423382575E-4</v>
      </c>
    </row>
    <row r="122" spans="1:11">
      <c r="A122" s="5" t="s">
        <v>11</v>
      </c>
      <c r="B122" s="93" t="s">
        <v>205</v>
      </c>
      <c r="C122" s="6" t="s">
        <v>204</v>
      </c>
      <c r="D122" s="43">
        <v>3.0126415552905798E-4</v>
      </c>
      <c r="E122" s="43">
        <v>4.0213345109521201E-4</v>
      </c>
      <c r="F122" s="43">
        <v>-1.9372645443458601E-4</v>
      </c>
      <c r="G122" s="43">
        <v>5.3851772769722005E-4</v>
      </c>
      <c r="H122" s="43">
        <v>3.0126415552905798E-4</v>
      </c>
      <c r="I122" s="43">
        <v>4.0213345109521201E-4</v>
      </c>
      <c r="J122" s="43">
        <v>-1.9372645443458601E-4</v>
      </c>
      <c r="K122" s="44">
        <f t="shared" si="4"/>
        <v>5.3851772769722027E-4</v>
      </c>
    </row>
    <row r="123" spans="1:11">
      <c r="A123" s="7" t="s">
        <v>11</v>
      </c>
      <c r="B123" s="94" t="s">
        <v>205</v>
      </c>
      <c r="C123" t="s">
        <v>207</v>
      </c>
      <c r="D123" s="8">
        <v>2.6011353409871401E-4</v>
      </c>
      <c r="E123" s="8">
        <v>2.6813237303204701E-4</v>
      </c>
      <c r="F123" s="8">
        <v>-2.1113589527434501E-5</v>
      </c>
      <c r="G123" s="8">
        <v>3.7416547642968502E-4</v>
      </c>
      <c r="H123" s="8">
        <v>2.0511866380873201E-4</v>
      </c>
      <c r="I123" s="8">
        <v>2.42916453676101E-4</v>
      </c>
      <c r="J123" s="8">
        <v>-1.0017930172227499E-2</v>
      </c>
      <c r="K123" s="45">
        <f t="shared" ref="K123:K125" si="5">SQRT(H123^2+I123^2+J123^2)</f>
        <v>1.0022973960124576E-2</v>
      </c>
    </row>
    <row r="124" spans="1:11">
      <c r="A124" s="7" t="s">
        <v>11</v>
      </c>
      <c r="B124" s="94" t="s">
        <v>205</v>
      </c>
      <c r="C124" t="s">
        <v>208</v>
      </c>
      <c r="D124" s="8">
        <v>-4.78278297886707E-4</v>
      </c>
      <c r="E124" s="8">
        <v>2.20496166716202E-4</v>
      </c>
      <c r="F124" s="8">
        <v>-2.8745643971688699E-4</v>
      </c>
      <c r="G124" s="8">
        <v>5.9999991208387103E-4</v>
      </c>
      <c r="H124" s="8">
        <v>-4.78278297886707E-4</v>
      </c>
      <c r="I124" s="8">
        <v>2.20496166716203E-4</v>
      </c>
      <c r="J124" s="8">
        <v>-2.8745643971688802E-4</v>
      </c>
      <c r="K124" s="45">
        <f t="shared" si="5"/>
        <v>5.9999991208387201E-4</v>
      </c>
    </row>
    <row r="125" spans="1:11" ht="16" thickBot="1">
      <c r="A125" s="47" t="s">
        <v>11</v>
      </c>
      <c r="B125" s="95" t="s">
        <v>205</v>
      </c>
      <c r="C125" s="46" t="s">
        <v>209</v>
      </c>
      <c r="D125" s="48">
        <v>7.9862002989093296E-5</v>
      </c>
      <c r="E125" s="48">
        <v>-3.5383820197518602E-4</v>
      </c>
      <c r="F125" s="48">
        <v>-1.9601212919276501E-4</v>
      </c>
      <c r="G125" s="48">
        <v>4.1231076567213701E-4</v>
      </c>
      <c r="H125" s="48">
        <v>7.9862002989093296E-5</v>
      </c>
      <c r="I125" s="48">
        <v>-3.5383820197518602E-4</v>
      </c>
      <c r="J125" s="48">
        <v>-1.9601212919276599E-4</v>
      </c>
      <c r="K125" s="49">
        <f t="shared" si="5"/>
        <v>4.1231076567213728E-4</v>
      </c>
    </row>
    <row r="136" spans="1:21">
      <c r="A136" s="7"/>
      <c r="N136" s="8"/>
      <c r="O136" s="8"/>
      <c r="P136" s="8"/>
      <c r="Q136" s="8"/>
      <c r="R136" s="8"/>
      <c r="S136" s="8"/>
      <c r="T136" s="8"/>
      <c r="U136" s="8"/>
    </row>
  </sheetData>
  <mergeCells count="2">
    <mergeCell ref="D1:G1"/>
    <mergeCell ref="H1:K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0186-2EA9-2846-9F23-00845275FF39}">
  <dimension ref="A1:U219"/>
  <sheetViews>
    <sheetView workbookViewId="0">
      <selection activeCell="C3" sqref="C3:C5"/>
    </sheetView>
  </sheetViews>
  <sheetFormatPr baseColWidth="10" defaultRowHeight="15"/>
  <cols>
    <col min="2" max="2" width="19.1640625" bestFit="1" customWidth="1"/>
    <col min="4" max="4" width="14.5" bestFit="1" customWidth="1"/>
    <col min="5" max="6" width="13.33203125" bestFit="1" customWidth="1"/>
    <col min="7" max="7" width="12.83203125" bestFit="1" customWidth="1"/>
    <col min="8" max="8" width="14" bestFit="1" customWidth="1"/>
    <col min="9" max="9" width="14.5" bestFit="1" customWidth="1"/>
    <col min="10" max="10" width="13.33203125" bestFit="1" customWidth="1"/>
    <col min="11" max="11" width="12.83203125" bestFit="1" customWidth="1"/>
    <col min="12" max="12" width="14" bestFit="1" customWidth="1"/>
    <col min="14" max="14" width="14.5" bestFit="1" customWidth="1"/>
    <col min="15" max="15" width="13.33203125" bestFit="1" customWidth="1"/>
    <col min="16" max="16" width="12.83203125" bestFit="1" customWidth="1"/>
    <col min="17" max="17" width="14" bestFit="1" customWidth="1"/>
    <col min="18" max="18" width="14.5" bestFit="1" customWidth="1"/>
    <col min="19" max="19" width="13.33203125" bestFit="1" customWidth="1"/>
    <col min="20" max="20" width="12.83203125" bestFit="1" customWidth="1"/>
    <col min="21" max="21" width="14" bestFit="1" customWidth="1"/>
  </cols>
  <sheetData>
    <row r="1" spans="1:14" ht="20" thickBot="1">
      <c r="A1" s="81"/>
      <c r="B1" s="82"/>
      <c r="C1" s="82"/>
      <c r="D1" s="103" t="s">
        <v>261</v>
      </c>
      <c r="E1" s="103"/>
      <c r="F1" s="103"/>
      <c r="G1" s="103"/>
      <c r="H1" s="103" t="s">
        <v>262</v>
      </c>
      <c r="I1" s="103"/>
      <c r="J1" s="103"/>
      <c r="K1" s="104"/>
    </row>
    <row r="2" spans="1:14" ht="18" thickBot="1">
      <c r="A2" s="86" t="s">
        <v>1</v>
      </c>
      <c r="B2" s="92" t="s">
        <v>263</v>
      </c>
      <c r="C2" s="87" t="s">
        <v>0</v>
      </c>
      <c r="D2" s="90" t="s">
        <v>250</v>
      </c>
      <c r="E2" s="88" t="s">
        <v>252</v>
      </c>
      <c r="F2" s="88" t="s">
        <v>251</v>
      </c>
      <c r="G2" s="88" t="s">
        <v>253</v>
      </c>
      <c r="H2" s="88" t="s">
        <v>258</v>
      </c>
      <c r="I2" s="88" t="s">
        <v>259</v>
      </c>
      <c r="J2" s="88" t="s">
        <v>260</v>
      </c>
      <c r="K2" s="89" t="s">
        <v>253</v>
      </c>
      <c r="M2" s="85"/>
    </row>
    <row r="3" spans="1:14">
      <c r="A3" s="5" t="s">
        <v>11</v>
      </c>
      <c r="B3" s="93" t="s">
        <v>12</v>
      </c>
      <c r="C3" s="107" t="s">
        <v>19</v>
      </c>
      <c r="D3" s="43">
        <v>2.7308539103970599E-4</v>
      </c>
      <c r="E3" s="43">
        <v>1.2201955442453E-2</v>
      </c>
      <c r="F3" s="43">
        <v>1.00384393635025</v>
      </c>
      <c r="G3" s="43">
        <v>1.0039181295501201</v>
      </c>
      <c r="H3" s="43">
        <v>0.70620366112167099</v>
      </c>
      <c r="I3" s="43">
        <v>-0.106509863318447</v>
      </c>
      <c r="J3" s="43">
        <v>-0.197758584051792</v>
      </c>
      <c r="K3" s="44">
        <f t="shared" ref="K3:K16" si="0">SQRT(H3^2+I3^2+J3^2)</f>
        <v>0.74106438285208109</v>
      </c>
    </row>
    <row r="4" spans="1:14">
      <c r="A4" s="7" t="s">
        <v>11</v>
      </c>
      <c r="B4" s="94" t="s">
        <v>12</v>
      </c>
      <c r="C4" s="105" t="s">
        <v>20</v>
      </c>
      <c r="D4" s="8">
        <v>2.7315805805172501E-4</v>
      </c>
      <c r="E4" s="8">
        <v>1.2305644720564999E-2</v>
      </c>
      <c r="F4" s="8">
        <v>1.00499695381315</v>
      </c>
      <c r="G4" s="8">
        <v>1.00507232609451</v>
      </c>
      <c r="H4" s="8">
        <v>0.60236246641934199</v>
      </c>
      <c r="I4" s="8">
        <v>-0.174052068096132</v>
      </c>
      <c r="J4" s="8">
        <v>6.7315212757234996E-2</v>
      </c>
      <c r="K4" s="45">
        <f t="shared" si="0"/>
        <v>0.63060764444136364</v>
      </c>
    </row>
    <row r="5" spans="1:14" ht="16" thickBot="1">
      <c r="A5" s="47" t="s">
        <v>11</v>
      </c>
      <c r="B5" s="95" t="s">
        <v>12</v>
      </c>
      <c r="C5" s="106" t="s">
        <v>33</v>
      </c>
      <c r="D5" s="48">
        <v>-2.01903338320264E-4</v>
      </c>
      <c r="E5" s="48">
        <v>1.2482867448147E-2</v>
      </c>
      <c r="F5" s="48">
        <v>1.0048379943316801</v>
      </c>
      <c r="G5" s="48">
        <v>1.00491554749501</v>
      </c>
      <c r="H5" s="48">
        <v>0.634859850141131</v>
      </c>
      <c r="I5" s="48">
        <v>-0.165472823719749</v>
      </c>
      <c r="J5" s="48">
        <v>-6.5560086327815695E-2</v>
      </c>
      <c r="K5" s="49">
        <f t="shared" si="0"/>
        <v>0.65933785696736469</v>
      </c>
    </row>
    <row r="6" spans="1:14">
      <c r="A6" s="5" t="s">
        <v>11</v>
      </c>
      <c r="B6" s="93" t="s">
        <v>70</v>
      </c>
      <c r="C6" s="6" t="s">
        <v>75</v>
      </c>
      <c r="D6" s="43">
        <v>3.2018895602867499</v>
      </c>
      <c r="E6" s="43">
        <v>-1.9318868380701</v>
      </c>
      <c r="F6" s="43">
        <v>0.14112552635072401</v>
      </c>
      <c r="G6" s="43">
        <v>3.74221858334993</v>
      </c>
      <c r="H6" s="43">
        <v>3.2019678250255899</v>
      </c>
      <c r="I6" s="43">
        <v>-1.93184506711118</v>
      </c>
      <c r="J6" s="43">
        <v>0.14123566191640299</v>
      </c>
      <c r="K6" s="44">
        <f t="shared" si="0"/>
        <v>3.7422681395135049</v>
      </c>
    </row>
    <row r="7" spans="1:14">
      <c r="A7" s="7" t="s">
        <v>11</v>
      </c>
      <c r="B7" s="94" t="s">
        <v>70</v>
      </c>
      <c r="C7" t="s">
        <v>77</v>
      </c>
      <c r="D7" s="8">
        <v>2729259.2363684298</v>
      </c>
      <c r="E7" s="8">
        <v>-122241.28716557899</v>
      </c>
      <c r="F7" s="8">
        <v>147976.642643692</v>
      </c>
      <c r="G7" s="8">
        <v>2735999.9997</v>
      </c>
      <c r="H7" s="8">
        <v>2729259.2363614198</v>
      </c>
      <c r="I7" s="8">
        <v>-122241.287152014</v>
      </c>
      <c r="J7" s="8">
        <v>147976.64278428699</v>
      </c>
      <c r="K7" s="45">
        <f t="shared" si="0"/>
        <v>2735999.9997000019</v>
      </c>
    </row>
    <row r="8" spans="1:14">
      <c r="A8" s="7" t="s">
        <v>11</v>
      </c>
      <c r="B8" s="94" t="s">
        <v>70</v>
      </c>
      <c r="C8" t="s">
        <v>80</v>
      </c>
      <c r="D8" s="8">
        <v>-3821814.09873184</v>
      </c>
      <c r="E8" s="8">
        <v>-414999.49926144799</v>
      </c>
      <c r="F8" s="8">
        <v>348012.08140410599</v>
      </c>
      <c r="G8" s="8">
        <v>3859999.9997999999</v>
      </c>
      <c r="H8" s="8">
        <v>-3821814.0988308601</v>
      </c>
      <c r="I8" s="8">
        <v>-414999.499272199</v>
      </c>
      <c r="J8" s="8">
        <v>348012.08141312201</v>
      </c>
      <c r="K8" s="45">
        <f t="shared" si="0"/>
        <v>3859999.9999000011</v>
      </c>
      <c r="M8" s="8"/>
      <c r="N8" s="8"/>
    </row>
    <row r="9" spans="1:14">
      <c r="A9" s="7" t="s">
        <v>11</v>
      </c>
      <c r="B9" s="94" t="s">
        <v>70</v>
      </c>
      <c r="C9" t="s">
        <v>81</v>
      </c>
      <c r="D9" s="8">
        <v>0.228412907500049</v>
      </c>
      <c r="E9" s="8">
        <v>2.6425090064752399</v>
      </c>
      <c r="F9" s="8">
        <v>1.5814296483480801</v>
      </c>
      <c r="G9" s="8">
        <v>3.08803271328037</v>
      </c>
      <c r="H9" s="8">
        <v>0.228412907500049</v>
      </c>
      <c r="I9" s="8">
        <v>2.6425898279218401</v>
      </c>
      <c r="J9" s="8">
        <v>1.5814885368851299</v>
      </c>
      <c r="K9" s="45">
        <f t="shared" si="0"/>
        <v>3.0881320320296659</v>
      </c>
      <c r="M9" s="8"/>
    </row>
    <row r="10" spans="1:14" ht="16" thickBot="1">
      <c r="A10" s="47" t="s">
        <v>11</v>
      </c>
      <c r="B10" s="95" t="s">
        <v>70</v>
      </c>
      <c r="C10" s="46" t="s">
        <v>97</v>
      </c>
      <c r="D10" s="48">
        <v>2.4955227835097199E-4</v>
      </c>
      <c r="E10" s="48">
        <v>9.0051452417680899E-4</v>
      </c>
      <c r="F10" s="48">
        <v>3.11119815868551E-4</v>
      </c>
      <c r="G10" s="48">
        <v>9.8488491089549499E-4</v>
      </c>
      <c r="H10" s="48">
        <v>-4.6437429375855404</v>
      </c>
      <c r="I10" s="48">
        <v>-4.0382961910062196</v>
      </c>
      <c r="J10" s="48">
        <v>-3.1655852251470502E-2</v>
      </c>
      <c r="K10" s="49">
        <f t="shared" si="0"/>
        <v>6.1541194893869822</v>
      </c>
    </row>
    <row r="11" spans="1:14" ht="16" thickBot="1">
      <c r="A11" s="81" t="s">
        <v>11</v>
      </c>
      <c r="B11" s="96" t="s">
        <v>205</v>
      </c>
      <c r="C11" s="82" t="s">
        <v>206</v>
      </c>
      <c r="D11" s="83">
        <v>1.40327177629528</v>
      </c>
      <c r="E11" s="83">
        <v>-0.84494082941108495</v>
      </c>
      <c r="F11" s="83">
        <v>-0.66865555252821995</v>
      </c>
      <c r="G11" s="83">
        <v>1.76923625649025</v>
      </c>
      <c r="H11" s="83">
        <v>-4.00164561343959E-4</v>
      </c>
      <c r="I11" s="83">
        <v>-2.9307002474154398E-4</v>
      </c>
      <c r="J11" s="83">
        <v>-6.0330487382703995E-4</v>
      </c>
      <c r="K11" s="84">
        <f t="shared" si="0"/>
        <v>7.8102399856923277E-4</v>
      </c>
    </row>
    <row r="12" spans="1:14">
      <c r="A12" s="7" t="s">
        <v>11</v>
      </c>
      <c r="B12" s="94" t="s">
        <v>236</v>
      </c>
      <c r="C12" t="s">
        <v>237</v>
      </c>
      <c r="D12" s="8">
        <v>3.5232516474969998E-3</v>
      </c>
      <c r="E12" s="8">
        <v>0.10816586400849799</v>
      </c>
      <c r="F12" s="8">
        <v>-2.7910976402733999E-2</v>
      </c>
      <c r="G12" s="8">
        <v>0.111764439973681</v>
      </c>
      <c r="H12" s="8">
        <v>-7.5178461414599607E-2</v>
      </c>
      <c r="I12" s="8">
        <v>3.43634739830872E-2</v>
      </c>
      <c r="J12" s="8">
        <v>4.9558391176391103E-3</v>
      </c>
      <c r="K12" s="45">
        <f t="shared" si="0"/>
        <v>8.2808271001227132E-2</v>
      </c>
    </row>
    <row r="13" spans="1:14">
      <c r="A13" s="7" t="s">
        <v>11</v>
      </c>
      <c r="B13" s="94" t="s">
        <v>236</v>
      </c>
      <c r="C13" t="s">
        <v>238</v>
      </c>
      <c r="D13" s="8">
        <v>-0.13547389321043701</v>
      </c>
      <c r="E13" s="8">
        <v>0.12834369252185099</v>
      </c>
      <c r="F13" s="8">
        <v>1.12145757335539</v>
      </c>
      <c r="G13" s="8">
        <v>1.1368783435301699</v>
      </c>
      <c r="H13" s="8">
        <v>-7.3818039901204099E-2</v>
      </c>
      <c r="I13" s="8">
        <v>3.7343680316015697E-2</v>
      </c>
      <c r="J13" s="8">
        <v>8.3514316606818507E-3</v>
      </c>
      <c r="K13" s="45">
        <f t="shared" si="0"/>
        <v>8.3146857337987087E-2</v>
      </c>
    </row>
    <row r="14" spans="1:14">
      <c r="A14" s="7" t="s">
        <v>11</v>
      </c>
      <c r="B14" s="94" t="s">
        <v>236</v>
      </c>
      <c r="C14" t="s">
        <v>241</v>
      </c>
      <c r="D14" s="8">
        <v>9.8471040112174002E-2</v>
      </c>
      <c r="E14" s="8">
        <v>-0.34804153518664899</v>
      </c>
      <c r="F14" s="8">
        <v>0.832746872116783</v>
      </c>
      <c r="G14" s="8">
        <v>0.90790792979031698</v>
      </c>
      <c r="H14" s="8">
        <v>-7.3944429518246799E-2</v>
      </c>
      <c r="I14" s="8">
        <v>3.2557999167748597E-2</v>
      </c>
      <c r="J14" s="8">
        <v>6.8744667194293799E-3</v>
      </c>
      <c r="K14" s="45">
        <f t="shared" si="0"/>
        <v>8.1086745274814367E-2</v>
      </c>
    </row>
    <row r="15" spans="1:14">
      <c r="A15" s="7" t="s">
        <v>11</v>
      </c>
      <c r="B15" s="94" t="s">
        <v>236</v>
      </c>
      <c r="C15" t="s">
        <v>243</v>
      </c>
      <c r="D15" s="8">
        <v>0.11970055171494901</v>
      </c>
      <c r="E15" s="8">
        <v>0.53806543104486304</v>
      </c>
      <c r="F15" s="8">
        <v>-1.36720492123128</v>
      </c>
      <c r="G15" s="8">
        <v>1.47414108103851</v>
      </c>
      <c r="H15" s="8">
        <v>-7.4270995824297706E-2</v>
      </c>
      <c r="I15" s="8">
        <v>3.5339765887584099E-2</v>
      </c>
      <c r="J15" s="8">
        <v>7.99126638056139E-3</v>
      </c>
      <c r="K15" s="45">
        <f t="shared" si="0"/>
        <v>8.2637402016805875E-2</v>
      </c>
    </row>
    <row r="16" spans="1:14" ht="16" thickBot="1">
      <c r="A16" s="47" t="s">
        <v>11</v>
      </c>
      <c r="B16" s="95" t="s">
        <v>236</v>
      </c>
      <c r="C16" s="46" t="s">
        <v>244</v>
      </c>
      <c r="D16" s="48">
        <v>-0.20792186420698999</v>
      </c>
      <c r="E16" s="48">
        <v>0.34859419571760902</v>
      </c>
      <c r="F16" s="48">
        <v>0.48025497969977599</v>
      </c>
      <c r="G16" s="48">
        <v>0.62880383302723997</v>
      </c>
      <c r="H16" s="48">
        <v>2.54378234054254E-2</v>
      </c>
      <c r="I16" s="48">
        <v>-4.2016675862520097E-3</v>
      </c>
      <c r="J16" s="48">
        <v>5.5359940168240199E-5</v>
      </c>
      <c r="K16" s="49">
        <f t="shared" si="0"/>
        <v>2.5782550976075746E-2</v>
      </c>
    </row>
    <row r="17" spans="14:21">
      <c r="N17" s="8"/>
      <c r="O17" s="8"/>
      <c r="P17" s="8"/>
      <c r="Q17" s="8"/>
      <c r="R17" s="8"/>
      <c r="S17" s="8"/>
      <c r="T17" s="8"/>
      <c r="U17" s="8"/>
    </row>
    <row r="20" spans="14:21">
      <c r="N20" s="8"/>
      <c r="O20" s="8"/>
      <c r="P20" s="8"/>
      <c r="Q20" s="8"/>
      <c r="R20" s="8"/>
      <c r="S20" s="8"/>
      <c r="T20" s="8"/>
      <c r="U20" s="8"/>
    </row>
    <row r="21" spans="14:21">
      <c r="N21" s="8"/>
      <c r="O21" s="8"/>
      <c r="P21" s="8"/>
      <c r="Q21" s="8"/>
      <c r="R21" s="8"/>
      <c r="S21" s="8"/>
      <c r="T21" s="8"/>
      <c r="U21" s="8"/>
    </row>
    <row r="23" spans="14:21">
      <c r="N23" s="8"/>
      <c r="O23" s="8"/>
      <c r="P23" s="8"/>
      <c r="Q23" s="8"/>
      <c r="R23" s="8"/>
      <c r="S23" s="8"/>
      <c r="T23" s="8"/>
      <c r="U23" s="8"/>
    </row>
    <row r="24" spans="14:21">
      <c r="N24" s="8"/>
      <c r="O24" s="8"/>
      <c r="P24" s="8"/>
      <c r="Q24" s="8"/>
      <c r="R24" s="8"/>
      <c r="S24" s="8"/>
      <c r="T24" s="8"/>
      <c r="U24" s="8"/>
    </row>
    <row r="25" spans="14:21">
      <c r="N25" s="8"/>
      <c r="O25" s="8"/>
      <c r="P25" s="8"/>
      <c r="Q25" s="8"/>
      <c r="R25" s="8"/>
      <c r="S25" s="8"/>
      <c r="T25" s="8"/>
      <c r="U25" s="8"/>
    </row>
    <row r="26" spans="14:21">
      <c r="N26" s="8"/>
      <c r="O26" s="8"/>
      <c r="P26" s="8"/>
      <c r="Q26" s="8"/>
      <c r="R26" s="8"/>
      <c r="S26" s="8"/>
      <c r="T26" s="8"/>
      <c r="U26" s="8"/>
    </row>
    <row r="27" spans="14:21">
      <c r="N27" s="8"/>
      <c r="O27" s="8"/>
      <c r="P27" s="8"/>
      <c r="Q27" s="8"/>
      <c r="R27" s="8"/>
      <c r="S27" s="8"/>
      <c r="T27" s="8"/>
      <c r="U27" s="8"/>
    </row>
    <row r="28" spans="14:21">
      <c r="N28" s="8"/>
      <c r="O28" s="8"/>
      <c r="P28" s="8"/>
      <c r="Q28" s="8"/>
      <c r="R28" s="8"/>
      <c r="S28" s="8"/>
      <c r="T28" s="8"/>
      <c r="U28" s="8"/>
    </row>
    <row r="29" spans="14:21">
      <c r="N29" s="8"/>
      <c r="O29" s="8"/>
      <c r="P29" s="8"/>
      <c r="Q29" s="8"/>
      <c r="R29" s="8"/>
      <c r="S29" s="8"/>
      <c r="T29" s="8"/>
      <c r="U29" s="8"/>
    </row>
    <row r="30" spans="14:21">
      <c r="N30" s="8"/>
      <c r="O30" s="8"/>
      <c r="P30" s="8"/>
      <c r="Q30" s="8"/>
      <c r="R30" s="8"/>
      <c r="S30" s="8"/>
      <c r="T30" s="8"/>
      <c r="U30" s="8"/>
    </row>
    <row r="31" spans="14:21">
      <c r="N31" s="8"/>
      <c r="O31" s="8"/>
      <c r="P31" s="8"/>
      <c r="Q31" s="8"/>
      <c r="R31" s="8"/>
      <c r="S31" s="8"/>
      <c r="T31" s="8"/>
      <c r="U31" s="8"/>
    </row>
    <row r="32" spans="14:21">
      <c r="N32" s="8"/>
      <c r="O32" s="8"/>
      <c r="P32" s="8"/>
      <c r="Q32" s="8"/>
      <c r="R32" s="8"/>
      <c r="S32" s="8"/>
      <c r="T32" s="8"/>
      <c r="U32" s="8"/>
    </row>
    <row r="33" spans="14:21">
      <c r="N33" s="8"/>
      <c r="O33" s="8"/>
      <c r="P33" s="8"/>
      <c r="Q33" s="8"/>
      <c r="R33" s="8"/>
      <c r="S33" s="8"/>
      <c r="T33" s="8"/>
      <c r="U33" s="8"/>
    </row>
    <row r="34" spans="14:21">
      <c r="N34" s="8"/>
      <c r="O34" s="8"/>
      <c r="P34" s="8"/>
      <c r="Q34" s="8"/>
      <c r="R34" s="8"/>
      <c r="S34" s="8"/>
      <c r="T34" s="8"/>
      <c r="U34" s="8"/>
    </row>
    <row r="35" spans="14:21">
      <c r="N35" s="8"/>
      <c r="O35" s="8"/>
      <c r="P35" s="8"/>
      <c r="Q35" s="8"/>
      <c r="R35" s="8"/>
      <c r="S35" s="8"/>
      <c r="T35" s="8"/>
      <c r="U35" s="8"/>
    </row>
    <row r="36" spans="14:21">
      <c r="N36" s="8"/>
      <c r="O36" s="8"/>
      <c r="P36" s="8"/>
      <c r="Q36" s="8"/>
      <c r="R36" s="8"/>
      <c r="S36" s="8"/>
      <c r="T36" s="8"/>
      <c r="U36" s="8"/>
    </row>
    <row r="37" spans="14:21">
      <c r="N37" s="8"/>
      <c r="O37" s="8"/>
      <c r="P37" s="8"/>
      <c r="Q37" s="8"/>
      <c r="R37" s="8"/>
      <c r="S37" s="8"/>
      <c r="T37" s="8"/>
      <c r="U37" s="8"/>
    </row>
    <row r="38" spans="14:21">
      <c r="N38" s="8"/>
      <c r="O38" s="8"/>
      <c r="P38" s="8"/>
      <c r="Q38" s="8"/>
      <c r="R38" s="8"/>
      <c r="S38" s="8"/>
      <c r="T38" s="8"/>
      <c r="U38" s="8"/>
    </row>
    <row r="39" spans="14:21">
      <c r="N39" s="8"/>
      <c r="O39" s="8"/>
      <c r="P39" s="8"/>
      <c r="Q39" s="8"/>
      <c r="R39" s="8"/>
      <c r="S39" s="8"/>
      <c r="T39" s="8"/>
      <c r="U39" s="8"/>
    </row>
    <row r="40" spans="14:21">
      <c r="N40" s="8"/>
      <c r="O40" s="8"/>
      <c r="P40" s="8"/>
      <c r="Q40" s="8"/>
      <c r="R40" s="8"/>
      <c r="S40" s="8"/>
      <c r="T40" s="8"/>
      <c r="U40" s="8"/>
    </row>
    <row r="41" spans="14:21">
      <c r="N41" s="8"/>
      <c r="O41" s="8"/>
      <c r="P41" s="8"/>
      <c r="Q41" s="8"/>
      <c r="R41" s="8"/>
      <c r="S41" s="8"/>
      <c r="T41" s="8"/>
      <c r="U41" s="8"/>
    </row>
    <row r="42" spans="14:21">
      <c r="N42" s="8"/>
      <c r="O42" s="8"/>
      <c r="P42" s="8"/>
      <c r="Q42" s="8"/>
      <c r="R42" s="8"/>
      <c r="S42" s="8"/>
      <c r="T42" s="8"/>
      <c r="U42" s="8"/>
    </row>
    <row r="43" spans="14:21">
      <c r="N43" s="8"/>
      <c r="O43" s="8"/>
      <c r="P43" s="8"/>
      <c r="Q43" s="8"/>
      <c r="R43" s="8"/>
      <c r="S43" s="8"/>
      <c r="T43" s="8"/>
      <c r="U43" s="8"/>
    </row>
    <row r="44" spans="14:21">
      <c r="N44" s="8"/>
      <c r="O44" s="8"/>
      <c r="P44" s="8"/>
      <c r="Q44" s="8"/>
      <c r="R44" s="8"/>
      <c r="S44" s="8"/>
      <c r="T44" s="8"/>
      <c r="U44" s="8"/>
    </row>
    <row r="45" spans="14:21">
      <c r="N45" s="8"/>
      <c r="O45" s="8"/>
      <c r="P45" s="8"/>
      <c r="Q45" s="8"/>
      <c r="R45" s="8"/>
      <c r="S45" s="8"/>
      <c r="T45" s="8"/>
      <c r="U45" s="8"/>
    </row>
    <row r="46" spans="14:21">
      <c r="N46" s="8"/>
      <c r="O46" s="8"/>
      <c r="P46" s="8"/>
      <c r="Q46" s="8"/>
      <c r="R46" s="8"/>
      <c r="S46" s="8"/>
      <c r="T46" s="8"/>
      <c r="U46" s="8"/>
    </row>
    <row r="47" spans="14:21">
      <c r="N47" s="8"/>
      <c r="O47" s="8"/>
      <c r="P47" s="8"/>
      <c r="Q47" s="8"/>
      <c r="R47" s="8"/>
      <c r="S47" s="8"/>
      <c r="T47" s="8"/>
      <c r="U47" s="8"/>
    </row>
    <row r="48" spans="14:21">
      <c r="N48" s="8"/>
      <c r="O48" s="8"/>
      <c r="P48" s="8"/>
      <c r="Q48" s="8"/>
      <c r="R48" s="8"/>
      <c r="S48" s="8"/>
      <c r="T48" s="8"/>
      <c r="U48" s="8"/>
    </row>
    <row r="49" spans="14:21">
      <c r="N49" s="8"/>
      <c r="O49" s="8"/>
      <c r="P49" s="8"/>
      <c r="Q49" s="8"/>
      <c r="R49" s="8"/>
      <c r="S49" s="8"/>
      <c r="T49" s="8"/>
      <c r="U49" s="8"/>
    </row>
    <row r="50" spans="14:21">
      <c r="N50" s="8"/>
      <c r="O50" s="8"/>
      <c r="P50" s="8"/>
      <c r="Q50" s="8"/>
      <c r="R50" s="8"/>
      <c r="S50" s="8"/>
      <c r="T50" s="8"/>
      <c r="U50" s="8"/>
    </row>
    <row r="51" spans="14:21">
      <c r="N51" s="8"/>
      <c r="O51" s="8"/>
      <c r="P51" s="8"/>
      <c r="Q51" s="8"/>
      <c r="R51" s="8"/>
      <c r="S51" s="8"/>
      <c r="T51" s="8"/>
      <c r="U51" s="8"/>
    </row>
    <row r="52" spans="14:21">
      <c r="N52" s="8"/>
      <c r="O52" s="8"/>
      <c r="P52" s="8"/>
      <c r="Q52" s="8"/>
      <c r="R52" s="8"/>
      <c r="S52" s="8"/>
      <c r="T52" s="8"/>
      <c r="U52" s="8"/>
    </row>
    <row r="53" spans="14:21">
      <c r="N53" s="8"/>
      <c r="O53" s="8"/>
      <c r="P53" s="8"/>
      <c r="Q53" s="8"/>
      <c r="R53" s="8"/>
      <c r="S53" s="8"/>
      <c r="T53" s="8"/>
      <c r="U53" s="8"/>
    </row>
    <row r="54" spans="14:21">
      <c r="N54" s="8"/>
      <c r="O54" s="8"/>
      <c r="P54" s="8"/>
      <c r="Q54" s="8"/>
      <c r="R54" s="8"/>
      <c r="S54" s="8"/>
      <c r="T54" s="8"/>
      <c r="U54" s="8"/>
    </row>
    <row r="55" spans="14:21">
      <c r="N55" s="8"/>
      <c r="O55" s="8"/>
      <c r="P55" s="8"/>
      <c r="Q55" s="8"/>
      <c r="R55" s="8"/>
      <c r="S55" s="8"/>
      <c r="T55" s="8"/>
      <c r="U55" s="8"/>
    </row>
    <row r="56" spans="14:21">
      <c r="N56" s="8"/>
      <c r="O56" s="8"/>
      <c r="P56" s="8"/>
      <c r="Q56" s="8"/>
      <c r="R56" s="8"/>
      <c r="S56" s="8"/>
      <c r="T56" s="8"/>
      <c r="U56" s="8"/>
    </row>
    <row r="57" spans="14:21">
      <c r="N57" s="8"/>
      <c r="O57" s="8"/>
      <c r="P57" s="8"/>
      <c r="Q57" s="8"/>
      <c r="R57" s="8"/>
      <c r="S57" s="8"/>
      <c r="T57" s="8"/>
      <c r="U57" s="8"/>
    </row>
    <row r="58" spans="14:21">
      <c r="N58" s="8"/>
      <c r="O58" s="8"/>
      <c r="P58" s="8"/>
      <c r="Q58" s="8"/>
      <c r="R58" s="8"/>
      <c r="S58" s="8"/>
      <c r="T58" s="8"/>
      <c r="U58" s="8"/>
    </row>
    <row r="59" spans="14:21">
      <c r="N59" s="8"/>
      <c r="O59" s="8"/>
      <c r="P59" s="8"/>
      <c r="Q59" s="8"/>
      <c r="R59" s="8"/>
      <c r="S59" s="8"/>
      <c r="T59" s="8"/>
      <c r="U59" s="8"/>
    </row>
    <row r="60" spans="14:21">
      <c r="N60" s="8"/>
      <c r="O60" s="8"/>
      <c r="P60" s="8"/>
      <c r="Q60" s="8"/>
      <c r="R60" s="8"/>
      <c r="S60" s="8"/>
      <c r="T60" s="8"/>
      <c r="U60" s="8"/>
    </row>
    <row r="61" spans="14:21">
      <c r="N61" s="8"/>
      <c r="O61" s="8"/>
      <c r="P61" s="8"/>
      <c r="Q61" s="8"/>
      <c r="R61" s="8"/>
      <c r="S61" s="8"/>
      <c r="T61" s="8"/>
      <c r="U61" s="8"/>
    </row>
    <row r="63" spans="14:21">
      <c r="N63" s="8"/>
      <c r="O63" s="8"/>
      <c r="P63" s="8"/>
      <c r="Q63" s="8"/>
      <c r="R63" s="8"/>
      <c r="S63" s="8"/>
      <c r="T63" s="8"/>
      <c r="U63" s="8"/>
    </row>
    <row r="65" spans="14:21">
      <c r="N65" s="8"/>
      <c r="O65" s="8"/>
      <c r="P65" s="8"/>
      <c r="Q65" s="8"/>
      <c r="R65" s="8"/>
      <c r="S65" s="8"/>
      <c r="T65" s="8"/>
      <c r="U65" s="8"/>
    </row>
    <row r="66" spans="14:21">
      <c r="N66" s="8"/>
      <c r="O66" s="8"/>
      <c r="P66" s="8"/>
      <c r="Q66" s="8"/>
      <c r="R66" s="8"/>
      <c r="S66" s="8"/>
      <c r="T66" s="8"/>
      <c r="U66" s="8"/>
    </row>
    <row r="69" spans="14:21">
      <c r="N69" s="8"/>
      <c r="O69" s="8"/>
      <c r="P69" s="8"/>
      <c r="Q69" s="8"/>
      <c r="R69" s="8"/>
      <c r="S69" s="8"/>
      <c r="T69" s="8"/>
      <c r="U69" s="8"/>
    </row>
    <row r="70" spans="14:21">
      <c r="N70" s="8"/>
      <c r="O70" s="8"/>
      <c r="P70" s="8"/>
      <c r="Q70" s="8"/>
      <c r="R70" s="8"/>
      <c r="S70" s="8"/>
      <c r="T70" s="8"/>
      <c r="U70" s="8"/>
    </row>
    <row r="71" spans="14:21">
      <c r="N71" s="8"/>
      <c r="O71" s="8"/>
      <c r="P71" s="8"/>
      <c r="Q71" s="8"/>
      <c r="R71" s="8"/>
      <c r="S71" s="8"/>
      <c r="T71" s="8"/>
      <c r="U71" s="8"/>
    </row>
    <row r="72" spans="14:21">
      <c r="N72" s="8"/>
      <c r="O72" s="8"/>
      <c r="P72" s="8"/>
      <c r="Q72" s="8"/>
      <c r="R72" s="8"/>
      <c r="S72" s="8"/>
      <c r="T72" s="8"/>
      <c r="U72" s="8"/>
    </row>
    <row r="73" spans="14:21">
      <c r="N73" s="8"/>
      <c r="O73" s="8"/>
      <c r="P73" s="8"/>
      <c r="Q73" s="8"/>
      <c r="R73" s="8"/>
      <c r="S73" s="8"/>
      <c r="T73" s="8"/>
      <c r="U73" s="8"/>
    </row>
    <row r="74" spans="14:21">
      <c r="N74" s="8"/>
      <c r="O74" s="8"/>
      <c r="P74" s="8"/>
      <c r="Q74" s="8"/>
      <c r="R74" s="8"/>
      <c r="S74" s="8"/>
      <c r="T74" s="8"/>
      <c r="U74" s="8"/>
    </row>
    <row r="75" spans="14:21">
      <c r="N75" s="8"/>
      <c r="O75" s="8"/>
      <c r="P75" s="8"/>
      <c r="Q75" s="8"/>
      <c r="R75" s="8"/>
      <c r="S75" s="8"/>
      <c r="T75" s="8"/>
      <c r="U75" s="8"/>
    </row>
    <row r="76" spans="14:21">
      <c r="N76" s="8"/>
      <c r="O76" s="8"/>
      <c r="P76" s="8"/>
      <c r="Q76" s="8"/>
      <c r="R76" s="8"/>
      <c r="S76" s="8"/>
      <c r="T76" s="8"/>
      <c r="U76" s="8"/>
    </row>
    <row r="77" spans="14:21">
      <c r="N77" s="8"/>
      <c r="O77" s="8"/>
      <c r="P77" s="8"/>
      <c r="Q77" s="8"/>
      <c r="R77" s="8"/>
      <c r="S77" s="8"/>
      <c r="T77" s="8"/>
      <c r="U77" s="8"/>
    </row>
    <row r="78" spans="14:21">
      <c r="N78" s="8"/>
      <c r="O78" s="8"/>
      <c r="P78" s="8"/>
      <c r="Q78" s="8"/>
      <c r="R78" s="8"/>
      <c r="S78" s="8"/>
      <c r="T78" s="8"/>
      <c r="U78" s="8"/>
    </row>
    <row r="79" spans="14:21">
      <c r="N79" s="8"/>
      <c r="O79" s="8"/>
      <c r="P79" s="8"/>
      <c r="Q79" s="8"/>
      <c r="R79" s="8"/>
      <c r="S79" s="8"/>
      <c r="T79" s="8"/>
      <c r="U79" s="8"/>
    </row>
    <row r="80" spans="14:21">
      <c r="N80" s="8"/>
      <c r="O80" s="8"/>
      <c r="P80" s="8"/>
      <c r="Q80" s="8"/>
      <c r="R80" s="8"/>
      <c r="S80" s="8"/>
      <c r="T80" s="8"/>
      <c r="U80" s="8"/>
    </row>
    <row r="81" spans="14:21">
      <c r="N81" s="8"/>
      <c r="O81" s="8"/>
      <c r="P81" s="8"/>
      <c r="Q81" s="8"/>
      <c r="R81" s="8"/>
      <c r="S81" s="8"/>
      <c r="T81" s="8"/>
      <c r="U81" s="8"/>
    </row>
    <row r="82" spans="14:21">
      <c r="N82" s="8"/>
      <c r="O82" s="8"/>
      <c r="P82" s="8"/>
      <c r="Q82" s="8"/>
      <c r="R82" s="8"/>
      <c r="S82" s="8"/>
      <c r="T82" s="8"/>
      <c r="U82" s="8"/>
    </row>
    <row r="83" spans="14:21">
      <c r="N83" s="8"/>
      <c r="O83" s="8"/>
      <c r="P83" s="8"/>
      <c r="Q83" s="8"/>
      <c r="R83" s="8"/>
      <c r="S83" s="8"/>
      <c r="T83" s="8"/>
      <c r="U83" s="8"/>
    </row>
    <row r="85" spans="14:21">
      <c r="N85" s="8"/>
      <c r="O85" s="8"/>
      <c r="P85" s="8"/>
      <c r="Q85" s="8"/>
      <c r="R85" s="8"/>
      <c r="S85" s="8"/>
      <c r="T85" s="8"/>
      <c r="U85" s="8"/>
    </row>
    <row r="86" spans="14:21">
      <c r="N86" s="8"/>
      <c r="O86" s="8"/>
      <c r="P86" s="8"/>
      <c r="Q86" s="8"/>
      <c r="R86" s="8"/>
      <c r="S86" s="8"/>
      <c r="T86" s="8"/>
      <c r="U86" s="8"/>
    </row>
    <row r="87" spans="14:21">
      <c r="N87" s="8"/>
      <c r="O87" s="8"/>
      <c r="P87" s="8"/>
      <c r="Q87" s="8"/>
      <c r="R87" s="8"/>
      <c r="S87" s="8"/>
      <c r="T87" s="8"/>
      <c r="U87" s="8"/>
    </row>
    <row r="88" spans="14:21">
      <c r="N88" s="8"/>
      <c r="O88" s="8"/>
      <c r="P88" s="8"/>
      <c r="Q88" s="8"/>
      <c r="R88" s="8"/>
      <c r="S88" s="8"/>
      <c r="T88" s="8"/>
      <c r="U88" s="8"/>
    </row>
    <row r="89" spans="14:21">
      <c r="N89" s="8"/>
      <c r="O89" s="8"/>
      <c r="P89" s="8"/>
      <c r="Q89" s="8"/>
      <c r="R89" s="8"/>
      <c r="S89" s="8"/>
      <c r="T89" s="8"/>
      <c r="U89" s="8"/>
    </row>
    <row r="90" spans="14:21">
      <c r="N90" s="8"/>
      <c r="O90" s="8"/>
      <c r="P90" s="8"/>
      <c r="Q90" s="8"/>
      <c r="R90" s="8"/>
      <c r="S90" s="8"/>
      <c r="T90" s="8"/>
      <c r="U90" s="8"/>
    </row>
    <row r="91" spans="14:21">
      <c r="N91" s="8"/>
      <c r="O91" s="8"/>
      <c r="P91" s="8"/>
      <c r="Q91" s="8"/>
      <c r="R91" s="8"/>
      <c r="S91" s="8"/>
      <c r="T91" s="8"/>
      <c r="U91" s="8"/>
    </row>
    <row r="92" spans="14:21">
      <c r="N92" s="8"/>
      <c r="O92" s="8"/>
      <c r="P92" s="8"/>
      <c r="Q92" s="8"/>
      <c r="R92" s="8"/>
      <c r="S92" s="8"/>
      <c r="T92" s="8"/>
      <c r="U92" s="8"/>
    </row>
    <row r="93" spans="14:21">
      <c r="N93" s="8"/>
      <c r="O93" s="8"/>
      <c r="P93" s="8"/>
      <c r="Q93" s="8"/>
      <c r="R93" s="8"/>
      <c r="S93" s="8"/>
      <c r="T93" s="8"/>
      <c r="U93" s="8"/>
    </row>
    <row r="94" spans="14:21">
      <c r="N94" s="8"/>
      <c r="O94" s="8"/>
      <c r="P94" s="8"/>
      <c r="Q94" s="8"/>
      <c r="R94" s="8"/>
      <c r="S94" s="8"/>
      <c r="T94" s="8"/>
      <c r="U94" s="8"/>
    </row>
    <row r="95" spans="14:21">
      <c r="N95" s="8"/>
      <c r="O95" s="8"/>
      <c r="P95" s="8"/>
      <c r="Q95" s="8"/>
      <c r="R95" s="8"/>
      <c r="S95" s="8"/>
      <c r="T95" s="8"/>
      <c r="U95" s="8"/>
    </row>
    <row r="96" spans="14:21">
      <c r="N96" s="8"/>
      <c r="O96" s="8"/>
      <c r="P96" s="8"/>
      <c r="Q96" s="8"/>
      <c r="R96" s="8"/>
      <c r="S96" s="8"/>
      <c r="T96" s="8"/>
      <c r="U96" s="8"/>
    </row>
    <row r="97" spans="1:21">
      <c r="N97" s="8"/>
      <c r="O97" s="8"/>
      <c r="P97" s="8"/>
      <c r="Q97" s="8"/>
      <c r="R97" s="8"/>
      <c r="S97" s="8"/>
      <c r="T97" s="8"/>
      <c r="U97" s="8"/>
    </row>
    <row r="98" spans="1:21">
      <c r="N98" s="8"/>
      <c r="O98" s="8"/>
      <c r="P98" s="8"/>
      <c r="Q98" s="8"/>
      <c r="R98" s="8"/>
      <c r="S98" s="8"/>
      <c r="T98" s="8"/>
      <c r="U98" s="8"/>
    </row>
    <row r="99" spans="1:21">
      <c r="N99" s="8"/>
      <c r="O99" s="8"/>
      <c r="P99" s="8"/>
      <c r="Q99" s="8"/>
      <c r="R99" s="8"/>
      <c r="S99" s="8"/>
      <c r="T99" s="8"/>
      <c r="U99" s="8"/>
    </row>
    <row r="100" spans="1:21">
      <c r="N100" s="8"/>
      <c r="O100" s="8"/>
      <c r="P100" s="8"/>
      <c r="Q100" s="8"/>
      <c r="R100" s="8"/>
      <c r="S100" s="8"/>
      <c r="T100" s="8"/>
      <c r="U100" s="8"/>
    </row>
    <row r="101" spans="1:21">
      <c r="N101" s="8"/>
      <c r="O101" s="8"/>
      <c r="P101" s="8"/>
      <c r="Q101" s="8"/>
      <c r="R101" s="8"/>
      <c r="S101" s="8"/>
      <c r="T101" s="8"/>
      <c r="U101" s="8"/>
    </row>
    <row r="102" spans="1:21">
      <c r="N102" s="8"/>
      <c r="O102" s="8"/>
      <c r="P102" s="8"/>
      <c r="Q102" s="8"/>
      <c r="R102" s="8"/>
      <c r="S102" s="8"/>
      <c r="T102" s="8"/>
      <c r="U102" s="8"/>
    </row>
    <row r="103" spans="1:21">
      <c r="N103" s="8"/>
      <c r="O103" s="8"/>
      <c r="P103" s="8"/>
      <c r="Q103" s="8"/>
      <c r="R103" s="8"/>
      <c r="S103" s="8"/>
      <c r="T103" s="8"/>
      <c r="U103" s="8"/>
    </row>
    <row r="104" spans="1:21">
      <c r="A104" s="20"/>
      <c r="N104" s="8"/>
      <c r="O104" s="8"/>
      <c r="P104" s="8"/>
      <c r="Q104" s="8"/>
      <c r="R104" s="8"/>
      <c r="S104" s="8"/>
      <c r="T104" s="8"/>
      <c r="U104" s="8"/>
    </row>
    <row r="105" spans="1:21">
      <c r="N105" s="8"/>
      <c r="O105" s="8"/>
      <c r="P105" s="8"/>
      <c r="Q105" s="8"/>
      <c r="R105" s="8"/>
      <c r="S105" s="8"/>
      <c r="T105" s="8"/>
      <c r="U105" s="8"/>
    </row>
    <row r="106" spans="1:21">
      <c r="N106" s="8"/>
      <c r="O106" s="8"/>
      <c r="P106" s="8"/>
      <c r="Q106" s="8"/>
      <c r="R106" s="8"/>
      <c r="S106" s="8"/>
      <c r="T106" s="8"/>
      <c r="U106" s="8"/>
    </row>
    <row r="107" spans="1:21">
      <c r="N107" s="8"/>
      <c r="O107" s="8"/>
      <c r="P107" s="8"/>
      <c r="Q107" s="8"/>
      <c r="R107" s="8"/>
      <c r="S107" s="8"/>
      <c r="T107" s="8"/>
      <c r="U107" s="8"/>
    </row>
    <row r="108" spans="1:21">
      <c r="N108" s="8"/>
      <c r="O108" s="8"/>
      <c r="P108" s="8"/>
      <c r="Q108" s="8"/>
      <c r="R108" s="8"/>
      <c r="S108" s="8"/>
      <c r="T108" s="8"/>
      <c r="U108" s="8"/>
    </row>
    <row r="109" spans="1:21">
      <c r="N109" s="8"/>
      <c r="O109" s="8"/>
      <c r="P109" s="8"/>
      <c r="Q109" s="8"/>
      <c r="R109" s="8"/>
      <c r="S109" s="8"/>
      <c r="T109" s="8"/>
      <c r="U109" s="8"/>
    </row>
    <row r="110" spans="1:21">
      <c r="N110" s="8"/>
      <c r="O110" s="8"/>
      <c r="P110" s="8"/>
      <c r="Q110" s="8"/>
      <c r="R110" s="8"/>
      <c r="S110" s="8"/>
      <c r="T110" s="8"/>
      <c r="U110" s="8"/>
    </row>
    <row r="111" spans="1:21">
      <c r="N111" s="8"/>
      <c r="O111" s="8"/>
      <c r="P111" s="8"/>
      <c r="Q111" s="8"/>
      <c r="R111" s="8"/>
      <c r="S111" s="8"/>
      <c r="T111" s="8"/>
      <c r="U111" s="8"/>
    </row>
    <row r="112" spans="1:21">
      <c r="N112" s="8"/>
      <c r="O112" s="8"/>
      <c r="P112" s="8"/>
      <c r="Q112" s="8"/>
      <c r="R112" s="8"/>
      <c r="S112" s="8"/>
      <c r="T112" s="8"/>
      <c r="U112" s="8"/>
    </row>
    <row r="113" spans="14:21">
      <c r="N113" s="8"/>
      <c r="O113" s="8"/>
      <c r="P113" s="8"/>
      <c r="Q113" s="8"/>
      <c r="R113" s="8"/>
      <c r="S113" s="8"/>
      <c r="T113" s="8"/>
      <c r="U113" s="8"/>
    </row>
    <row r="114" spans="14:21">
      <c r="N114" s="8"/>
      <c r="O114" s="8"/>
      <c r="P114" s="8"/>
      <c r="Q114" s="8"/>
      <c r="R114" s="8"/>
      <c r="S114" s="8"/>
      <c r="T114" s="8"/>
      <c r="U114" s="8"/>
    </row>
    <row r="115" spans="14:21">
      <c r="N115" s="8"/>
      <c r="O115" s="8"/>
      <c r="P115" s="8"/>
      <c r="Q115" s="8"/>
      <c r="R115" s="8"/>
      <c r="S115" s="8"/>
      <c r="T115" s="8"/>
      <c r="U115" s="8"/>
    </row>
    <row r="116" spans="14:21">
      <c r="N116" s="8"/>
      <c r="O116" s="8"/>
      <c r="P116" s="8"/>
      <c r="Q116" s="8"/>
      <c r="R116" s="8"/>
      <c r="S116" s="8"/>
      <c r="T116" s="8"/>
      <c r="U116" s="8"/>
    </row>
    <row r="117" spans="14:21">
      <c r="N117" s="8"/>
      <c r="O117" s="8"/>
      <c r="P117" s="8"/>
      <c r="Q117" s="8"/>
      <c r="R117" s="8"/>
      <c r="S117" s="8"/>
      <c r="T117" s="8"/>
      <c r="U117" s="8"/>
    </row>
    <row r="118" spans="14:21">
      <c r="N118" s="8"/>
      <c r="O118" s="8"/>
      <c r="P118" s="8"/>
      <c r="Q118" s="8"/>
      <c r="R118" s="8"/>
      <c r="S118" s="8"/>
      <c r="T118" s="8"/>
      <c r="U118" s="8"/>
    </row>
    <row r="119" spans="14:21">
      <c r="N119" s="8"/>
      <c r="O119" s="8"/>
      <c r="P119" s="8"/>
      <c r="Q119" s="8"/>
      <c r="R119" s="8"/>
      <c r="S119" s="8"/>
      <c r="T119" s="8"/>
      <c r="U119" s="8"/>
    </row>
    <row r="120" spans="14:21">
      <c r="N120" s="8"/>
      <c r="O120" s="8"/>
      <c r="P120" s="8"/>
      <c r="Q120" s="8"/>
      <c r="R120" s="8"/>
      <c r="S120" s="8"/>
      <c r="T120" s="8"/>
      <c r="U120" s="8"/>
    </row>
    <row r="121" spans="14:21">
      <c r="N121" s="8"/>
      <c r="O121" s="8"/>
      <c r="P121" s="8"/>
      <c r="Q121" s="8"/>
      <c r="R121" s="8"/>
      <c r="S121" s="8"/>
      <c r="T121" s="8"/>
      <c r="U121" s="8"/>
    </row>
    <row r="122" spans="14:21">
      <c r="N122" s="8"/>
      <c r="O122" s="8"/>
      <c r="P122" s="8"/>
      <c r="Q122" s="8"/>
      <c r="R122" s="8"/>
      <c r="S122" s="8"/>
      <c r="T122" s="8"/>
      <c r="U122" s="8"/>
    </row>
    <row r="123" spans="14:21">
      <c r="N123" s="8"/>
      <c r="O123" s="8"/>
      <c r="P123" s="8"/>
      <c r="Q123" s="8"/>
      <c r="R123" s="8"/>
      <c r="S123" s="8"/>
      <c r="T123" s="8"/>
      <c r="U123" s="8"/>
    </row>
    <row r="124" spans="14:21">
      <c r="N124" s="8"/>
      <c r="O124" s="8"/>
      <c r="P124" s="8"/>
      <c r="Q124" s="8"/>
      <c r="R124" s="8"/>
      <c r="S124" s="8"/>
      <c r="T124" s="8"/>
      <c r="U124" s="8"/>
    </row>
    <row r="125" spans="14:21">
      <c r="N125" s="8"/>
      <c r="O125" s="8"/>
      <c r="P125" s="8"/>
      <c r="Q125" s="8"/>
      <c r="R125" s="8"/>
      <c r="S125" s="8"/>
      <c r="T125" s="8"/>
      <c r="U125" s="8"/>
    </row>
    <row r="126" spans="14:21">
      <c r="N126" s="8"/>
      <c r="O126" s="8"/>
      <c r="P126" s="8"/>
      <c r="Q126" s="8"/>
      <c r="R126" s="8"/>
      <c r="S126" s="8"/>
      <c r="T126" s="8"/>
      <c r="U126" s="8"/>
    </row>
    <row r="127" spans="14:21">
      <c r="N127" s="8"/>
      <c r="O127" s="8"/>
      <c r="P127" s="8"/>
      <c r="Q127" s="8"/>
      <c r="R127" s="8"/>
      <c r="S127" s="8"/>
      <c r="T127" s="8"/>
      <c r="U127" s="8"/>
    </row>
    <row r="128" spans="14:21">
      <c r="N128" s="8"/>
      <c r="O128" s="8"/>
      <c r="P128" s="8"/>
      <c r="Q128" s="8"/>
      <c r="R128" s="8"/>
      <c r="S128" s="8"/>
      <c r="T128" s="8"/>
      <c r="U128" s="8"/>
    </row>
    <row r="129" spans="14:21">
      <c r="N129" s="8"/>
      <c r="O129" s="8"/>
      <c r="P129" s="8"/>
      <c r="Q129" s="8"/>
      <c r="R129" s="8"/>
      <c r="S129" s="8"/>
      <c r="T129" s="8"/>
      <c r="U129" s="8"/>
    </row>
    <row r="130" spans="14:21">
      <c r="N130" s="8"/>
      <c r="O130" s="8"/>
      <c r="P130" s="8"/>
      <c r="Q130" s="8"/>
      <c r="R130" s="8"/>
      <c r="S130" s="8"/>
      <c r="T130" s="8"/>
      <c r="U130" s="8"/>
    </row>
    <row r="131" spans="14:21">
      <c r="N131" s="8"/>
      <c r="O131" s="8"/>
      <c r="P131" s="8"/>
      <c r="Q131" s="8"/>
      <c r="R131" s="8"/>
      <c r="S131" s="8"/>
      <c r="T131" s="8"/>
      <c r="U131" s="8"/>
    </row>
    <row r="132" spans="14:21">
      <c r="N132" s="8"/>
      <c r="O132" s="8"/>
      <c r="P132" s="8"/>
      <c r="Q132" s="8"/>
      <c r="R132" s="8"/>
      <c r="S132" s="8"/>
      <c r="T132" s="8"/>
      <c r="U132" s="8"/>
    </row>
    <row r="133" spans="14:21">
      <c r="N133" s="8"/>
      <c r="O133" s="8"/>
      <c r="P133" s="8"/>
      <c r="Q133" s="8"/>
      <c r="R133" s="8"/>
      <c r="S133" s="8"/>
      <c r="T133" s="8"/>
      <c r="U133" s="8"/>
    </row>
    <row r="134" spans="14:21">
      <c r="N134" s="8"/>
      <c r="O134" s="8"/>
      <c r="P134" s="8"/>
      <c r="Q134" s="8"/>
      <c r="R134" s="8"/>
      <c r="S134" s="8"/>
      <c r="T134" s="8"/>
      <c r="U134" s="8"/>
    </row>
    <row r="135" spans="14:21">
      <c r="N135" s="8"/>
      <c r="O135" s="8"/>
      <c r="P135" s="8"/>
      <c r="Q135" s="8"/>
      <c r="R135" s="8"/>
      <c r="S135" s="8"/>
      <c r="T135" s="8"/>
      <c r="U135" s="8"/>
    </row>
    <row r="136" spans="14:21">
      <c r="N136" s="8"/>
      <c r="O136" s="8"/>
      <c r="P136" s="8"/>
      <c r="Q136" s="8"/>
      <c r="R136" s="8"/>
      <c r="S136" s="8"/>
      <c r="T136" s="8"/>
      <c r="U136" s="8"/>
    </row>
    <row r="137" spans="14:21">
      <c r="N137" s="8"/>
      <c r="O137" s="8"/>
      <c r="P137" s="8"/>
      <c r="Q137" s="8"/>
      <c r="R137" s="8"/>
      <c r="S137" s="8"/>
      <c r="T137" s="8"/>
      <c r="U137" s="8"/>
    </row>
    <row r="138" spans="14:21">
      <c r="N138" s="8"/>
      <c r="O138" s="8"/>
      <c r="P138" s="8"/>
      <c r="Q138" s="8"/>
      <c r="R138" s="8"/>
      <c r="S138" s="8"/>
      <c r="T138" s="8"/>
      <c r="U138" s="8"/>
    </row>
    <row r="139" spans="14:21">
      <c r="N139" s="8"/>
      <c r="O139" s="8"/>
      <c r="P139" s="8"/>
      <c r="Q139" s="8"/>
      <c r="R139" s="8"/>
      <c r="S139" s="8"/>
      <c r="T139" s="8"/>
      <c r="U139" s="8"/>
    </row>
    <row r="140" spans="14:21">
      <c r="N140" s="8"/>
      <c r="O140" s="8"/>
      <c r="P140" s="8"/>
      <c r="Q140" s="8"/>
      <c r="R140" s="8"/>
      <c r="S140" s="8"/>
      <c r="T140" s="8"/>
      <c r="U140" s="8"/>
    </row>
    <row r="141" spans="14:21">
      <c r="N141" s="8"/>
      <c r="O141" s="8"/>
      <c r="P141" s="8"/>
      <c r="Q141" s="8"/>
      <c r="R141" s="8"/>
      <c r="S141" s="8"/>
      <c r="T141" s="8"/>
      <c r="U141" s="8"/>
    </row>
    <row r="142" spans="14:21">
      <c r="N142" s="8"/>
      <c r="O142" s="8"/>
      <c r="P142" s="8"/>
      <c r="Q142" s="8"/>
      <c r="R142" s="8"/>
      <c r="S142" s="8"/>
      <c r="T142" s="8"/>
      <c r="U142" s="8"/>
    </row>
    <row r="143" spans="14:21">
      <c r="N143" s="8"/>
      <c r="O143" s="8"/>
      <c r="P143" s="8"/>
      <c r="Q143" s="8"/>
      <c r="R143" s="8"/>
      <c r="S143" s="8"/>
      <c r="T143" s="8"/>
      <c r="U143" s="8"/>
    </row>
    <row r="144" spans="14:21">
      <c r="N144" s="8"/>
      <c r="O144" s="8"/>
      <c r="P144" s="8"/>
      <c r="Q144" s="8"/>
      <c r="R144" s="8"/>
      <c r="S144" s="8"/>
      <c r="T144" s="8"/>
      <c r="U144" s="8"/>
    </row>
    <row r="145" spans="14:21">
      <c r="N145" s="8"/>
      <c r="O145" s="8"/>
      <c r="P145" s="8"/>
      <c r="Q145" s="8"/>
      <c r="R145" s="8"/>
      <c r="S145" s="8"/>
      <c r="T145" s="8"/>
      <c r="U145" s="8"/>
    </row>
    <row r="146" spans="14:21">
      <c r="N146" s="8"/>
      <c r="O146" s="8"/>
      <c r="P146" s="8"/>
      <c r="Q146" s="8"/>
      <c r="R146" s="8"/>
      <c r="S146" s="8"/>
      <c r="T146" s="8"/>
      <c r="U146" s="8"/>
    </row>
    <row r="147" spans="14:21">
      <c r="N147" s="8"/>
      <c r="O147" s="8"/>
      <c r="P147" s="8"/>
      <c r="Q147" s="8"/>
      <c r="R147" s="8"/>
      <c r="S147" s="8"/>
      <c r="T147" s="8"/>
      <c r="U147" s="8"/>
    </row>
    <row r="148" spans="14:21">
      <c r="N148" s="8"/>
      <c r="O148" s="8"/>
      <c r="P148" s="8"/>
      <c r="Q148" s="8"/>
      <c r="R148" s="8"/>
      <c r="S148" s="8"/>
      <c r="T148" s="8"/>
      <c r="U148" s="8"/>
    </row>
    <row r="149" spans="14:21">
      <c r="N149" s="8"/>
      <c r="O149" s="8"/>
      <c r="P149" s="8"/>
      <c r="Q149" s="8"/>
      <c r="R149" s="8"/>
      <c r="S149" s="8"/>
      <c r="T149" s="8"/>
      <c r="U149" s="8"/>
    </row>
    <row r="150" spans="14:21">
      <c r="N150" s="8"/>
      <c r="O150" s="8"/>
      <c r="P150" s="8"/>
      <c r="Q150" s="8"/>
      <c r="R150" s="8"/>
      <c r="S150" s="8"/>
      <c r="T150" s="8"/>
      <c r="U150" s="8"/>
    </row>
    <row r="151" spans="14:21">
      <c r="N151" s="8"/>
      <c r="O151" s="8"/>
      <c r="P151" s="8"/>
      <c r="Q151" s="8"/>
      <c r="R151" s="8"/>
      <c r="S151" s="8"/>
      <c r="T151" s="8"/>
      <c r="U151" s="8"/>
    </row>
    <row r="152" spans="14:21">
      <c r="N152" s="8"/>
      <c r="O152" s="8"/>
      <c r="P152" s="8"/>
      <c r="Q152" s="8"/>
      <c r="R152" s="8"/>
      <c r="S152" s="8"/>
      <c r="T152" s="8"/>
      <c r="U152" s="8"/>
    </row>
    <row r="153" spans="14:21">
      <c r="N153" s="8"/>
      <c r="O153" s="8"/>
      <c r="P153" s="8"/>
      <c r="Q153" s="8"/>
      <c r="R153" s="8"/>
      <c r="S153" s="8"/>
      <c r="T153" s="8"/>
      <c r="U153" s="8"/>
    </row>
    <row r="154" spans="14:21">
      <c r="N154" s="8"/>
      <c r="O154" s="8"/>
      <c r="P154" s="8"/>
      <c r="Q154" s="8"/>
      <c r="R154" s="8"/>
      <c r="S154" s="8"/>
      <c r="T154" s="8"/>
      <c r="U154" s="8"/>
    </row>
    <row r="155" spans="14:21">
      <c r="N155" s="8"/>
      <c r="O155" s="8"/>
      <c r="P155" s="8"/>
      <c r="Q155" s="8"/>
      <c r="R155" s="8"/>
      <c r="S155" s="8"/>
      <c r="T155" s="8"/>
      <c r="U155" s="8"/>
    </row>
    <row r="156" spans="14:21">
      <c r="N156" s="8"/>
      <c r="O156" s="8"/>
      <c r="P156" s="8"/>
      <c r="Q156" s="8"/>
      <c r="R156" s="8"/>
      <c r="S156" s="8"/>
      <c r="T156" s="8"/>
      <c r="U156" s="8"/>
    </row>
    <row r="157" spans="14:21">
      <c r="N157" s="8"/>
      <c r="O157" s="8"/>
      <c r="P157" s="8"/>
      <c r="Q157" s="8"/>
      <c r="R157" s="8"/>
      <c r="S157" s="8"/>
      <c r="T157" s="8"/>
      <c r="U157" s="8"/>
    </row>
    <row r="158" spans="14:21">
      <c r="N158" s="8"/>
      <c r="O158" s="8"/>
      <c r="P158" s="8"/>
      <c r="Q158" s="8"/>
      <c r="R158" s="8"/>
      <c r="S158" s="8"/>
      <c r="T158" s="8"/>
      <c r="U158" s="8"/>
    </row>
    <row r="159" spans="14:21">
      <c r="N159" s="8"/>
      <c r="O159" s="8"/>
      <c r="P159" s="8"/>
      <c r="Q159" s="8"/>
      <c r="R159" s="8"/>
      <c r="S159" s="8"/>
      <c r="T159" s="8"/>
      <c r="U159" s="8"/>
    </row>
    <row r="160" spans="14:21">
      <c r="N160" s="8"/>
      <c r="O160" s="8"/>
      <c r="P160" s="8"/>
      <c r="Q160" s="8"/>
      <c r="R160" s="8"/>
      <c r="S160" s="8"/>
      <c r="T160" s="8"/>
      <c r="U160" s="8"/>
    </row>
    <row r="161" spans="14:21">
      <c r="N161" s="8"/>
      <c r="O161" s="8"/>
      <c r="P161" s="8"/>
      <c r="Q161" s="8"/>
      <c r="R161" s="8"/>
      <c r="S161" s="8"/>
      <c r="T161" s="8"/>
      <c r="U161" s="8"/>
    </row>
    <row r="162" spans="14:21">
      <c r="N162" s="8"/>
      <c r="O162" s="8"/>
      <c r="P162" s="8"/>
      <c r="Q162" s="8"/>
      <c r="R162" s="8"/>
      <c r="S162" s="8"/>
      <c r="T162" s="8"/>
      <c r="U162" s="8"/>
    </row>
    <row r="163" spans="14:21">
      <c r="N163" s="8"/>
      <c r="O163" s="8"/>
      <c r="P163" s="8"/>
      <c r="Q163" s="8"/>
      <c r="R163" s="8"/>
      <c r="S163" s="8"/>
      <c r="T163" s="8"/>
      <c r="U163" s="8"/>
    </row>
    <row r="164" spans="14:21">
      <c r="N164" s="8"/>
      <c r="O164" s="8"/>
      <c r="P164" s="8"/>
      <c r="Q164" s="8"/>
      <c r="R164" s="8"/>
      <c r="S164" s="8"/>
      <c r="T164" s="8"/>
      <c r="U164" s="8"/>
    </row>
    <row r="165" spans="14:21">
      <c r="N165" s="8"/>
      <c r="O165" s="8"/>
      <c r="P165" s="8"/>
      <c r="Q165" s="8"/>
      <c r="R165" s="8"/>
      <c r="S165" s="8"/>
      <c r="T165" s="8"/>
      <c r="U165" s="8"/>
    </row>
    <row r="166" spans="14:21">
      <c r="N166" s="8"/>
      <c r="O166" s="8"/>
      <c r="P166" s="8"/>
      <c r="Q166" s="8"/>
      <c r="R166" s="8"/>
      <c r="S166" s="8"/>
      <c r="T166" s="8"/>
      <c r="U166" s="8"/>
    </row>
    <row r="167" spans="14:21">
      <c r="N167" s="8"/>
      <c r="O167" s="8"/>
      <c r="P167" s="8"/>
      <c r="Q167" s="8"/>
      <c r="R167" s="8"/>
      <c r="S167" s="8"/>
      <c r="T167" s="8"/>
      <c r="U167" s="8"/>
    </row>
    <row r="168" spans="14:21">
      <c r="N168" s="8"/>
      <c r="O168" s="8"/>
      <c r="P168" s="8"/>
      <c r="Q168" s="8"/>
      <c r="R168" s="8"/>
      <c r="S168" s="8"/>
      <c r="T168" s="8"/>
      <c r="U168" s="8"/>
    </row>
    <row r="169" spans="14:21">
      <c r="N169" s="8"/>
      <c r="O169" s="8"/>
      <c r="P169" s="8"/>
      <c r="Q169" s="8"/>
      <c r="R169" s="8"/>
      <c r="S169" s="8"/>
      <c r="T169" s="8"/>
      <c r="U169" s="8"/>
    </row>
    <row r="170" spans="14:21">
      <c r="N170" s="8"/>
      <c r="O170" s="8"/>
      <c r="P170" s="8"/>
      <c r="Q170" s="8"/>
      <c r="R170" s="8"/>
      <c r="S170" s="8"/>
      <c r="T170" s="8"/>
      <c r="U170" s="8"/>
    </row>
    <row r="171" spans="14:21">
      <c r="N171" s="8"/>
      <c r="O171" s="8"/>
      <c r="P171" s="8"/>
      <c r="Q171" s="8"/>
      <c r="R171" s="8"/>
      <c r="S171" s="8"/>
      <c r="T171" s="8"/>
      <c r="U171" s="8"/>
    </row>
    <row r="172" spans="14:21">
      <c r="N172" s="8"/>
      <c r="O172" s="8"/>
      <c r="P172" s="8"/>
      <c r="Q172" s="8"/>
      <c r="R172" s="8"/>
      <c r="S172" s="8"/>
      <c r="T172" s="8"/>
      <c r="U172" s="8"/>
    </row>
    <row r="173" spans="14:21">
      <c r="N173" s="8"/>
      <c r="O173" s="8"/>
      <c r="P173" s="8"/>
      <c r="Q173" s="8"/>
      <c r="R173" s="8"/>
      <c r="S173" s="8"/>
      <c r="T173" s="8"/>
      <c r="U173" s="8"/>
    </row>
    <row r="174" spans="14:21">
      <c r="N174" s="8"/>
      <c r="O174" s="8"/>
      <c r="P174" s="8"/>
      <c r="Q174" s="8"/>
      <c r="R174" s="8"/>
      <c r="S174" s="8"/>
      <c r="T174" s="8"/>
      <c r="U174" s="8"/>
    </row>
    <row r="175" spans="14:21">
      <c r="N175" s="8"/>
      <c r="O175" s="8"/>
      <c r="P175" s="8"/>
      <c r="Q175" s="8"/>
      <c r="R175" s="8"/>
      <c r="S175" s="8"/>
      <c r="T175" s="8"/>
      <c r="U175" s="8"/>
    </row>
    <row r="176" spans="14:21">
      <c r="N176" s="8"/>
      <c r="O176" s="8"/>
      <c r="P176" s="8"/>
      <c r="Q176" s="8"/>
      <c r="R176" s="8"/>
      <c r="S176" s="8"/>
      <c r="T176" s="8"/>
      <c r="U176" s="8"/>
    </row>
    <row r="177" spans="4:21">
      <c r="N177" s="8"/>
      <c r="O177" s="8"/>
      <c r="P177" s="8"/>
      <c r="Q177" s="8"/>
      <c r="R177" s="8"/>
      <c r="S177" s="8"/>
      <c r="T177" s="8"/>
      <c r="U177" s="8"/>
    </row>
    <row r="178" spans="4:21">
      <c r="N178" s="8"/>
      <c r="O178" s="8"/>
      <c r="P178" s="8"/>
      <c r="Q178" s="8"/>
      <c r="R178" s="8"/>
      <c r="S178" s="8"/>
      <c r="T178" s="8"/>
      <c r="U178" s="8"/>
    </row>
    <row r="179" spans="4:21">
      <c r="N179" s="8"/>
      <c r="O179" s="8"/>
      <c r="P179" s="8"/>
      <c r="Q179" s="8"/>
      <c r="R179" s="8"/>
      <c r="S179" s="8"/>
      <c r="T179" s="8"/>
      <c r="U179" s="8"/>
    </row>
    <row r="180" spans="4:21">
      <c r="N180" s="8"/>
      <c r="O180" s="8"/>
      <c r="P180" s="8"/>
      <c r="Q180" s="8"/>
      <c r="R180" s="8"/>
      <c r="S180" s="8"/>
      <c r="T180" s="8"/>
      <c r="U180" s="8"/>
    </row>
    <row r="181" spans="4:21">
      <c r="N181" s="8"/>
      <c r="O181" s="8"/>
      <c r="P181" s="8"/>
      <c r="Q181" s="8"/>
      <c r="R181" s="8"/>
      <c r="S181" s="8"/>
      <c r="T181" s="8"/>
      <c r="U181" s="8"/>
    </row>
    <row r="182" spans="4:21">
      <c r="N182" s="8"/>
      <c r="O182" s="8"/>
      <c r="P182" s="8"/>
      <c r="Q182" s="8"/>
      <c r="R182" s="8"/>
      <c r="S182" s="8"/>
      <c r="T182" s="8"/>
      <c r="U182" s="8"/>
    </row>
    <row r="183" spans="4:21">
      <c r="N183" s="8"/>
      <c r="O183" s="8"/>
      <c r="P183" s="8"/>
      <c r="Q183" s="8"/>
      <c r="R183" s="8"/>
      <c r="S183" s="8"/>
      <c r="T183" s="8"/>
      <c r="U183" s="8"/>
    </row>
    <row r="184" spans="4:21">
      <c r="N184" s="8"/>
      <c r="O184" s="8"/>
      <c r="P184" s="8"/>
      <c r="Q184" s="8"/>
      <c r="R184" s="8"/>
      <c r="S184" s="8"/>
      <c r="T184" s="8"/>
      <c r="U184" s="8"/>
    </row>
    <row r="185" spans="4:21">
      <c r="N185" s="8"/>
      <c r="O185" s="8"/>
      <c r="P185" s="8"/>
      <c r="Q185" s="8"/>
      <c r="R185" s="8"/>
      <c r="S185" s="8"/>
      <c r="T185" s="8"/>
      <c r="U185" s="8"/>
    </row>
    <row r="186" spans="4:21">
      <c r="N186" s="8"/>
      <c r="O186" s="8"/>
      <c r="P186" s="8"/>
      <c r="Q186" s="8"/>
      <c r="R186" s="8"/>
      <c r="S186" s="8"/>
      <c r="T186" s="8"/>
      <c r="U186" s="8"/>
    </row>
    <row r="187" spans="4:21">
      <c r="N187" s="8"/>
      <c r="O187" s="8"/>
      <c r="P187" s="8"/>
      <c r="Q187" s="8"/>
      <c r="R187" s="8"/>
      <c r="S187" s="8"/>
      <c r="T187" s="8"/>
      <c r="U187" s="8"/>
    </row>
    <row r="188" spans="4:21">
      <c r="N188" s="8"/>
      <c r="O188" s="8"/>
      <c r="P188" s="8"/>
      <c r="Q188" s="8"/>
      <c r="R188" s="8"/>
      <c r="S188" s="8"/>
      <c r="T188" s="8"/>
      <c r="U188" s="8"/>
    </row>
    <row r="189" spans="4:21">
      <c r="N189" s="8"/>
      <c r="O189" s="8"/>
      <c r="P189" s="8"/>
      <c r="Q189" s="8"/>
      <c r="R189" s="8"/>
      <c r="S189" s="8"/>
      <c r="T189" s="8"/>
      <c r="U189" s="8"/>
    </row>
    <row r="190" spans="4:21">
      <c r="N190" s="8"/>
      <c r="O190" s="8"/>
      <c r="P190" s="8"/>
      <c r="Q190" s="8"/>
      <c r="R190" s="8"/>
      <c r="S190" s="8"/>
      <c r="T190" s="8"/>
      <c r="U190" s="8"/>
    </row>
    <row r="191" spans="4:21">
      <c r="D191" s="20"/>
      <c r="N191" s="8"/>
      <c r="O191" s="8"/>
      <c r="P191" s="8"/>
      <c r="Q191" s="8"/>
      <c r="R191" s="8"/>
      <c r="S191" s="8"/>
      <c r="T191" s="8"/>
      <c r="U191" s="8"/>
    </row>
    <row r="193" spans="14:21">
      <c r="N193" s="8"/>
      <c r="O193" s="8"/>
      <c r="P193" s="8"/>
      <c r="Q193" s="8"/>
      <c r="R193" s="8"/>
      <c r="S193" s="8"/>
      <c r="T193" s="8"/>
      <c r="U193" s="8"/>
    </row>
    <row r="194" spans="14:21">
      <c r="N194" s="8"/>
      <c r="O194" s="8"/>
      <c r="P194" s="8"/>
      <c r="Q194" s="8"/>
      <c r="R194" s="8"/>
      <c r="S194" s="8"/>
      <c r="T194" s="8"/>
      <c r="U194" s="8"/>
    </row>
    <row r="195" spans="14:21">
      <c r="N195" s="8"/>
      <c r="O195" s="8"/>
      <c r="P195" s="8"/>
      <c r="Q195" s="8"/>
      <c r="R195" s="8"/>
      <c r="S195" s="8"/>
      <c r="T195" s="8"/>
      <c r="U195" s="8"/>
    </row>
    <row r="196" spans="14:21">
      <c r="N196" s="8"/>
      <c r="O196" s="8"/>
      <c r="P196" s="8"/>
      <c r="Q196" s="8"/>
      <c r="R196" s="8"/>
      <c r="S196" s="8"/>
      <c r="T196" s="8"/>
      <c r="U196" s="8"/>
    </row>
    <row r="197" spans="14:21">
      <c r="N197" s="8"/>
      <c r="O197" s="8"/>
      <c r="P197" s="8"/>
      <c r="Q197" s="8"/>
      <c r="R197" s="8"/>
      <c r="S197" s="8"/>
      <c r="T197" s="8"/>
      <c r="U197" s="8"/>
    </row>
    <row r="198" spans="14:21">
      <c r="N198" s="8"/>
      <c r="O198" s="8"/>
      <c r="P198" s="8"/>
      <c r="Q198" s="8"/>
      <c r="R198" s="8"/>
      <c r="S198" s="8"/>
      <c r="T198" s="8"/>
      <c r="U198" s="8"/>
    </row>
    <row r="199" spans="14:21">
      <c r="N199" s="8"/>
      <c r="O199" s="8"/>
      <c r="P199" s="8"/>
      <c r="Q199" s="8"/>
      <c r="R199" s="8"/>
      <c r="S199" s="8"/>
      <c r="T199" s="8"/>
      <c r="U199" s="8"/>
    </row>
    <row r="200" spans="14:21">
      <c r="N200" s="8"/>
      <c r="O200" s="8"/>
      <c r="P200" s="8"/>
      <c r="Q200" s="8"/>
      <c r="R200" s="8"/>
      <c r="S200" s="8"/>
      <c r="T200" s="8"/>
      <c r="U200" s="8"/>
    </row>
    <row r="201" spans="14:21">
      <c r="N201" s="8"/>
      <c r="O201" s="8"/>
      <c r="P201" s="8"/>
      <c r="Q201" s="8"/>
      <c r="R201" s="8"/>
      <c r="S201" s="8"/>
      <c r="T201" s="8"/>
      <c r="U201" s="8"/>
    </row>
    <row r="202" spans="14:21">
      <c r="N202" s="8"/>
      <c r="O202" s="8"/>
      <c r="P202" s="8"/>
      <c r="Q202" s="8"/>
      <c r="R202" s="8"/>
      <c r="S202" s="8"/>
      <c r="T202" s="8"/>
      <c r="U202" s="8"/>
    </row>
    <row r="203" spans="14:21">
      <c r="N203" s="8"/>
      <c r="O203" s="8"/>
      <c r="P203" s="8"/>
      <c r="Q203" s="8"/>
      <c r="R203" s="8"/>
      <c r="S203" s="8"/>
      <c r="T203" s="8"/>
      <c r="U203" s="8"/>
    </row>
    <row r="204" spans="14:21">
      <c r="N204" s="8"/>
      <c r="O204" s="8"/>
      <c r="P204" s="8"/>
      <c r="Q204" s="8"/>
      <c r="R204" s="8"/>
      <c r="S204" s="8"/>
      <c r="T204" s="8"/>
      <c r="U204" s="8"/>
    </row>
    <row r="205" spans="14:21">
      <c r="N205" s="8"/>
      <c r="O205" s="8"/>
      <c r="P205" s="8"/>
      <c r="Q205" s="8"/>
      <c r="R205" s="8"/>
      <c r="S205" s="8"/>
      <c r="T205" s="8"/>
      <c r="U205" s="8"/>
    </row>
    <row r="206" spans="14:21">
      <c r="N206" s="8"/>
      <c r="O206" s="8"/>
      <c r="P206" s="8"/>
      <c r="Q206" s="8"/>
      <c r="R206" s="8"/>
      <c r="S206" s="8"/>
      <c r="T206" s="8"/>
      <c r="U206" s="8"/>
    </row>
    <row r="207" spans="14:21">
      <c r="N207" s="8"/>
      <c r="O207" s="8"/>
      <c r="P207" s="8"/>
      <c r="Q207" s="8"/>
      <c r="R207" s="8"/>
      <c r="S207" s="8"/>
      <c r="T207" s="8"/>
      <c r="U207" s="8"/>
    </row>
    <row r="208" spans="14:21">
      <c r="N208" s="8"/>
      <c r="O208" s="8"/>
      <c r="P208" s="8"/>
      <c r="Q208" s="8"/>
      <c r="R208" s="8"/>
      <c r="S208" s="8"/>
      <c r="T208" s="8"/>
      <c r="U208" s="8"/>
    </row>
    <row r="209" spans="14:21">
      <c r="N209" s="8"/>
      <c r="O209" s="8"/>
      <c r="P209" s="8"/>
      <c r="Q209" s="8"/>
      <c r="R209" s="8"/>
      <c r="S209" s="8"/>
      <c r="T209" s="8"/>
      <c r="U209" s="8"/>
    </row>
    <row r="210" spans="14:21">
      <c r="N210" s="8"/>
      <c r="O210" s="8"/>
      <c r="P210" s="8"/>
      <c r="Q210" s="8"/>
      <c r="R210" s="8"/>
      <c r="S210" s="8"/>
      <c r="T210" s="8"/>
      <c r="U210" s="8"/>
    </row>
    <row r="211" spans="14:21">
      <c r="N211" s="8"/>
      <c r="O211" s="8"/>
      <c r="P211" s="8"/>
      <c r="Q211" s="8"/>
      <c r="R211" s="8"/>
      <c r="S211" s="8"/>
      <c r="T211" s="8"/>
      <c r="U211" s="8"/>
    </row>
    <row r="212" spans="14:21">
      <c r="N212" s="8"/>
      <c r="O212" s="8"/>
      <c r="P212" s="8"/>
      <c r="Q212" s="8"/>
      <c r="R212" s="8"/>
      <c r="S212" s="8"/>
      <c r="T212" s="8"/>
      <c r="U212" s="8"/>
    </row>
    <row r="213" spans="14:21">
      <c r="N213" s="8"/>
      <c r="O213" s="8"/>
      <c r="P213" s="8"/>
      <c r="Q213" s="8"/>
      <c r="R213" s="8"/>
      <c r="S213" s="8"/>
      <c r="T213" s="8"/>
      <c r="U213" s="8"/>
    </row>
    <row r="214" spans="14:21">
      <c r="N214" s="8"/>
      <c r="O214" s="8"/>
      <c r="P214" s="8"/>
      <c r="Q214" s="8"/>
      <c r="R214" s="8"/>
      <c r="S214" s="8"/>
      <c r="T214" s="8"/>
      <c r="U214" s="8"/>
    </row>
    <row r="215" spans="14:21">
      <c r="N215" s="8"/>
      <c r="O215" s="8"/>
      <c r="P215" s="8"/>
      <c r="Q215" s="8"/>
      <c r="R215" s="8"/>
      <c r="S215" s="8"/>
      <c r="T215" s="8"/>
      <c r="U215" s="8"/>
    </row>
    <row r="216" spans="14:21">
      <c r="N216" s="8"/>
      <c r="O216" s="8"/>
      <c r="P216" s="8"/>
      <c r="Q216" s="8"/>
      <c r="R216" s="8"/>
      <c r="S216" s="8"/>
      <c r="T216" s="8"/>
      <c r="U216" s="8"/>
    </row>
    <row r="217" spans="14:21">
      <c r="N217" s="8"/>
      <c r="O217" s="8"/>
      <c r="P217" s="8"/>
      <c r="Q217" s="8"/>
      <c r="R217" s="8"/>
      <c r="S217" s="8"/>
      <c r="T217" s="8"/>
      <c r="U217" s="8"/>
    </row>
    <row r="218" spans="14:21">
      <c r="N218" s="8"/>
      <c r="O218" s="8"/>
      <c r="P218" s="8"/>
      <c r="Q218" s="8"/>
      <c r="R218" s="8"/>
      <c r="S218" s="8"/>
      <c r="T218" s="8"/>
      <c r="U218" s="8"/>
    </row>
    <row r="219" spans="14:21">
      <c r="N219" s="8"/>
      <c r="O219" s="8"/>
      <c r="P219" s="8"/>
      <c r="Q219" s="8"/>
      <c r="R219" s="8"/>
      <c r="S219" s="8"/>
      <c r="T219" s="8"/>
      <c r="U219" s="8"/>
    </row>
  </sheetData>
  <mergeCells count="2">
    <mergeCell ref="D1:G1"/>
    <mergeCell ref="H1:K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0E3D-5199-3D44-BA6F-0E7EB671DB87}">
  <dimension ref="A1:M66"/>
  <sheetViews>
    <sheetView workbookViewId="0">
      <selection activeCell="H6" sqref="H6:K6"/>
    </sheetView>
  </sheetViews>
  <sheetFormatPr baseColWidth="10" defaultRowHeight="15"/>
  <cols>
    <col min="2" max="2" width="19.1640625" bestFit="1" customWidth="1"/>
    <col min="6" max="6" width="14.5" bestFit="1" customWidth="1"/>
    <col min="7" max="7" width="14" bestFit="1" customWidth="1"/>
  </cols>
  <sheetData>
    <row r="1" spans="1:13" ht="20" thickBot="1">
      <c r="A1" s="5"/>
      <c r="B1" s="6"/>
      <c r="C1" s="6"/>
      <c r="D1" s="99" t="s">
        <v>261</v>
      </c>
      <c r="E1" s="99"/>
      <c r="F1" s="99"/>
      <c r="G1" s="99"/>
      <c r="H1" s="99" t="s">
        <v>262</v>
      </c>
      <c r="I1" s="99"/>
      <c r="J1" s="99"/>
      <c r="K1" s="100"/>
      <c r="M1" s="85"/>
    </row>
    <row r="2" spans="1:13" ht="18" thickBot="1">
      <c r="A2" s="86" t="s">
        <v>1</v>
      </c>
      <c r="B2" s="92" t="s">
        <v>263</v>
      </c>
      <c r="C2" s="87" t="s">
        <v>0</v>
      </c>
      <c r="D2" s="90" t="s">
        <v>250</v>
      </c>
      <c r="E2" s="88" t="s">
        <v>252</v>
      </c>
      <c r="F2" s="88" t="s">
        <v>251</v>
      </c>
      <c r="G2" s="88" t="s">
        <v>253</v>
      </c>
      <c r="H2" s="88" t="s">
        <v>258</v>
      </c>
      <c r="I2" s="88" t="s">
        <v>259</v>
      </c>
      <c r="J2" s="88" t="s">
        <v>260</v>
      </c>
      <c r="K2" s="89" t="s">
        <v>253</v>
      </c>
    </row>
    <row r="3" spans="1:13">
      <c r="A3" s="5" t="s">
        <v>11</v>
      </c>
      <c r="B3" s="93" t="s">
        <v>12</v>
      </c>
      <c r="C3" s="6" t="s">
        <v>10</v>
      </c>
      <c r="D3" s="43">
        <v>0.69272185793013197</v>
      </c>
      <c r="E3" s="43">
        <v>-0.19252208571746801</v>
      </c>
      <c r="F3" s="43">
        <v>-1.6508618368786001E-2</v>
      </c>
      <c r="G3" s="43">
        <v>0.71916678206353801</v>
      </c>
      <c r="H3" s="43" t="s">
        <v>249</v>
      </c>
      <c r="I3" s="43" t="s">
        <v>249</v>
      </c>
      <c r="J3" s="43" t="s">
        <v>249</v>
      </c>
      <c r="K3" s="44" t="s">
        <v>249</v>
      </c>
    </row>
    <row r="4" spans="1:13">
      <c r="A4" s="7" t="s">
        <v>11</v>
      </c>
      <c r="B4" s="94" t="s">
        <v>12</v>
      </c>
      <c r="C4" t="s">
        <v>17</v>
      </c>
      <c r="D4" s="8">
        <v>0.60812735838853504</v>
      </c>
      <c r="E4" s="8">
        <v>-0.14892664881769299</v>
      </c>
      <c r="F4" s="8">
        <v>-0.109516974460002</v>
      </c>
      <c r="G4" s="8">
        <v>0.63560364885953802</v>
      </c>
      <c r="H4" s="8" t="s">
        <v>249</v>
      </c>
      <c r="I4" s="8" t="s">
        <v>249</v>
      </c>
      <c r="J4" s="8" t="s">
        <v>249</v>
      </c>
      <c r="K4" s="45" t="s">
        <v>249</v>
      </c>
    </row>
    <row r="5" spans="1:13">
      <c r="A5" s="7" t="s">
        <v>11</v>
      </c>
      <c r="B5" s="94" t="s">
        <v>12</v>
      </c>
      <c r="C5" t="s">
        <v>18</v>
      </c>
      <c r="D5" s="8">
        <v>0.78388070634842</v>
      </c>
      <c r="E5" s="8">
        <v>-0.149338296031861</v>
      </c>
      <c r="F5" s="8">
        <v>3.0951591050152001E-2</v>
      </c>
      <c r="G5" s="8">
        <v>0.79857929439444797</v>
      </c>
      <c r="H5" s="8" t="s">
        <v>249</v>
      </c>
      <c r="I5" s="8" t="s">
        <v>249</v>
      </c>
      <c r="J5" s="8" t="s">
        <v>249</v>
      </c>
      <c r="K5" s="45" t="s">
        <v>249</v>
      </c>
    </row>
    <row r="6" spans="1:13">
      <c r="A6" s="7" t="s">
        <v>11</v>
      </c>
      <c r="B6" s="94" t="s">
        <v>12</v>
      </c>
      <c r="C6" s="105" t="s">
        <v>21</v>
      </c>
      <c r="D6" s="8" t="s">
        <v>249</v>
      </c>
      <c r="E6" s="8" t="s">
        <v>249</v>
      </c>
      <c r="F6" s="8" t="s">
        <v>249</v>
      </c>
      <c r="G6" s="8" t="s">
        <v>249</v>
      </c>
      <c r="H6" s="8">
        <v>0.73823038702349897</v>
      </c>
      <c r="I6" s="8">
        <v>-0.18503597050502199</v>
      </c>
      <c r="J6" s="8">
        <v>-6.6395834890081204E-2</v>
      </c>
      <c r="K6" s="45">
        <f>SQRT(H6^2+I6^2+J6^2)</f>
        <v>0.76395734278580718</v>
      </c>
    </row>
    <row r="7" spans="1:13">
      <c r="A7" s="7" t="s">
        <v>11</v>
      </c>
      <c r="B7" s="94" t="s">
        <v>12</v>
      </c>
      <c r="C7" t="s">
        <v>22</v>
      </c>
      <c r="D7" s="8">
        <v>0.57342430685730295</v>
      </c>
      <c r="E7" s="8">
        <v>-0.168665424000536</v>
      </c>
      <c r="F7" s="8">
        <v>-6.4879033476153994E-2</v>
      </c>
      <c r="G7" s="8">
        <v>0.60122603896775695</v>
      </c>
      <c r="H7" s="8" t="s">
        <v>249</v>
      </c>
      <c r="I7" s="8" t="s">
        <v>249</v>
      </c>
      <c r="J7" s="8" t="s">
        <v>249</v>
      </c>
      <c r="K7" s="45" t="s">
        <v>249</v>
      </c>
    </row>
    <row r="8" spans="1:13">
      <c r="A8" s="7" t="s">
        <v>11</v>
      </c>
      <c r="B8" s="94" t="s">
        <v>12</v>
      </c>
      <c r="C8" t="s">
        <v>23</v>
      </c>
      <c r="D8" s="8">
        <v>0.70282839141196196</v>
      </c>
      <c r="E8" s="8">
        <v>-0.15670335957355799</v>
      </c>
      <c r="F8" s="8">
        <v>-7.9689384373347993E-2</v>
      </c>
      <c r="G8" s="8">
        <v>0.72448194501876195</v>
      </c>
      <c r="H8" s="8" t="s">
        <v>249</v>
      </c>
      <c r="I8" s="8" t="s">
        <v>249</v>
      </c>
      <c r="J8" s="8" t="s">
        <v>249</v>
      </c>
      <c r="K8" s="45" t="s">
        <v>249</v>
      </c>
    </row>
    <row r="9" spans="1:13">
      <c r="A9" s="7" t="s">
        <v>11</v>
      </c>
      <c r="B9" s="94" t="s">
        <v>12</v>
      </c>
      <c r="C9" t="s">
        <v>24</v>
      </c>
      <c r="D9" s="8">
        <v>0.76476284305541997</v>
      </c>
      <c r="E9" s="8">
        <v>-0.20022780092077799</v>
      </c>
      <c r="F9" s="8">
        <v>-3.7967888322463998E-2</v>
      </c>
      <c r="G9" s="8">
        <v>0.79145116016305495</v>
      </c>
      <c r="H9" s="8" t="s">
        <v>249</v>
      </c>
      <c r="I9" s="8" t="s">
        <v>249</v>
      </c>
      <c r="J9" s="8" t="s">
        <v>249</v>
      </c>
      <c r="K9" s="45" t="s">
        <v>249</v>
      </c>
    </row>
    <row r="10" spans="1:13">
      <c r="A10" s="7" t="s">
        <v>11</v>
      </c>
      <c r="B10" s="94" t="s">
        <v>12</v>
      </c>
      <c r="C10" t="s">
        <v>25</v>
      </c>
      <c r="D10" s="8">
        <v>0.739448826224955</v>
      </c>
      <c r="E10" s="8">
        <v>-0.17448571193248399</v>
      </c>
      <c r="F10" s="8">
        <v>-5.3065764959592997E-2</v>
      </c>
      <c r="G10" s="8">
        <v>0.76160738289803598</v>
      </c>
      <c r="H10" s="8" t="s">
        <v>249</v>
      </c>
      <c r="I10" s="8" t="s">
        <v>249</v>
      </c>
      <c r="J10" s="8" t="s">
        <v>249</v>
      </c>
      <c r="K10" s="45" t="s">
        <v>249</v>
      </c>
    </row>
    <row r="11" spans="1:13">
      <c r="A11" s="7" t="s">
        <v>11</v>
      </c>
      <c r="B11" s="94" t="s">
        <v>12</v>
      </c>
      <c r="C11" s="105" t="s">
        <v>26</v>
      </c>
      <c r="D11" s="8" t="s">
        <v>249</v>
      </c>
      <c r="E11" s="8" t="s">
        <v>249</v>
      </c>
      <c r="F11" s="8" t="s">
        <v>249</v>
      </c>
      <c r="G11" s="8" t="s">
        <v>249</v>
      </c>
      <c r="H11" s="8">
        <v>0.64693040880155395</v>
      </c>
      <c r="I11" s="8">
        <v>-0.23119376892152299</v>
      </c>
      <c r="J11" s="8">
        <v>5.3174126889363002E-2</v>
      </c>
      <c r="K11" s="45">
        <f>SQRT(H11^2+I11^2+J11^2)</f>
        <v>0.68905515047108556</v>
      </c>
    </row>
    <row r="12" spans="1:13">
      <c r="A12" s="7" t="s">
        <v>11</v>
      </c>
      <c r="B12" s="94" t="s">
        <v>12</v>
      </c>
      <c r="C12" t="s">
        <v>28</v>
      </c>
      <c r="D12" s="8">
        <v>0.73959631726443098</v>
      </c>
      <c r="E12" s="8">
        <v>-0.207901443745798</v>
      </c>
      <c r="F12" s="8">
        <v>1.8379829678004E-2</v>
      </c>
      <c r="G12" s="8">
        <v>0.76848132115340895</v>
      </c>
      <c r="H12" s="8" t="s">
        <v>249</v>
      </c>
      <c r="I12" s="8" t="s">
        <v>249</v>
      </c>
      <c r="J12" s="8" t="s">
        <v>249</v>
      </c>
      <c r="K12" s="45" t="s">
        <v>249</v>
      </c>
    </row>
    <row r="13" spans="1:13">
      <c r="A13" s="7" t="s">
        <v>11</v>
      </c>
      <c r="B13" s="94" t="s">
        <v>12</v>
      </c>
      <c r="C13" t="s">
        <v>30</v>
      </c>
      <c r="D13" s="8">
        <v>0.60681482425872402</v>
      </c>
      <c r="E13" s="8">
        <v>-0.24792177967029</v>
      </c>
      <c r="F13" s="8">
        <v>6.3781362633151997E-2</v>
      </c>
      <c r="G13" s="8">
        <v>0.65860268902758901</v>
      </c>
      <c r="H13" s="8" t="s">
        <v>249</v>
      </c>
      <c r="I13" s="8" t="s">
        <v>249</v>
      </c>
      <c r="J13" s="8" t="s">
        <v>249</v>
      </c>
      <c r="K13" s="45" t="s">
        <v>249</v>
      </c>
    </row>
    <row r="14" spans="1:13">
      <c r="A14" s="7" t="s">
        <v>11</v>
      </c>
      <c r="B14" s="94" t="s">
        <v>12</v>
      </c>
      <c r="C14" t="s">
        <v>35</v>
      </c>
      <c r="D14" s="8">
        <v>0.71706701075108403</v>
      </c>
      <c r="E14" s="8">
        <v>-0.23587422499866301</v>
      </c>
      <c r="F14" s="8">
        <v>5.9659890148530001E-2</v>
      </c>
      <c r="G14" s="8">
        <v>0.75721928819777795</v>
      </c>
      <c r="H14" s="8" t="s">
        <v>249</v>
      </c>
      <c r="I14" s="8" t="s">
        <v>249</v>
      </c>
      <c r="J14" s="8" t="s">
        <v>249</v>
      </c>
      <c r="K14" s="45" t="s">
        <v>249</v>
      </c>
    </row>
    <row r="15" spans="1:13">
      <c r="A15" s="7" t="s">
        <v>11</v>
      </c>
      <c r="B15" s="94" t="s">
        <v>12</v>
      </c>
      <c r="C15" t="s">
        <v>37</v>
      </c>
      <c r="D15" s="8">
        <v>0.67074778007927904</v>
      </c>
      <c r="E15" s="8">
        <v>-0.25092533790249399</v>
      </c>
      <c r="F15" s="8">
        <v>9.3824619409571E-2</v>
      </c>
      <c r="G15" s="8">
        <v>0.72226668820465001</v>
      </c>
      <c r="H15" s="8" t="s">
        <v>249</v>
      </c>
      <c r="I15" s="8" t="s">
        <v>249</v>
      </c>
      <c r="J15" s="8" t="s">
        <v>249</v>
      </c>
      <c r="K15" s="45" t="s">
        <v>249</v>
      </c>
    </row>
    <row r="16" spans="1:13">
      <c r="A16" s="7" t="s">
        <v>11</v>
      </c>
      <c r="B16" s="94" t="s">
        <v>12</v>
      </c>
      <c r="C16" t="s">
        <v>40</v>
      </c>
      <c r="D16" s="8">
        <v>1.4711216855095501E-4</v>
      </c>
      <c r="E16" s="8">
        <v>1.2087596741039999E-2</v>
      </c>
      <c r="F16" s="8">
        <v>1.00431502739822</v>
      </c>
      <c r="G16" s="8">
        <v>1.0043877766554301</v>
      </c>
      <c r="H16" s="8" t="s">
        <v>249</v>
      </c>
      <c r="I16" s="8" t="s">
        <v>249</v>
      </c>
      <c r="J16" s="8" t="s">
        <v>249</v>
      </c>
      <c r="K16" s="45" t="s">
        <v>249</v>
      </c>
    </row>
    <row r="17" spans="1:11">
      <c r="A17" s="7" t="s">
        <v>11</v>
      </c>
      <c r="B17" s="94" t="s">
        <v>12</v>
      </c>
      <c r="C17" t="s">
        <v>41</v>
      </c>
      <c r="D17" s="8">
        <v>0.68720951790351004</v>
      </c>
      <c r="E17" s="8">
        <v>-0.110523422358195</v>
      </c>
      <c r="F17" s="8">
        <v>-0.15878643943151</v>
      </c>
      <c r="G17" s="8">
        <v>0.71392260206151203</v>
      </c>
      <c r="H17" s="8" t="s">
        <v>249</v>
      </c>
      <c r="I17" s="8" t="s">
        <v>249</v>
      </c>
      <c r="J17" s="8" t="s">
        <v>249</v>
      </c>
      <c r="K17" s="45" t="s">
        <v>249</v>
      </c>
    </row>
    <row r="18" spans="1:11" ht="16" thickBot="1">
      <c r="A18" s="47" t="s">
        <v>11</v>
      </c>
      <c r="B18" s="95" t="s">
        <v>12</v>
      </c>
      <c r="C18" s="106" t="s">
        <v>43</v>
      </c>
      <c r="D18" s="48" t="s">
        <v>249</v>
      </c>
      <c r="E18" s="48" t="s">
        <v>249</v>
      </c>
      <c r="F18" s="48" t="s">
        <v>249</v>
      </c>
      <c r="G18" s="48" t="s">
        <v>249</v>
      </c>
      <c r="H18" s="48">
        <v>0.609656400606432</v>
      </c>
      <c r="I18" s="48">
        <v>-0.12971414226618</v>
      </c>
      <c r="J18" s="48">
        <v>-6.5668594235706895E-2</v>
      </c>
      <c r="K18" s="49">
        <f>SQRT(H18^2+I18^2+J18^2)</f>
        <v>0.62675278202265283</v>
      </c>
    </row>
    <row r="19" spans="1:11">
      <c r="A19" s="5" t="s">
        <v>11</v>
      </c>
      <c r="B19" s="93" t="s">
        <v>45</v>
      </c>
      <c r="C19" s="6" t="s">
        <v>44</v>
      </c>
      <c r="D19" s="43">
        <v>1.01773375775764</v>
      </c>
      <c r="E19" s="43">
        <v>-2.92028474439133</v>
      </c>
      <c r="F19" s="43">
        <v>-0.78609932900315205</v>
      </c>
      <c r="G19" s="43">
        <v>3.1908928444972</v>
      </c>
      <c r="H19" s="43" t="s">
        <v>249</v>
      </c>
      <c r="I19" s="43" t="s">
        <v>249</v>
      </c>
      <c r="J19" s="43" t="s">
        <v>249</v>
      </c>
      <c r="K19" s="44" t="s">
        <v>249</v>
      </c>
    </row>
    <row r="20" spans="1:11">
      <c r="A20" s="7" t="s">
        <v>11</v>
      </c>
      <c r="B20" s="94" t="s">
        <v>45</v>
      </c>
      <c r="C20" t="s">
        <v>46</v>
      </c>
      <c r="D20" s="8">
        <v>0.73989205998880703</v>
      </c>
      <c r="E20" s="8">
        <v>-1.02684724814275</v>
      </c>
      <c r="F20" s="8">
        <v>-0.96481807363962302</v>
      </c>
      <c r="G20" s="8">
        <v>1.5914551349863699</v>
      </c>
      <c r="H20" s="8" t="s">
        <v>249</v>
      </c>
      <c r="I20" s="8" t="s">
        <v>249</v>
      </c>
      <c r="J20" s="8" t="s">
        <v>249</v>
      </c>
      <c r="K20" s="45" t="s">
        <v>249</v>
      </c>
    </row>
    <row r="21" spans="1:11">
      <c r="A21" s="7" t="s">
        <v>11</v>
      </c>
      <c r="B21" s="94" t="s">
        <v>45</v>
      </c>
      <c r="C21" t="s">
        <v>47</v>
      </c>
      <c r="D21" s="8">
        <v>9.3610456192005004E-2</v>
      </c>
      <c r="E21" s="8">
        <v>-1.00749226668401</v>
      </c>
      <c r="F21" s="8">
        <v>-0.65055864116006201</v>
      </c>
      <c r="G21" s="8">
        <v>1.2029256546123701</v>
      </c>
      <c r="H21" s="8" t="s">
        <v>249</v>
      </c>
      <c r="I21" s="8" t="s">
        <v>249</v>
      </c>
      <c r="J21" s="8" t="s">
        <v>249</v>
      </c>
      <c r="K21" s="45" t="s">
        <v>249</v>
      </c>
    </row>
    <row r="22" spans="1:11">
      <c r="A22" s="7" t="s">
        <v>11</v>
      </c>
      <c r="B22" s="94" t="s">
        <v>45</v>
      </c>
      <c r="C22" t="s">
        <v>48</v>
      </c>
      <c r="D22" s="8">
        <v>1.56315321304592</v>
      </c>
      <c r="E22" s="8">
        <v>4.4278530125873301</v>
      </c>
      <c r="F22" s="8">
        <v>1.33435686015134</v>
      </c>
      <c r="G22" s="8">
        <v>4.8815815571152203</v>
      </c>
      <c r="H22" s="8" t="s">
        <v>249</v>
      </c>
      <c r="I22" s="8" t="s">
        <v>249</v>
      </c>
      <c r="J22" s="8" t="s">
        <v>249</v>
      </c>
      <c r="K22" s="45" t="s">
        <v>249</v>
      </c>
    </row>
    <row r="23" spans="1:11">
      <c r="A23" s="7" t="s">
        <v>11</v>
      </c>
      <c r="B23" s="94" t="s">
        <v>45</v>
      </c>
      <c r="C23" t="s">
        <v>49</v>
      </c>
      <c r="D23" s="8">
        <v>1602.24559930186</v>
      </c>
      <c r="E23" s="8">
        <v>5033.79291931851</v>
      </c>
      <c r="F23" s="8">
        <v>12.5041438049952</v>
      </c>
      <c r="G23" s="8">
        <v>5282.65259776522</v>
      </c>
      <c r="H23" s="8" t="s">
        <v>249</v>
      </c>
      <c r="I23" s="8" t="s">
        <v>249</v>
      </c>
      <c r="J23" s="8" t="s">
        <v>249</v>
      </c>
      <c r="K23" s="45" t="s">
        <v>249</v>
      </c>
    </row>
    <row r="24" spans="1:11">
      <c r="A24" s="7" t="s">
        <v>11</v>
      </c>
      <c r="B24" s="94" t="s">
        <v>45</v>
      </c>
      <c r="C24" t="s">
        <v>50</v>
      </c>
      <c r="D24" s="8">
        <v>0.38501440738258103</v>
      </c>
      <c r="E24" s="8">
        <v>1.58600564617234</v>
      </c>
      <c r="F24" s="8">
        <v>-4.2405581465056796</v>
      </c>
      <c r="G24" s="8">
        <v>4.5437851398892599</v>
      </c>
      <c r="H24" s="8" t="s">
        <v>249</v>
      </c>
      <c r="I24" s="8" t="s">
        <v>249</v>
      </c>
      <c r="J24" s="8" t="s">
        <v>249</v>
      </c>
      <c r="K24" s="45" t="s">
        <v>249</v>
      </c>
    </row>
    <row r="25" spans="1:11">
      <c r="A25" s="7" t="s">
        <v>11</v>
      </c>
      <c r="B25" s="94" t="s">
        <v>45</v>
      </c>
      <c r="C25" t="s">
        <v>51</v>
      </c>
      <c r="D25" s="8">
        <v>0</v>
      </c>
      <c r="E25" s="8">
        <v>20496.945973835798</v>
      </c>
      <c r="F25" s="8">
        <v>-6370596.7578615099</v>
      </c>
      <c r="G25" s="8">
        <v>6370629.7315155501</v>
      </c>
      <c r="H25" s="8" t="s">
        <v>249</v>
      </c>
      <c r="I25" s="8" t="s">
        <v>249</v>
      </c>
      <c r="J25" s="8" t="s">
        <v>249</v>
      </c>
      <c r="K25" s="45" t="s">
        <v>249</v>
      </c>
    </row>
    <row r="26" spans="1:11">
      <c r="A26" s="7" t="s">
        <v>11</v>
      </c>
      <c r="B26" s="94" t="s">
        <v>45</v>
      </c>
      <c r="C26" t="s">
        <v>52</v>
      </c>
      <c r="D26" s="8">
        <v>1.4694867192119401</v>
      </c>
      <c r="E26" s="8">
        <v>-0.47283581120198898</v>
      </c>
      <c r="F26" s="8">
        <v>-1.05604026966886</v>
      </c>
      <c r="G26" s="8">
        <v>1.8703438115644899</v>
      </c>
      <c r="H26" s="8" t="s">
        <v>249</v>
      </c>
      <c r="I26" s="8" t="s">
        <v>249</v>
      </c>
      <c r="J26" s="8" t="s">
        <v>249</v>
      </c>
      <c r="K26" s="45" t="s">
        <v>249</v>
      </c>
    </row>
    <row r="27" spans="1:11">
      <c r="A27" s="7" t="s">
        <v>11</v>
      </c>
      <c r="B27" s="94" t="s">
        <v>45</v>
      </c>
      <c r="C27" t="s">
        <v>53</v>
      </c>
      <c r="D27" s="8">
        <v>-3755.7619746324899</v>
      </c>
      <c r="E27" s="8">
        <v>4038.56571699394</v>
      </c>
      <c r="F27" s="8">
        <v>-13.8413363637916</v>
      </c>
      <c r="G27" s="8">
        <v>5515.0659690675002</v>
      </c>
      <c r="H27" s="8" t="s">
        <v>249</v>
      </c>
      <c r="I27" s="8" t="s">
        <v>249</v>
      </c>
      <c r="J27" s="8" t="s">
        <v>249</v>
      </c>
      <c r="K27" s="45" t="s">
        <v>249</v>
      </c>
    </row>
    <row r="28" spans="1:11">
      <c r="A28" s="7" t="s">
        <v>11</v>
      </c>
      <c r="B28" s="94" t="s">
        <v>45</v>
      </c>
      <c r="C28" t="s">
        <v>54</v>
      </c>
      <c r="D28" s="8">
        <v>0.866396866459193</v>
      </c>
      <c r="E28" s="8">
        <v>4.1067664110316802</v>
      </c>
      <c r="F28" s="8">
        <v>-6.23067335699516</v>
      </c>
      <c r="G28" s="8">
        <v>7.5124872290445603</v>
      </c>
      <c r="H28" s="8" t="s">
        <v>249</v>
      </c>
      <c r="I28" s="8" t="s">
        <v>249</v>
      </c>
      <c r="J28" s="8" t="s">
        <v>249</v>
      </c>
      <c r="K28" s="45" t="s">
        <v>249</v>
      </c>
    </row>
    <row r="29" spans="1:11">
      <c r="A29" s="7" t="s">
        <v>11</v>
      </c>
      <c r="B29" s="94" t="s">
        <v>45</v>
      </c>
      <c r="C29" t="s">
        <v>55</v>
      </c>
      <c r="D29" s="8">
        <v>4946.6290293766197</v>
      </c>
      <c r="E29" s="8">
        <v>-1337.29857643389</v>
      </c>
      <c r="F29" s="8">
        <v>25.658687623867799</v>
      </c>
      <c r="G29" s="8">
        <v>5124.2721048998001</v>
      </c>
      <c r="H29" s="8" t="s">
        <v>249</v>
      </c>
      <c r="I29" s="8" t="s">
        <v>249</v>
      </c>
      <c r="J29" s="8" t="s">
        <v>249</v>
      </c>
      <c r="K29" s="45" t="s">
        <v>249</v>
      </c>
    </row>
    <row r="30" spans="1:11">
      <c r="A30" s="7" t="s">
        <v>11</v>
      </c>
      <c r="B30" s="94" t="s">
        <v>45</v>
      </c>
      <c r="C30" t="s">
        <v>56</v>
      </c>
      <c r="D30" s="8">
        <v>0.94754205757876397</v>
      </c>
      <c r="E30" s="8">
        <v>1.21477960852503</v>
      </c>
      <c r="F30" s="8">
        <v>0.84058172714394896</v>
      </c>
      <c r="G30" s="8">
        <v>1.7550222472029</v>
      </c>
      <c r="H30" s="8" t="s">
        <v>249</v>
      </c>
      <c r="I30" s="8" t="s">
        <v>249</v>
      </c>
      <c r="J30" s="8" t="s">
        <v>249</v>
      </c>
      <c r="K30" s="45" t="s">
        <v>249</v>
      </c>
    </row>
    <row r="31" spans="1:11">
      <c r="A31" s="7" t="s">
        <v>11</v>
      </c>
      <c r="B31" s="94" t="s">
        <v>45</v>
      </c>
      <c r="C31" t="s">
        <v>57</v>
      </c>
      <c r="D31" s="8">
        <v>-11.347816575687199</v>
      </c>
      <c r="E31" s="8">
        <v>-2.7364200873083502</v>
      </c>
      <c r="F31" s="8">
        <v>-3.2851244318136601</v>
      </c>
      <c r="G31" s="8">
        <v>12.1265402511254</v>
      </c>
      <c r="H31" s="8" t="s">
        <v>249</v>
      </c>
      <c r="I31" s="8" t="s">
        <v>249</v>
      </c>
      <c r="J31" s="8" t="s">
        <v>249</v>
      </c>
      <c r="K31" s="45" t="s">
        <v>249</v>
      </c>
    </row>
    <row r="32" spans="1:11">
      <c r="A32" s="7" t="s">
        <v>11</v>
      </c>
      <c r="B32" s="94" t="s">
        <v>45</v>
      </c>
      <c r="C32" t="s">
        <v>58</v>
      </c>
      <c r="D32" s="8">
        <v>1.3539571753635899</v>
      </c>
      <c r="E32" s="8">
        <v>0.82653190061075799</v>
      </c>
      <c r="F32" s="8">
        <v>3.93169011477227</v>
      </c>
      <c r="G32" s="8">
        <v>4.2396393919817896</v>
      </c>
      <c r="H32" s="8" t="s">
        <v>249</v>
      </c>
      <c r="I32" s="8" t="s">
        <v>249</v>
      </c>
      <c r="J32" s="8" t="s">
        <v>249</v>
      </c>
      <c r="K32" s="45" t="s">
        <v>249</v>
      </c>
    </row>
    <row r="33" spans="1:11">
      <c r="A33" s="7" t="s">
        <v>11</v>
      </c>
      <c r="B33" s="94" t="s">
        <v>45</v>
      </c>
      <c r="C33" t="s">
        <v>59</v>
      </c>
      <c r="D33" s="8">
        <v>-0.17398826253581301</v>
      </c>
      <c r="E33" s="8">
        <v>-1.6475120435751001</v>
      </c>
      <c r="F33" s="8">
        <v>3.1150650009257999</v>
      </c>
      <c r="G33" s="8">
        <v>3.5282003640975499</v>
      </c>
      <c r="H33" s="8" t="s">
        <v>249</v>
      </c>
      <c r="I33" s="8" t="s">
        <v>249</v>
      </c>
      <c r="J33" s="8" t="s">
        <v>249</v>
      </c>
      <c r="K33" s="45" t="s">
        <v>249</v>
      </c>
    </row>
    <row r="34" spans="1:11">
      <c r="A34" s="7" t="s">
        <v>11</v>
      </c>
      <c r="B34" s="94" t="s">
        <v>45</v>
      </c>
      <c r="C34" t="s">
        <v>61</v>
      </c>
      <c r="D34" s="8">
        <v>-7.0848373761117994E-2</v>
      </c>
      <c r="E34" s="8">
        <v>-0.30057486956011498</v>
      </c>
      <c r="F34" s="8">
        <v>0.65450024132185702</v>
      </c>
      <c r="G34" s="8">
        <v>0.72369559219746904</v>
      </c>
      <c r="H34" s="8" t="s">
        <v>249</v>
      </c>
      <c r="I34" s="8" t="s">
        <v>249</v>
      </c>
      <c r="J34" s="8" t="s">
        <v>249</v>
      </c>
      <c r="K34" s="45" t="s">
        <v>249</v>
      </c>
    </row>
    <row r="35" spans="1:11">
      <c r="A35" s="7" t="s">
        <v>11</v>
      </c>
      <c r="B35" s="94" t="s">
        <v>45</v>
      </c>
      <c r="C35" t="s">
        <v>62</v>
      </c>
      <c r="D35" s="8">
        <v>-1.2521269008910301</v>
      </c>
      <c r="E35" s="8">
        <v>-0.73525038269800203</v>
      </c>
      <c r="F35" s="8">
        <v>0.145712563138438</v>
      </c>
      <c r="G35" s="8">
        <v>1.459331029016</v>
      </c>
      <c r="H35" s="8" t="s">
        <v>249</v>
      </c>
      <c r="I35" s="8" t="s">
        <v>249</v>
      </c>
      <c r="J35" s="8" t="s">
        <v>249</v>
      </c>
      <c r="K35" s="45" t="s">
        <v>249</v>
      </c>
    </row>
    <row r="36" spans="1:11">
      <c r="A36" s="7" t="s">
        <v>11</v>
      </c>
      <c r="B36" s="94" t="s">
        <v>45</v>
      </c>
      <c r="C36" t="s">
        <v>63</v>
      </c>
      <c r="D36" s="8">
        <v>0.24908304184170499</v>
      </c>
      <c r="E36" s="8">
        <v>1.7032145468749</v>
      </c>
      <c r="F36" s="8">
        <v>0.28133718809925101</v>
      </c>
      <c r="G36" s="8">
        <v>1.7441710833020301</v>
      </c>
      <c r="H36" s="8" t="s">
        <v>249</v>
      </c>
      <c r="I36" s="8" t="s">
        <v>249</v>
      </c>
      <c r="J36" s="8" t="s">
        <v>249</v>
      </c>
      <c r="K36" s="45" t="s">
        <v>249</v>
      </c>
    </row>
    <row r="37" spans="1:11">
      <c r="A37" s="7" t="s">
        <v>11</v>
      </c>
      <c r="B37" s="94" t="s">
        <v>45</v>
      </c>
      <c r="C37" t="s">
        <v>64</v>
      </c>
      <c r="D37" s="8">
        <v>-0.45440218930552001</v>
      </c>
      <c r="E37" s="8">
        <v>0.95944842518615803</v>
      </c>
      <c r="F37" s="8">
        <v>0.49864217712895398</v>
      </c>
      <c r="G37" s="8">
        <v>1.17288816647187</v>
      </c>
      <c r="H37" s="8" t="s">
        <v>249</v>
      </c>
      <c r="I37" s="8" t="s">
        <v>249</v>
      </c>
      <c r="J37" s="8" t="s">
        <v>249</v>
      </c>
      <c r="K37" s="45" t="s">
        <v>249</v>
      </c>
    </row>
    <row r="38" spans="1:11">
      <c r="A38" s="7" t="s">
        <v>11</v>
      </c>
      <c r="B38" s="94" t="s">
        <v>45</v>
      </c>
      <c r="C38" t="s">
        <v>65</v>
      </c>
      <c r="D38" s="8">
        <v>-227.79215996554001</v>
      </c>
      <c r="E38" s="8">
        <v>-1672.1892126999901</v>
      </c>
      <c r="F38" s="8">
        <v>-4.8280309841775297</v>
      </c>
      <c r="G38" s="8">
        <v>1687.64016931785</v>
      </c>
      <c r="H38" s="8" t="s">
        <v>249</v>
      </c>
      <c r="I38" s="8" t="s">
        <v>249</v>
      </c>
      <c r="J38" s="8" t="s">
        <v>249</v>
      </c>
      <c r="K38" s="45" t="s">
        <v>249</v>
      </c>
    </row>
    <row r="39" spans="1:11">
      <c r="A39" s="7" t="s">
        <v>11</v>
      </c>
      <c r="B39" s="94" t="s">
        <v>45</v>
      </c>
      <c r="C39" t="s">
        <v>67</v>
      </c>
      <c r="D39" s="8">
        <v>1.25274096018493</v>
      </c>
      <c r="E39" s="8">
        <v>0.71915033051059196</v>
      </c>
      <c r="F39" s="8">
        <v>3.4228765434623201</v>
      </c>
      <c r="G39" s="8">
        <v>3.7151878745203599</v>
      </c>
      <c r="H39" s="8" t="s">
        <v>249</v>
      </c>
      <c r="I39" s="8" t="s">
        <v>249</v>
      </c>
      <c r="J39" s="8" t="s">
        <v>249</v>
      </c>
      <c r="K39" s="45" t="s">
        <v>249</v>
      </c>
    </row>
    <row r="40" spans="1:11" ht="16" thickBot="1">
      <c r="A40" s="47" t="s">
        <v>11</v>
      </c>
      <c r="B40" s="95" t="s">
        <v>45</v>
      </c>
      <c r="C40" s="46" t="s">
        <v>68</v>
      </c>
      <c r="D40" s="48">
        <v>4.2260812118994799</v>
      </c>
      <c r="E40" s="48">
        <v>21.025555887866801</v>
      </c>
      <c r="F40" s="48">
        <v>8.1826735781940698</v>
      </c>
      <c r="G40" s="48">
        <v>22.9540826366608</v>
      </c>
      <c r="H40" s="48" t="s">
        <v>249</v>
      </c>
      <c r="I40" s="48" t="s">
        <v>249</v>
      </c>
      <c r="J40" s="48" t="s">
        <v>249</v>
      </c>
      <c r="K40" s="49" t="s">
        <v>249</v>
      </c>
    </row>
    <row r="41" spans="1:11">
      <c r="A41" s="5" t="s">
        <v>11</v>
      </c>
      <c r="B41" s="93" t="s">
        <v>103</v>
      </c>
      <c r="C41" s="6" t="s">
        <v>102</v>
      </c>
      <c r="D41" s="43">
        <v>-1.0231433752613201E-9</v>
      </c>
      <c r="E41" s="43">
        <v>-2.5544738556003598E-10</v>
      </c>
      <c r="F41" s="43">
        <v>-4.3470320202640199E-10</v>
      </c>
      <c r="G41" s="43">
        <v>1.1406325468715101E-9</v>
      </c>
      <c r="H41" s="43" t="s">
        <v>249</v>
      </c>
      <c r="I41" s="43" t="s">
        <v>249</v>
      </c>
      <c r="J41" s="43" t="s">
        <v>249</v>
      </c>
      <c r="K41" s="44" t="s">
        <v>249</v>
      </c>
    </row>
    <row r="42" spans="1:11">
      <c r="A42" s="7" t="s">
        <v>11</v>
      </c>
      <c r="B42" s="94" t="s">
        <v>103</v>
      </c>
      <c r="C42" t="s">
        <v>122</v>
      </c>
      <c r="D42" s="8">
        <v>-1.2975194589802701E-9</v>
      </c>
      <c r="E42" s="8">
        <v>-1.28386521824582E-9</v>
      </c>
      <c r="F42" s="8">
        <v>-5.9533246291199799E-10</v>
      </c>
      <c r="G42" s="8">
        <v>1.9199706733308998E-9</v>
      </c>
      <c r="H42" s="8" t="s">
        <v>249</v>
      </c>
      <c r="I42" s="8" t="s">
        <v>249</v>
      </c>
      <c r="J42" s="8" t="s">
        <v>249</v>
      </c>
      <c r="K42" s="45" t="s">
        <v>249</v>
      </c>
    </row>
    <row r="43" spans="1:11">
      <c r="A43" s="7" t="s">
        <v>11</v>
      </c>
      <c r="B43" s="94" t="s">
        <v>103</v>
      </c>
      <c r="C43" t="s">
        <v>128</v>
      </c>
      <c r="D43" s="8">
        <v>-9.4488727550401603E-10</v>
      </c>
      <c r="E43" s="8">
        <v>-2.4918610371406302E-10</v>
      </c>
      <c r="F43" s="8">
        <v>3.5957821790523602E-10</v>
      </c>
      <c r="G43" s="8">
        <v>1.0412502929101601E-9</v>
      </c>
      <c r="H43" s="8" t="s">
        <v>249</v>
      </c>
      <c r="I43" s="8" t="s">
        <v>249</v>
      </c>
      <c r="J43" s="8" t="s">
        <v>249</v>
      </c>
      <c r="K43" s="45" t="s">
        <v>249</v>
      </c>
    </row>
    <row r="44" spans="1:11">
      <c r="A44" s="7" t="s">
        <v>11</v>
      </c>
      <c r="B44" s="94" t="s">
        <v>103</v>
      </c>
      <c r="C44" t="s">
        <v>147</v>
      </c>
      <c r="D44" s="8">
        <v>0</v>
      </c>
      <c r="E44" s="8">
        <v>-3.8889158687080298E-10</v>
      </c>
      <c r="F44" s="8">
        <v>-2.5613232548471599E-10</v>
      </c>
      <c r="G44" s="8">
        <v>4.65661287307739E-10</v>
      </c>
      <c r="H44" s="8" t="s">
        <v>249</v>
      </c>
      <c r="I44" s="8" t="s">
        <v>249</v>
      </c>
      <c r="J44" s="8" t="s">
        <v>249</v>
      </c>
      <c r="K44" s="45" t="s">
        <v>249</v>
      </c>
    </row>
    <row r="45" spans="1:11" ht="16" thickBot="1">
      <c r="A45" s="47" t="s">
        <v>11</v>
      </c>
      <c r="B45" s="95" t="s">
        <v>103</v>
      </c>
      <c r="C45" s="46" t="s">
        <v>173</v>
      </c>
      <c r="D45" s="48">
        <v>-1.8413120705685801E-10</v>
      </c>
      <c r="E45" s="48">
        <v>-5.6246091633659905E-10</v>
      </c>
      <c r="F45" s="48">
        <v>8.5670040776638003E-10</v>
      </c>
      <c r="G45" s="48">
        <v>1.0412502929101601E-9</v>
      </c>
      <c r="H45" s="48" t="s">
        <v>249</v>
      </c>
      <c r="I45" s="48" t="s">
        <v>249</v>
      </c>
      <c r="J45" s="48" t="s">
        <v>249</v>
      </c>
      <c r="K45" s="49" t="s">
        <v>249</v>
      </c>
    </row>
    <row r="46" spans="1:11">
      <c r="A46" s="5" t="s">
        <v>11</v>
      </c>
      <c r="B46" s="93" t="s">
        <v>217</v>
      </c>
      <c r="C46" s="6" t="s">
        <v>216</v>
      </c>
      <c r="D46" s="43">
        <v>-0.75796984951351298</v>
      </c>
      <c r="E46" s="43">
        <v>-0.59667196401548395</v>
      </c>
      <c r="F46" s="43">
        <v>3.5837477970794702</v>
      </c>
      <c r="G46" s="43">
        <v>3.7113048916096401</v>
      </c>
      <c r="H46" s="43" t="s">
        <v>249</v>
      </c>
      <c r="I46" s="43" t="s">
        <v>249</v>
      </c>
      <c r="J46" s="43" t="s">
        <v>249</v>
      </c>
      <c r="K46" s="44" t="s">
        <v>249</v>
      </c>
    </row>
    <row r="47" spans="1:11">
      <c r="A47" s="7" t="s">
        <v>11</v>
      </c>
      <c r="B47" s="94" t="s">
        <v>217</v>
      </c>
      <c r="C47" t="s">
        <v>218</v>
      </c>
      <c r="D47" s="8">
        <v>4.1331399774049098</v>
      </c>
      <c r="E47" s="8">
        <v>-6.2761720420535401</v>
      </c>
      <c r="F47" s="8">
        <v>18.297894700359901</v>
      </c>
      <c r="G47" s="8">
        <v>19.780953769718401</v>
      </c>
      <c r="H47" s="8" t="s">
        <v>249</v>
      </c>
      <c r="I47" s="8" t="s">
        <v>249</v>
      </c>
      <c r="J47" s="8" t="s">
        <v>249</v>
      </c>
      <c r="K47" s="45" t="s">
        <v>249</v>
      </c>
    </row>
    <row r="48" spans="1:11">
      <c r="A48" s="7" t="s">
        <v>11</v>
      </c>
      <c r="B48" s="94" t="s">
        <v>217</v>
      </c>
      <c r="C48" t="s">
        <v>219</v>
      </c>
      <c r="D48" s="8">
        <v>-0.38154484609943401</v>
      </c>
      <c r="E48" s="8">
        <v>-1.1037710430688099</v>
      </c>
      <c r="F48" s="8">
        <v>1.9700529764863901</v>
      </c>
      <c r="G48" s="8">
        <v>2.29019556266821</v>
      </c>
      <c r="H48" s="8" t="s">
        <v>249</v>
      </c>
      <c r="I48" s="8" t="s">
        <v>249</v>
      </c>
      <c r="J48" s="8" t="s">
        <v>249</v>
      </c>
      <c r="K48" s="45" t="s">
        <v>249</v>
      </c>
    </row>
    <row r="49" spans="1:11">
      <c r="A49" s="7" t="s">
        <v>11</v>
      </c>
      <c r="B49" s="94" t="s">
        <v>217</v>
      </c>
      <c r="C49" t="s">
        <v>220</v>
      </c>
      <c r="D49" s="8">
        <v>0.52505237131179505</v>
      </c>
      <c r="E49" s="8">
        <v>1.2631421770272999</v>
      </c>
      <c r="F49" s="8">
        <v>-3.0271255902471901</v>
      </c>
      <c r="G49" s="8">
        <v>3.3218515155158301</v>
      </c>
      <c r="H49" s="8" t="s">
        <v>249</v>
      </c>
      <c r="I49" s="8" t="s">
        <v>249</v>
      </c>
      <c r="J49" s="8" t="s">
        <v>249</v>
      </c>
      <c r="K49" s="45" t="s">
        <v>249</v>
      </c>
    </row>
    <row r="50" spans="1:11">
      <c r="A50" s="7" t="s">
        <v>11</v>
      </c>
      <c r="B50" s="94" t="s">
        <v>217</v>
      </c>
      <c r="C50" t="s">
        <v>221</v>
      </c>
      <c r="D50" s="8">
        <v>-1.4666158212809399E-10</v>
      </c>
      <c r="E50" s="8">
        <v>1.28273652670146E-11</v>
      </c>
      <c r="F50" s="8">
        <v>-1.60636579053253E-9</v>
      </c>
      <c r="G50" s="8">
        <v>1.6130980174698601E-9</v>
      </c>
      <c r="H50" s="8" t="s">
        <v>249</v>
      </c>
      <c r="I50" s="8" t="s">
        <v>249</v>
      </c>
      <c r="J50" s="8" t="s">
        <v>249</v>
      </c>
      <c r="K50" s="45" t="s">
        <v>249</v>
      </c>
    </row>
    <row r="51" spans="1:11">
      <c r="A51" s="7" t="s">
        <v>11</v>
      </c>
      <c r="B51" s="94" t="s">
        <v>217</v>
      </c>
      <c r="C51" t="s">
        <v>222</v>
      </c>
      <c r="D51" s="8">
        <v>2.9529388694065798E-4</v>
      </c>
      <c r="E51" s="8">
        <v>2.5861946514045201E-4</v>
      </c>
      <c r="F51" s="8">
        <v>3.2544903580925498E-4</v>
      </c>
      <c r="G51" s="8">
        <v>5.0990154179334402E-4</v>
      </c>
      <c r="H51" s="8" t="s">
        <v>249</v>
      </c>
      <c r="I51" s="8" t="s">
        <v>249</v>
      </c>
      <c r="J51" s="8" t="s">
        <v>249</v>
      </c>
      <c r="K51" s="45" t="s">
        <v>249</v>
      </c>
    </row>
    <row r="52" spans="1:11">
      <c r="A52" s="7" t="s">
        <v>11</v>
      </c>
      <c r="B52" s="94" t="s">
        <v>217</v>
      </c>
      <c r="C52" t="s">
        <v>223</v>
      </c>
      <c r="D52" s="8">
        <v>8.2286399908116595E-5</v>
      </c>
      <c r="E52" s="8">
        <v>-1.2027677934392001E-5</v>
      </c>
      <c r="F52" s="8">
        <v>6.8781220751363897E-4</v>
      </c>
      <c r="G52" s="8">
        <v>6.9282129690932399E-4</v>
      </c>
      <c r="H52" s="8" t="s">
        <v>249</v>
      </c>
      <c r="I52" s="8" t="s">
        <v>249</v>
      </c>
      <c r="J52" s="8" t="s">
        <v>249</v>
      </c>
      <c r="K52" s="45" t="s">
        <v>249</v>
      </c>
    </row>
    <row r="53" spans="1:11">
      <c r="A53" s="7" t="s">
        <v>11</v>
      </c>
      <c r="B53" s="94" t="s">
        <v>217</v>
      </c>
      <c r="C53" t="s">
        <v>224</v>
      </c>
      <c r="D53" s="8">
        <v>1.71202002769182</v>
      </c>
      <c r="E53" s="8">
        <v>-2.0672408488565202</v>
      </c>
      <c r="F53" s="8">
        <v>1.82654896871068</v>
      </c>
      <c r="G53" s="8">
        <v>3.2466565013097699</v>
      </c>
      <c r="H53" s="8" t="s">
        <v>249</v>
      </c>
      <c r="I53" s="8" t="s">
        <v>249</v>
      </c>
      <c r="J53" s="8" t="s">
        <v>249</v>
      </c>
      <c r="K53" s="45" t="s">
        <v>249</v>
      </c>
    </row>
    <row r="54" spans="1:11">
      <c r="A54" s="7" t="s">
        <v>11</v>
      </c>
      <c r="B54" s="94" t="s">
        <v>217</v>
      </c>
      <c r="C54" t="s">
        <v>225</v>
      </c>
      <c r="D54" s="8">
        <v>1.86550089614135E-5</v>
      </c>
      <c r="E54" s="8">
        <v>4.4878895176193601E-4</v>
      </c>
      <c r="F54" s="8">
        <v>-1.3505830011463201E-4</v>
      </c>
      <c r="G54" s="8">
        <v>4.6904187127886802E-4</v>
      </c>
      <c r="H54" s="8" t="s">
        <v>249</v>
      </c>
      <c r="I54" s="8" t="s">
        <v>249</v>
      </c>
      <c r="J54" s="8" t="s">
        <v>249</v>
      </c>
      <c r="K54" s="45" t="s">
        <v>249</v>
      </c>
    </row>
    <row r="55" spans="1:11">
      <c r="A55" s="7" t="s">
        <v>11</v>
      </c>
      <c r="B55" s="94" t="s">
        <v>217</v>
      </c>
      <c r="C55" t="s">
        <v>226</v>
      </c>
      <c r="D55" s="8">
        <v>-0.25289560633527702</v>
      </c>
      <c r="E55" s="8">
        <v>-2.4883354625012402</v>
      </c>
      <c r="F55" s="8">
        <v>12.721452770725501</v>
      </c>
      <c r="G55" s="8">
        <v>12.964996342438599</v>
      </c>
      <c r="H55" s="8" t="s">
        <v>249</v>
      </c>
      <c r="I55" s="8" t="s">
        <v>249</v>
      </c>
      <c r="J55" s="8" t="s">
        <v>249</v>
      </c>
      <c r="K55" s="45" t="s">
        <v>249</v>
      </c>
    </row>
    <row r="56" spans="1:11">
      <c r="A56" s="7" t="s">
        <v>11</v>
      </c>
      <c r="B56" s="94" t="s">
        <v>217</v>
      </c>
      <c r="C56" t="s">
        <v>227</v>
      </c>
      <c r="D56" s="8">
        <v>0.40595254321577001</v>
      </c>
      <c r="E56" s="8">
        <v>-0.77859502300542305</v>
      </c>
      <c r="F56" s="8">
        <v>-2.6514518252147998</v>
      </c>
      <c r="G56" s="8">
        <v>2.7930636331145502</v>
      </c>
      <c r="H56" s="8" t="s">
        <v>249</v>
      </c>
      <c r="I56" s="8" t="s">
        <v>249</v>
      </c>
      <c r="J56" s="8" t="s">
        <v>249</v>
      </c>
      <c r="K56" s="45" t="s">
        <v>249</v>
      </c>
    </row>
    <row r="57" spans="1:11">
      <c r="A57" s="7" t="s">
        <v>11</v>
      </c>
      <c r="B57" s="94" t="s">
        <v>217</v>
      </c>
      <c r="C57" t="s">
        <v>228</v>
      </c>
      <c r="D57" s="8">
        <v>6.6834777672701101E-5</v>
      </c>
      <c r="E57" s="8">
        <v>-1.42695956517314E-5</v>
      </c>
      <c r="F57" s="8">
        <v>6.8944160231051098E-4</v>
      </c>
      <c r="G57" s="8">
        <v>6.9282049036031499E-4</v>
      </c>
      <c r="H57" s="8" t="s">
        <v>249</v>
      </c>
      <c r="I57" s="8" t="s">
        <v>249</v>
      </c>
      <c r="J57" s="8" t="s">
        <v>249</v>
      </c>
      <c r="K57" s="45" t="s">
        <v>249</v>
      </c>
    </row>
    <row r="58" spans="1:11">
      <c r="A58" s="7" t="s">
        <v>11</v>
      </c>
      <c r="B58" s="94" t="s">
        <v>217</v>
      </c>
      <c r="C58" t="s">
        <v>229</v>
      </c>
      <c r="D58" s="8">
        <v>-3.0930231936826102E-4</v>
      </c>
      <c r="E58" s="8">
        <v>1.4937007487291501E-4</v>
      </c>
      <c r="F58" s="8">
        <v>-2.0498989592348201E-4</v>
      </c>
      <c r="G58" s="8">
        <v>4.00000251830979E-4</v>
      </c>
      <c r="H58" s="8" t="s">
        <v>249</v>
      </c>
      <c r="I58" s="8" t="s">
        <v>249</v>
      </c>
      <c r="J58" s="8" t="s">
        <v>249</v>
      </c>
      <c r="K58" s="45" t="s">
        <v>249</v>
      </c>
    </row>
    <row r="59" spans="1:11">
      <c r="A59" s="7" t="s">
        <v>11</v>
      </c>
      <c r="B59" s="94" t="s">
        <v>217</v>
      </c>
      <c r="C59" t="s">
        <v>230</v>
      </c>
      <c r="D59" s="8">
        <v>-1.3106034354820499E-9</v>
      </c>
      <c r="E59" s="8">
        <v>-4.53385539814456E-10</v>
      </c>
      <c r="F59" s="8">
        <v>-1.6829764604326501E-10</v>
      </c>
      <c r="G59" s="8">
        <v>1.3969838619232099E-9</v>
      </c>
      <c r="H59" s="8" t="s">
        <v>249</v>
      </c>
      <c r="I59" s="8" t="s">
        <v>249</v>
      </c>
      <c r="J59" s="8" t="s">
        <v>249</v>
      </c>
      <c r="K59" s="45" t="s">
        <v>249</v>
      </c>
    </row>
    <row r="60" spans="1:11">
      <c r="A60" s="7" t="s">
        <v>11</v>
      </c>
      <c r="B60" s="94" t="s">
        <v>217</v>
      </c>
      <c r="C60" t="s">
        <v>232</v>
      </c>
      <c r="D60" s="8">
        <v>38.8202529489485</v>
      </c>
      <c r="E60" s="8">
        <v>-18.2295079998452</v>
      </c>
      <c r="F60" s="8">
        <v>25.703560047457</v>
      </c>
      <c r="G60" s="8">
        <v>50.000000000500002</v>
      </c>
      <c r="H60" s="8" t="s">
        <v>249</v>
      </c>
      <c r="I60" s="8" t="s">
        <v>249</v>
      </c>
      <c r="J60" s="8" t="s">
        <v>249</v>
      </c>
      <c r="K60" s="45" t="s">
        <v>249</v>
      </c>
    </row>
    <row r="61" spans="1:11">
      <c r="A61" s="7" t="s">
        <v>11</v>
      </c>
      <c r="B61" s="94" t="s">
        <v>217</v>
      </c>
      <c r="C61" t="s">
        <v>233</v>
      </c>
      <c r="D61" s="8">
        <v>-4.3835031659284499E-4</v>
      </c>
      <c r="E61" s="8">
        <v>5.4814132017886803E-5</v>
      </c>
      <c r="F61" s="8">
        <v>-6.9592906177230699E-5</v>
      </c>
      <c r="G61" s="8">
        <v>4.4721221105434398E-4</v>
      </c>
      <c r="H61" s="8" t="s">
        <v>249</v>
      </c>
      <c r="I61" s="8" t="s">
        <v>249</v>
      </c>
      <c r="J61" s="8" t="s">
        <v>249</v>
      </c>
      <c r="K61" s="45" t="s">
        <v>249</v>
      </c>
    </row>
    <row r="62" spans="1:11" ht="16" thickBot="1">
      <c r="A62" s="47" t="s">
        <v>11</v>
      </c>
      <c r="B62" s="95" t="s">
        <v>217</v>
      </c>
      <c r="C62" s="46" t="s">
        <v>234</v>
      </c>
      <c r="D62" s="48">
        <v>1.7898050992610599</v>
      </c>
      <c r="E62" s="48">
        <v>0.76553963281314397</v>
      </c>
      <c r="F62" s="48">
        <v>3.10748284317954</v>
      </c>
      <c r="G62" s="48">
        <v>3.6668655338591001</v>
      </c>
      <c r="H62" s="48" t="s">
        <v>249</v>
      </c>
      <c r="I62" s="48" t="s">
        <v>249</v>
      </c>
      <c r="J62" s="48" t="s">
        <v>249</v>
      </c>
      <c r="K62" s="49" t="s">
        <v>249</v>
      </c>
    </row>
    <row r="63" spans="1:11">
      <c r="A63" s="7" t="s">
        <v>11</v>
      </c>
      <c r="B63" s="94" t="s">
        <v>236</v>
      </c>
      <c r="C63" t="s">
        <v>235</v>
      </c>
      <c r="D63" s="8">
        <v>-1.2012306288321499</v>
      </c>
      <c r="E63" s="8">
        <v>0.89599474772386201</v>
      </c>
      <c r="F63" s="8">
        <v>-0.37767992575342102</v>
      </c>
      <c r="G63" s="8">
        <v>1.54544612908711</v>
      </c>
      <c r="H63" s="8" t="s">
        <v>249</v>
      </c>
      <c r="I63" s="8" t="s">
        <v>249</v>
      </c>
      <c r="J63" s="8" t="s">
        <v>249</v>
      </c>
      <c r="K63" s="45" t="s">
        <v>249</v>
      </c>
    </row>
    <row r="64" spans="1:11">
      <c r="A64" s="7" t="s">
        <v>11</v>
      </c>
      <c r="B64" s="94" t="s">
        <v>236</v>
      </c>
      <c r="C64" t="s">
        <v>239</v>
      </c>
      <c r="D64" s="8">
        <v>6.6373794612859999E-2</v>
      </c>
      <c r="E64" s="8">
        <v>-2.5433206729077E-2</v>
      </c>
      <c r="F64" s="8">
        <v>0.10353106579495</v>
      </c>
      <c r="G64" s="8">
        <v>0.125582682725256</v>
      </c>
      <c r="H64" s="8" t="s">
        <v>249</v>
      </c>
      <c r="I64" s="8" t="s">
        <v>249</v>
      </c>
      <c r="J64" s="8" t="s">
        <v>249</v>
      </c>
      <c r="K64" s="45" t="s">
        <v>249</v>
      </c>
    </row>
    <row r="65" spans="1:11">
      <c r="A65" s="7" t="s">
        <v>11</v>
      </c>
      <c r="B65" s="94" t="s">
        <v>236</v>
      </c>
      <c r="C65" t="s">
        <v>240</v>
      </c>
      <c r="D65" s="8">
        <v>-3.5322302469730997E-2</v>
      </c>
      <c r="E65" s="8">
        <v>0.13345612894446901</v>
      </c>
      <c r="F65" s="8">
        <v>0.35840828112506101</v>
      </c>
      <c r="G65" s="8">
        <v>0.38407642388413599</v>
      </c>
      <c r="H65" s="8" t="s">
        <v>249</v>
      </c>
      <c r="I65" s="8" t="s">
        <v>249</v>
      </c>
      <c r="J65" s="8" t="s">
        <v>249</v>
      </c>
      <c r="K65" s="45" t="s">
        <v>249</v>
      </c>
    </row>
    <row r="66" spans="1:11" ht="16" thickBot="1">
      <c r="A66" s="47" t="s">
        <v>11</v>
      </c>
      <c r="B66" s="95" t="s">
        <v>236</v>
      </c>
      <c r="C66" s="46" t="s">
        <v>242</v>
      </c>
      <c r="D66" s="48">
        <v>-9.9868246897890003E-3</v>
      </c>
      <c r="E66" s="48">
        <v>0.168072253752234</v>
      </c>
      <c r="F66" s="48">
        <v>-0.23488931494312501</v>
      </c>
      <c r="G66" s="48">
        <v>0.28900001630309702</v>
      </c>
      <c r="H66" s="48" t="s">
        <v>249</v>
      </c>
      <c r="I66" s="48" t="s">
        <v>249</v>
      </c>
      <c r="J66" s="48" t="s">
        <v>249</v>
      </c>
      <c r="K66" s="49" t="s">
        <v>249</v>
      </c>
    </row>
  </sheetData>
  <mergeCells count="2">
    <mergeCell ref="D1:G1"/>
    <mergeCell ref="H1:K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DBE6-0DE0-1D47-980E-6DB1D841A065}">
  <dimension ref="A1:K27"/>
  <sheetViews>
    <sheetView workbookViewId="0">
      <selection activeCell="H25" sqref="H25"/>
    </sheetView>
  </sheetViews>
  <sheetFormatPr baseColWidth="10" defaultRowHeight="15"/>
  <cols>
    <col min="2" max="2" width="19.1640625" bestFit="1" customWidth="1"/>
    <col min="3" max="3" width="7" bestFit="1" customWidth="1"/>
  </cols>
  <sheetData>
    <row r="1" spans="1:11" ht="20" thickBot="1">
      <c r="A1" s="5"/>
      <c r="B1" s="6"/>
      <c r="C1" s="6"/>
      <c r="D1" s="99" t="s">
        <v>261</v>
      </c>
      <c r="E1" s="99"/>
      <c r="F1" s="99"/>
      <c r="G1" s="99"/>
      <c r="H1" s="99" t="s">
        <v>262</v>
      </c>
      <c r="I1" s="99"/>
      <c r="J1" s="99"/>
      <c r="K1" s="100"/>
    </row>
    <row r="2" spans="1:11" ht="18" thickBot="1">
      <c r="A2" s="86" t="s">
        <v>1</v>
      </c>
      <c r="B2" s="92" t="s">
        <v>263</v>
      </c>
      <c r="C2" s="87" t="s">
        <v>0</v>
      </c>
      <c r="D2" s="90" t="s">
        <v>250</v>
      </c>
      <c r="E2" s="88" t="s">
        <v>252</v>
      </c>
      <c r="F2" s="88" t="s">
        <v>251</v>
      </c>
      <c r="G2" s="88" t="s">
        <v>253</v>
      </c>
      <c r="H2" s="88" t="s">
        <v>258</v>
      </c>
      <c r="I2" s="88" t="s">
        <v>259</v>
      </c>
      <c r="J2" s="88" t="s">
        <v>260</v>
      </c>
      <c r="K2" s="89" t="s">
        <v>253</v>
      </c>
    </row>
    <row r="3" spans="1:11">
      <c r="A3" s="5" t="s">
        <v>11</v>
      </c>
      <c r="B3" s="93" t="s">
        <v>12</v>
      </c>
      <c r="C3" s="6" t="s">
        <v>14</v>
      </c>
      <c r="D3" s="43" t="s">
        <v>249</v>
      </c>
      <c r="E3" s="43" t="s">
        <v>249</v>
      </c>
      <c r="F3" s="43" t="s">
        <v>249</v>
      </c>
      <c r="G3" s="43" t="s">
        <v>249</v>
      </c>
      <c r="H3" s="43" t="s">
        <v>249</v>
      </c>
      <c r="I3" s="43" t="s">
        <v>249</v>
      </c>
      <c r="J3" s="43" t="s">
        <v>249</v>
      </c>
      <c r="K3" s="91" t="s">
        <v>264</v>
      </c>
    </row>
    <row r="4" spans="1:11">
      <c r="A4" s="7" t="s">
        <v>11</v>
      </c>
      <c r="B4" s="94" t="s">
        <v>12</v>
      </c>
      <c r="C4" t="s">
        <v>16</v>
      </c>
      <c r="D4" s="8" t="s">
        <v>249</v>
      </c>
      <c r="E4" s="8" t="s">
        <v>249</v>
      </c>
      <c r="F4" s="8" t="s">
        <v>249</v>
      </c>
      <c r="G4" s="8" t="s">
        <v>249</v>
      </c>
      <c r="H4" s="8" t="s">
        <v>249</v>
      </c>
      <c r="I4" s="8" t="s">
        <v>249</v>
      </c>
      <c r="J4" s="8" t="s">
        <v>249</v>
      </c>
      <c r="K4" s="45" t="s">
        <v>249</v>
      </c>
    </row>
    <row r="5" spans="1:11">
      <c r="A5" s="7" t="s">
        <v>11</v>
      </c>
      <c r="B5" s="94" t="s">
        <v>12</v>
      </c>
      <c r="C5" t="s">
        <v>27</v>
      </c>
      <c r="D5" s="8" t="s">
        <v>249</v>
      </c>
      <c r="E5" s="8" t="s">
        <v>249</v>
      </c>
      <c r="F5" s="8" t="s">
        <v>249</v>
      </c>
      <c r="G5" s="8" t="s">
        <v>249</v>
      </c>
      <c r="H5" s="8" t="s">
        <v>249</v>
      </c>
      <c r="I5" s="8" t="s">
        <v>249</v>
      </c>
      <c r="J5" s="8" t="s">
        <v>249</v>
      </c>
      <c r="K5" s="45" t="s">
        <v>249</v>
      </c>
    </row>
    <row r="6" spans="1:11">
      <c r="A6" s="7" t="s">
        <v>11</v>
      </c>
      <c r="B6" s="94" t="s">
        <v>12</v>
      </c>
      <c r="C6" t="s">
        <v>29</v>
      </c>
      <c r="D6" s="8" t="s">
        <v>249</v>
      </c>
      <c r="E6" s="8" t="s">
        <v>249</v>
      </c>
      <c r="F6" s="8" t="s">
        <v>249</v>
      </c>
      <c r="G6" s="8" t="s">
        <v>249</v>
      </c>
      <c r="H6" s="8" t="s">
        <v>249</v>
      </c>
      <c r="I6" s="8" t="s">
        <v>249</v>
      </c>
      <c r="J6" s="8" t="s">
        <v>249</v>
      </c>
      <c r="K6" s="45" t="s">
        <v>249</v>
      </c>
    </row>
    <row r="7" spans="1:11">
      <c r="A7" s="7" t="s">
        <v>11</v>
      </c>
      <c r="B7" s="94" t="s">
        <v>12</v>
      </c>
      <c r="C7" t="s">
        <v>31</v>
      </c>
      <c r="D7" s="8" t="s">
        <v>249</v>
      </c>
      <c r="E7" s="8" t="s">
        <v>249</v>
      </c>
      <c r="F7" s="8" t="s">
        <v>249</v>
      </c>
      <c r="G7" s="8" t="s">
        <v>249</v>
      </c>
      <c r="H7" s="8" t="s">
        <v>249</v>
      </c>
      <c r="I7" s="8" t="s">
        <v>249</v>
      </c>
      <c r="J7" s="8" t="s">
        <v>249</v>
      </c>
      <c r="K7" s="45" t="s">
        <v>249</v>
      </c>
    </row>
    <row r="8" spans="1:11">
      <c r="A8" s="7" t="s">
        <v>11</v>
      </c>
      <c r="B8" s="94" t="s">
        <v>12</v>
      </c>
      <c r="C8" t="s">
        <v>32</v>
      </c>
      <c r="D8" s="8" t="s">
        <v>249</v>
      </c>
      <c r="E8" s="8" t="s">
        <v>249</v>
      </c>
      <c r="F8" s="8" t="s">
        <v>249</v>
      </c>
      <c r="G8" s="8" t="s">
        <v>249</v>
      </c>
      <c r="H8" s="8" t="s">
        <v>249</v>
      </c>
      <c r="I8" s="8" t="s">
        <v>249</v>
      </c>
      <c r="J8" s="8" t="s">
        <v>249</v>
      </c>
      <c r="K8" s="45" t="s">
        <v>249</v>
      </c>
    </row>
    <row r="9" spans="1:11">
      <c r="A9" s="7" t="s">
        <v>11</v>
      </c>
      <c r="B9" s="94" t="s">
        <v>12</v>
      </c>
      <c r="C9" t="s">
        <v>34</v>
      </c>
      <c r="D9" s="8" t="s">
        <v>249</v>
      </c>
      <c r="E9" s="8" t="s">
        <v>249</v>
      </c>
      <c r="F9" s="8" t="s">
        <v>249</v>
      </c>
      <c r="G9" s="8" t="s">
        <v>249</v>
      </c>
      <c r="H9" s="8" t="s">
        <v>249</v>
      </c>
      <c r="I9" s="8" t="s">
        <v>249</v>
      </c>
      <c r="J9" s="8" t="s">
        <v>249</v>
      </c>
      <c r="K9" s="45" t="s">
        <v>249</v>
      </c>
    </row>
    <row r="10" spans="1:11">
      <c r="A10" s="7" t="s">
        <v>11</v>
      </c>
      <c r="B10" s="94" t="s">
        <v>12</v>
      </c>
      <c r="C10" t="s">
        <v>36</v>
      </c>
      <c r="D10" s="8" t="s">
        <v>249</v>
      </c>
      <c r="E10" s="8" t="s">
        <v>249</v>
      </c>
      <c r="F10" s="8" t="s">
        <v>249</v>
      </c>
      <c r="G10" s="8" t="s">
        <v>249</v>
      </c>
      <c r="H10" s="8" t="s">
        <v>249</v>
      </c>
      <c r="I10" s="8" t="s">
        <v>249</v>
      </c>
      <c r="J10" s="8" t="s">
        <v>249</v>
      </c>
      <c r="K10" s="45" t="s">
        <v>249</v>
      </c>
    </row>
    <row r="11" spans="1:11">
      <c r="A11" s="7" t="s">
        <v>11</v>
      </c>
      <c r="B11" s="94" t="s">
        <v>12</v>
      </c>
      <c r="C11" t="s">
        <v>38</v>
      </c>
      <c r="D11" s="8" t="s">
        <v>249</v>
      </c>
      <c r="E11" s="8" t="s">
        <v>249</v>
      </c>
      <c r="F11" s="8" t="s">
        <v>249</v>
      </c>
      <c r="G11" s="8" t="s">
        <v>249</v>
      </c>
      <c r="H11" s="8" t="s">
        <v>249</v>
      </c>
      <c r="I11" s="8" t="s">
        <v>249</v>
      </c>
      <c r="J11" s="8" t="s">
        <v>249</v>
      </c>
      <c r="K11" s="45" t="s">
        <v>249</v>
      </c>
    </row>
    <row r="12" spans="1:11">
      <c r="A12" s="7" t="s">
        <v>11</v>
      </c>
      <c r="B12" s="94" t="s">
        <v>12</v>
      </c>
      <c r="C12" t="s">
        <v>39</v>
      </c>
      <c r="D12" s="8" t="s">
        <v>249</v>
      </c>
      <c r="E12" s="8" t="s">
        <v>249</v>
      </c>
      <c r="F12" s="8" t="s">
        <v>249</v>
      </c>
      <c r="G12" s="8" t="s">
        <v>249</v>
      </c>
      <c r="H12" s="8" t="s">
        <v>249</v>
      </c>
      <c r="I12" s="8" t="s">
        <v>249</v>
      </c>
      <c r="J12" s="8" t="s">
        <v>249</v>
      </c>
      <c r="K12" s="45" t="s">
        <v>249</v>
      </c>
    </row>
    <row r="13" spans="1:11" ht="16" thickBot="1">
      <c r="A13" s="47" t="s">
        <v>11</v>
      </c>
      <c r="B13" s="95" t="s">
        <v>12</v>
      </c>
      <c r="C13" s="46" t="s">
        <v>42</v>
      </c>
      <c r="D13" s="48" t="s">
        <v>249</v>
      </c>
      <c r="E13" s="48" t="s">
        <v>249</v>
      </c>
      <c r="F13" s="48" t="s">
        <v>249</v>
      </c>
      <c r="G13" s="48" t="s">
        <v>249</v>
      </c>
      <c r="H13" s="48" t="s">
        <v>249</v>
      </c>
      <c r="I13" s="48" t="s">
        <v>249</v>
      </c>
      <c r="J13" s="48" t="s">
        <v>249</v>
      </c>
      <c r="K13" s="49" t="s">
        <v>249</v>
      </c>
    </row>
    <row r="14" spans="1:11">
      <c r="A14" s="5" t="s">
        <v>11</v>
      </c>
      <c r="B14" s="93" t="s">
        <v>45</v>
      </c>
      <c r="C14" s="6" t="s">
        <v>60</v>
      </c>
      <c r="D14" s="43" t="s">
        <v>249</v>
      </c>
      <c r="E14" s="43" t="s">
        <v>249</v>
      </c>
      <c r="F14" s="43" t="s">
        <v>249</v>
      </c>
      <c r="G14" s="43" t="s">
        <v>249</v>
      </c>
      <c r="H14" s="43" t="s">
        <v>249</v>
      </c>
      <c r="I14" s="43" t="s">
        <v>249</v>
      </c>
      <c r="J14" s="43" t="s">
        <v>249</v>
      </c>
      <c r="K14" s="44" t="s">
        <v>249</v>
      </c>
    </row>
    <row r="15" spans="1:11" ht="16" thickBot="1">
      <c r="A15" s="47" t="s">
        <v>11</v>
      </c>
      <c r="B15" s="95" t="s">
        <v>45</v>
      </c>
      <c r="C15" s="46" t="s">
        <v>66</v>
      </c>
      <c r="D15" s="48" t="s">
        <v>249</v>
      </c>
      <c r="E15" s="48" t="s">
        <v>249</v>
      </c>
      <c r="F15" s="48" t="s">
        <v>249</v>
      </c>
      <c r="G15" s="48" t="s">
        <v>249</v>
      </c>
      <c r="H15" s="48" t="s">
        <v>249</v>
      </c>
      <c r="I15" s="48" t="s">
        <v>249</v>
      </c>
      <c r="J15" s="48" t="s">
        <v>249</v>
      </c>
      <c r="K15" s="49" t="s">
        <v>249</v>
      </c>
    </row>
    <row r="16" spans="1:11">
      <c r="A16" s="5" t="s">
        <v>11</v>
      </c>
      <c r="B16" s="93" t="s">
        <v>103</v>
      </c>
      <c r="C16" s="6" t="s">
        <v>116</v>
      </c>
      <c r="D16" s="43" t="s">
        <v>249</v>
      </c>
      <c r="E16" s="43" t="s">
        <v>249</v>
      </c>
      <c r="F16" s="43" t="s">
        <v>249</v>
      </c>
      <c r="G16" s="43" t="s">
        <v>249</v>
      </c>
      <c r="H16" s="43" t="s">
        <v>249</v>
      </c>
      <c r="I16" s="43" t="s">
        <v>249</v>
      </c>
      <c r="J16" s="43" t="s">
        <v>249</v>
      </c>
      <c r="K16" s="44" t="s">
        <v>249</v>
      </c>
    </row>
    <row r="17" spans="1:11">
      <c r="A17" s="7" t="s">
        <v>11</v>
      </c>
      <c r="B17" s="94" t="s">
        <v>103</v>
      </c>
      <c r="C17" t="s">
        <v>124</v>
      </c>
      <c r="D17" s="8" t="s">
        <v>249</v>
      </c>
      <c r="E17" s="8" t="s">
        <v>249</v>
      </c>
      <c r="F17" s="8" t="s">
        <v>249</v>
      </c>
      <c r="G17" s="8" t="s">
        <v>249</v>
      </c>
      <c r="H17" s="8" t="s">
        <v>249</v>
      </c>
      <c r="I17" s="8" t="s">
        <v>249</v>
      </c>
      <c r="J17" s="8" t="s">
        <v>249</v>
      </c>
      <c r="K17" s="45" t="s">
        <v>249</v>
      </c>
    </row>
    <row r="18" spans="1:11">
      <c r="A18" s="7" t="s">
        <v>11</v>
      </c>
      <c r="B18" s="94" t="s">
        <v>103</v>
      </c>
      <c r="C18" t="s">
        <v>137</v>
      </c>
      <c r="D18" s="8" t="s">
        <v>249</v>
      </c>
      <c r="E18" s="8" t="s">
        <v>249</v>
      </c>
      <c r="F18" s="8" t="s">
        <v>249</v>
      </c>
      <c r="G18" s="8" t="s">
        <v>249</v>
      </c>
      <c r="H18" s="8" t="s">
        <v>249</v>
      </c>
      <c r="I18" s="8" t="s">
        <v>249</v>
      </c>
      <c r="J18" s="8" t="s">
        <v>249</v>
      </c>
      <c r="K18" s="45" t="s">
        <v>249</v>
      </c>
    </row>
    <row r="19" spans="1:11">
      <c r="A19" s="7" t="s">
        <v>11</v>
      </c>
      <c r="B19" s="94" t="s">
        <v>103</v>
      </c>
      <c r="C19" t="s">
        <v>148</v>
      </c>
      <c r="D19" s="8" t="s">
        <v>249</v>
      </c>
      <c r="E19" s="8" t="s">
        <v>249</v>
      </c>
      <c r="F19" s="8" t="s">
        <v>249</v>
      </c>
      <c r="G19" s="8" t="s">
        <v>249</v>
      </c>
      <c r="H19" s="8" t="s">
        <v>249</v>
      </c>
      <c r="I19" s="8" t="s">
        <v>249</v>
      </c>
      <c r="J19" s="8" t="s">
        <v>249</v>
      </c>
      <c r="K19" s="45" t="s">
        <v>249</v>
      </c>
    </row>
    <row r="20" spans="1:11" ht="16" thickBot="1">
      <c r="A20" s="47" t="s">
        <v>11</v>
      </c>
      <c r="B20" s="95" t="s">
        <v>103</v>
      </c>
      <c r="C20" s="46" t="s">
        <v>185</v>
      </c>
      <c r="D20" s="48" t="s">
        <v>249</v>
      </c>
      <c r="E20" s="48" t="s">
        <v>249</v>
      </c>
      <c r="F20" s="48" t="s">
        <v>249</v>
      </c>
      <c r="G20" s="48" t="s">
        <v>249</v>
      </c>
      <c r="H20" s="48" t="s">
        <v>249</v>
      </c>
      <c r="I20" s="48" t="s">
        <v>249</v>
      </c>
      <c r="J20" s="48" t="s">
        <v>249</v>
      </c>
      <c r="K20" s="49" t="s">
        <v>249</v>
      </c>
    </row>
    <row r="21" spans="1:11">
      <c r="A21" s="5" t="s">
        <v>11</v>
      </c>
      <c r="B21" s="93" t="s">
        <v>211</v>
      </c>
      <c r="C21" s="6" t="s">
        <v>210</v>
      </c>
      <c r="D21" s="43" t="s">
        <v>249</v>
      </c>
      <c r="E21" s="43" t="s">
        <v>249</v>
      </c>
      <c r="F21" s="43" t="s">
        <v>249</v>
      </c>
      <c r="G21" s="43" t="s">
        <v>249</v>
      </c>
      <c r="H21" s="43" t="s">
        <v>249</v>
      </c>
      <c r="I21" s="43" t="s">
        <v>249</v>
      </c>
      <c r="J21" s="43" t="s">
        <v>249</v>
      </c>
      <c r="K21" s="44" t="s">
        <v>249</v>
      </c>
    </row>
    <row r="22" spans="1:11">
      <c r="A22" s="7" t="s">
        <v>11</v>
      </c>
      <c r="B22" s="94" t="s">
        <v>211</v>
      </c>
      <c r="C22" t="s">
        <v>212</v>
      </c>
      <c r="D22" s="8" t="s">
        <v>249</v>
      </c>
      <c r="E22" s="8" t="s">
        <v>249</v>
      </c>
      <c r="F22" s="8" t="s">
        <v>249</v>
      </c>
      <c r="G22" s="8" t="s">
        <v>249</v>
      </c>
      <c r="H22" s="8" t="s">
        <v>249</v>
      </c>
      <c r="I22" s="8" t="s">
        <v>249</v>
      </c>
      <c r="J22" s="8" t="s">
        <v>249</v>
      </c>
      <c r="K22" s="45" t="s">
        <v>249</v>
      </c>
    </row>
    <row r="23" spans="1:11">
      <c r="A23" s="7" t="s">
        <v>11</v>
      </c>
      <c r="B23" s="94" t="s">
        <v>211</v>
      </c>
      <c r="C23" t="s">
        <v>213</v>
      </c>
      <c r="D23" s="8" t="s">
        <v>249</v>
      </c>
      <c r="E23" s="8" t="s">
        <v>249</v>
      </c>
      <c r="F23" s="8" t="s">
        <v>249</v>
      </c>
      <c r="G23" s="8" t="s">
        <v>249</v>
      </c>
      <c r="H23" s="8" t="s">
        <v>249</v>
      </c>
      <c r="I23" s="8" t="s">
        <v>249</v>
      </c>
      <c r="J23" s="8" t="s">
        <v>249</v>
      </c>
      <c r="K23" s="45" t="s">
        <v>249</v>
      </c>
    </row>
    <row r="24" spans="1:11">
      <c r="A24" s="7" t="s">
        <v>11</v>
      </c>
      <c r="B24" s="94" t="s">
        <v>211</v>
      </c>
      <c r="C24" t="s">
        <v>214</v>
      </c>
      <c r="D24" s="8" t="s">
        <v>249</v>
      </c>
      <c r="E24" s="8" t="s">
        <v>249</v>
      </c>
      <c r="F24" s="8" t="s">
        <v>249</v>
      </c>
      <c r="G24" s="8" t="s">
        <v>249</v>
      </c>
      <c r="H24" s="8" t="s">
        <v>249</v>
      </c>
      <c r="I24" s="8" t="s">
        <v>249</v>
      </c>
      <c r="J24" s="8" t="s">
        <v>249</v>
      </c>
      <c r="K24" s="45" t="s">
        <v>249</v>
      </c>
    </row>
    <row r="25" spans="1:11" ht="16" thickBot="1">
      <c r="A25" s="47" t="s">
        <v>11</v>
      </c>
      <c r="B25" s="95" t="s">
        <v>211</v>
      </c>
      <c r="C25" s="46" t="s">
        <v>215</v>
      </c>
      <c r="D25" s="48" t="s">
        <v>249</v>
      </c>
      <c r="E25" s="48" t="s">
        <v>249</v>
      </c>
      <c r="F25" s="48" t="s">
        <v>249</v>
      </c>
      <c r="G25" s="48" t="s">
        <v>249</v>
      </c>
      <c r="H25" s="48" t="s">
        <v>249</v>
      </c>
      <c r="I25" s="48" t="s">
        <v>249</v>
      </c>
      <c r="J25" s="48" t="s">
        <v>249</v>
      </c>
      <c r="K25" s="49" t="s">
        <v>249</v>
      </c>
    </row>
    <row r="26" spans="1:11" ht="16" thickBot="1">
      <c r="A26" s="47" t="s">
        <v>11</v>
      </c>
      <c r="B26" s="95" t="s">
        <v>217</v>
      </c>
      <c r="C26" s="46" t="s">
        <v>231</v>
      </c>
      <c r="D26" s="48" t="s">
        <v>249</v>
      </c>
      <c r="E26" s="48" t="s">
        <v>249</v>
      </c>
      <c r="F26" s="48" t="s">
        <v>249</v>
      </c>
      <c r="G26" s="48" t="s">
        <v>249</v>
      </c>
      <c r="H26" s="48" t="s">
        <v>249</v>
      </c>
      <c r="I26" s="48" t="s">
        <v>249</v>
      </c>
      <c r="J26" s="48" t="s">
        <v>249</v>
      </c>
      <c r="K26" s="49" t="s">
        <v>249</v>
      </c>
    </row>
    <row r="27" spans="1:11">
      <c r="D27" s="8"/>
      <c r="E27" s="8"/>
      <c r="F27" s="8"/>
      <c r="G27" s="8"/>
      <c r="H27" s="8"/>
      <c r="I27" s="8"/>
      <c r="J27" s="8"/>
      <c r="K27" s="8"/>
    </row>
  </sheetData>
  <mergeCells count="2">
    <mergeCell ref="D1:G1"/>
    <mergeCell ref="H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OBS_HEADER</vt:lpstr>
      <vt:lpstr>Sheet1</vt:lpstr>
      <vt:lpstr>A</vt:lpstr>
      <vt:lpstr>B1</vt:lpstr>
      <vt:lpstr>B2</vt:lpstr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김주헌</cp:lastModifiedBy>
  <dcterms:modified xsi:type="dcterms:W3CDTF">2026-07-13T01:54:47Z</dcterms:modified>
</cp:coreProperties>
</file>