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LIT\Desktop\김예린\2025\9. 보고자료\3. 검증점 측량\결과 취합\"/>
    </mc:Choice>
  </mc:AlternateContent>
  <bookViews>
    <workbookView xWindow="0" yWindow="0" windowWidth="28800" windowHeight="11265" firstSheet="1" activeTab="1"/>
  </bookViews>
  <sheets>
    <sheet name="검증측량 정확도_중간점검" sheetId="1" r:id="rId1"/>
    <sheet name="전체 통계" sheetId="2" r:id="rId2"/>
  </sheets>
  <definedNames>
    <definedName name="_xlnm._FilterDatabase" localSheetId="0" hidden="1">'검증측량 정확도_중간점검'!$A$1:$T$864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80" i="2" l="1"/>
  <c r="P580" i="2" s="1"/>
  <c r="N580" i="2"/>
  <c r="Q580" i="2" s="1"/>
  <c r="O580" i="2"/>
  <c r="R580" i="2" s="1"/>
  <c r="M581" i="2"/>
  <c r="P581" i="2" s="1"/>
  <c r="S581" i="2" s="1"/>
  <c r="T581" i="2" s="1"/>
  <c r="N581" i="2"/>
  <c r="O581" i="2"/>
  <c r="R581" i="2" s="1"/>
  <c r="Q581" i="2"/>
  <c r="M582" i="2"/>
  <c r="P582" i="2" s="1"/>
  <c r="N582" i="2"/>
  <c r="Q582" i="2" s="1"/>
  <c r="O582" i="2"/>
  <c r="R582" i="2" s="1"/>
  <c r="M583" i="2"/>
  <c r="P583" i="2" s="1"/>
  <c r="N583" i="2"/>
  <c r="Q583" i="2" s="1"/>
  <c r="O583" i="2"/>
  <c r="R583" i="2" s="1"/>
  <c r="M584" i="2"/>
  <c r="P584" i="2" s="1"/>
  <c r="N584" i="2"/>
  <c r="Q584" i="2" s="1"/>
  <c r="O584" i="2"/>
  <c r="R584" i="2" s="1"/>
  <c r="M585" i="2"/>
  <c r="P585" i="2" s="1"/>
  <c r="N585" i="2"/>
  <c r="Q585" i="2" s="1"/>
  <c r="O585" i="2"/>
  <c r="R585" i="2" s="1"/>
  <c r="M586" i="2"/>
  <c r="P586" i="2" s="1"/>
  <c r="N586" i="2"/>
  <c r="O586" i="2"/>
  <c r="R586" i="2" s="1"/>
  <c r="Q586" i="2"/>
  <c r="M587" i="2"/>
  <c r="P587" i="2" s="1"/>
  <c r="N587" i="2"/>
  <c r="Q587" i="2" s="1"/>
  <c r="O587" i="2"/>
  <c r="R587" i="2" s="1"/>
  <c r="M588" i="2"/>
  <c r="P588" i="2" s="1"/>
  <c r="N588" i="2"/>
  <c r="Q588" i="2" s="1"/>
  <c r="O588" i="2"/>
  <c r="R588" i="2" s="1"/>
  <c r="M589" i="2"/>
  <c r="P589" i="2" s="1"/>
  <c r="N589" i="2"/>
  <c r="Q589" i="2" s="1"/>
  <c r="O589" i="2"/>
  <c r="R589" i="2" s="1"/>
  <c r="M590" i="2"/>
  <c r="P590" i="2" s="1"/>
  <c r="N590" i="2"/>
  <c r="O590" i="2"/>
  <c r="R590" i="2" s="1"/>
  <c r="Q590" i="2"/>
  <c r="M591" i="2"/>
  <c r="P591" i="2" s="1"/>
  <c r="N591" i="2"/>
  <c r="O591" i="2"/>
  <c r="R591" i="2" s="1"/>
  <c r="Q591" i="2"/>
  <c r="M592" i="2"/>
  <c r="P592" i="2" s="1"/>
  <c r="N592" i="2"/>
  <c r="Q592" i="2" s="1"/>
  <c r="O592" i="2"/>
  <c r="R592" i="2" s="1"/>
  <c r="M593" i="2"/>
  <c r="P593" i="2" s="1"/>
  <c r="N593" i="2"/>
  <c r="Q593" i="2" s="1"/>
  <c r="O593" i="2"/>
  <c r="R593" i="2" s="1"/>
  <c r="M594" i="2"/>
  <c r="P594" i="2" s="1"/>
  <c r="N594" i="2"/>
  <c r="O594" i="2"/>
  <c r="R594" i="2" s="1"/>
  <c r="Q594" i="2"/>
  <c r="M595" i="2"/>
  <c r="P595" i="2" s="1"/>
  <c r="N595" i="2"/>
  <c r="Q595" i="2" s="1"/>
  <c r="O595" i="2"/>
  <c r="R595" i="2" s="1"/>
  <c r="M596" i="2"/>
  <c r="P596" i="2" s="1"/>
  <c r="N596" i="2"/>
  <c r="O596" i="2"/>
  <c r="R596" i="2" s="1"/>
  <c r="Q596" i="2"/>
  <c r="M597" i="2"/>
  <c r="P597" i="2" s="1"/>
  <c r="N597" i="2"/>
  <c r="Q597" i="2" s="1"/>
  <c r="O597" i="2"/>
  <c r="R597" i="2" s="1"/>
  <c r="M598" i="2"/>
  <c r="P598" i="2" s="1"/>
  <c r="N598" i="2"/>
  <c r="Q598" i="2" s="1"/>
  <c r="O598" i="2"/>
  <c r="R598" i="2" s="1"/>
  <c r="M599" i="2"/>
  <c r="P599" i="2" s="1"/>
  <c r="N599" i="2"/>
  <c r="O599" i="2"/>
  <c r="R599" i="2" s="1"/>
  <c r="Q599" i="2"/>
  <c r="M600" i="2"/>
  <c r="P600" i="2" s="1"/>
  <c r="N600" i="2"/>
  <c r="Q600" i="2" s="1"/>
  <c r="O600" i="2"/>
  <c r="R600" i="2" s="1"/>
  <c r="M601" i="2"/>
  <c r="P601" i="2" s="1"/>
  <c r="N601" i="2"/>
  <c r="Q601" i="2" s="1"/>
  <c r="O601" i="2"/>
  <c r="R601" i="2" s="1"/>
  <c r="M602" i="2"/>
  <c r="P602" i="2" s="1"/>
  <c r="N602" i="2"/>
  <c r="Q602" i="2" s="1"/>
  <c r="O602" i="2"/>
  <c r="R602" i="2" s="1"/>
  <c r="M603" i="2"/>
  <c r="P603" i="2" s="1"/>
  <c r="N603" i="2"/>
  <c r="O603" i="2"/>
  <c r="R603" i="2" s="1"/>
  <c r="Q603" i="2"/>
  <c r="M604" i="2"/>
  <c r="P604" i="2" s="1"/>
  <c r="N604" i="2"/>
  <c r="Q604" i="2" s="1"/>
  <c r="O604" i="2"/>
  <c r="R604" i="2" s="1"/>
  <c r="M605" i="2"/>
  <c r="P605" i="2" s="1"/>
  <c r="N605" i="2"/>
  <c r="Q605" i="2" s="1"/>
  <c r="O605" i="2"/>
  <c r="R605" i="2" s="1"/>
  <c r="M606" i="2"/>
  <c r="P606" i="2" s="1"/>
  <c r="N606" i="2"/>
  <c r="Q606" i="2" s="1"/>
  <c r="O606" i="2"/>
  <c r="R606" i="2" s="1"/>
  <c r="M607" i="2"/>
  <c r="P607" i="2" s="1"/>
  <c r="N607" i="2"/>
  <c r="Q607" i="2" s="1"/>
  <c r="O607" i="2"/>
  <c r="R607" i="2" s="1"/>
  <c r="M608" i="2"/>
  <c r="P608" i="2" s="1"/>
  <c r="N608" i="2"/>
  <c r="O608" i="2"/>
  <c r="R608" i="2" s="1"/>
  <c r="Q608" i="2"/>
  <c r="M609" i="2"/>
  <c r="P609" i="2" s="1"/>
  <c r="N609" i="2"/>
  <c r="Q609" i="2" s="1"/>
  <c r="O609" i="2"/>
  <c r="R609" i="2" s="1"/>
  <c r="M610" i="2"/>
  <c r="P610" i="2" s="1"/>
  <c r="N610" i="2"/>
  <c r="Q610" i="2" s="1"/>
  <c r="O610" i="2"/>
  <c r="R610" i="2" s="1"/>
  <c r="M611" i="2"/>
  <c r="P611" i="2" s="1"/>
  <c r="N611" i="2"/>
  <c r="Q611" i="2" s="1"/>
  <c r="O611" i="2"/>
  <c r="R611" i="2" s="1"/>
  <c r="M612" i="2"/>
  <c r="P612" i="2" s="1"/>
  <c r="N612" i="2"/>
  <c r="O612" i="2"/>
  <c r="R612" i="2" s="1"/>
  <c r="Q612" i="2"/>
  <c r="M613" i="2"/>
  <c r="P613" i="2" s="1"/>
  <c r="N613" i="2"/>
  <c r="Q613" i="2" s="1"/>
  <c r="O613" i="2"/>
  <c r="R613" i="2" s="1"/>
  <c r="M614" i="2"/>
  <c r="P614" i="2" s="1"/>
  <c r="N614" i="2"/>
  <c r="Q614" i="2" s="1"/>
  <c r="O614" i="2"/>
  <c r="R614" i="2" s="1"/>
  <c r="M615" i="2"/>
  <c r="P615" i="2" s="1"/>
  <c r="N615" i="2"/>
  <c r="Q615" i="2" s="1"/>
  <c r="O615" i="2"/>
  <c r="R615" i="2" s="1"/>
  <c r="M616" i="2"/>
  <c r="P616" i="2" s="1"/>
  <c r="N616" i="2"/>
  <c r="Q616" i="2" s="1"/>
  <c r="O616" i="2"/>
  <c r="R616" i="2" s="1"/>
  <c r="M617" i="2"/>
  <c r="P617" i="2" s="1"/>
  <c r="N617" i="2"/>
  <c r="O617" i="2"/>
  <c r="R617" i="2" s="1"/>
  <c r="Q617" i="2"/>
  <c r="M618" i="2"/>
  <c r="P618" i="2" s="1"/>
  <c r="N618" i="2"/>
  <c r="Q618" i="2" s="1"/>
  <c r="O618" i="2"/>
  <c r="R618" i="2" s="1"/>
  <c r="M619" i="2"/>
  <c r="P619" i="2" s="1"/>
  <c r="N619" i="2"/>
  <c r="Q619" i="2" s="1"/>
  <c r="O619" i="2"/>
  <c r="R619" i="2" s="1"/>
  <c r="M620" i="2"/>
  <c r="P620" i="2" s="1"/>
  <c r="N620" i="2"/>
  <c r="Q620" i="2" s="1"/>
  <c r="O620" i="2"/>
  <c r="R620" i="2" s="1"/>
  <c r="M621" i="2"/>
  <c r="P621" i="2" s="1"/>
  <c r="N621" i="2"/>
  <c r="O621" i="2"/>
  <c r="R621" i="2" s="1"/>
  <c r="Q621" i="2"/>
  <c r="M622" i="2"/>
  <c r="P622" i="2" s="1"/>
  <c r="N622" i="2"/>
  <c r="Q622" i="2" s="1"/>
  <c r="O622" i="2"/>
  <c r="R622" i="2" s="1"/>
  <c r="M623" i="2"/>
  <c r="P623" i="2" s="1"/>
  <c r="N623" i="2"/>
  <c r="Q623" i="2" s="1"/>
  <c r="O623" i="2"/>
  <c r="R623" i="2" s="1"/>
  <c r="M624" i="2"/>
  <c r="P624" i="2" s="1"/>
  <c r="N624" i="2"/>
  <c r="Q624" i="2" s="1"/>
  <c r="O624" i="2"/>
  <c r="R624" i="2" s="1"/>
  <c r="M625" i="2"/>
  <c r="P625" i="2" s="1"/>
  <c r="N625" i="2"/>
  <c r="Q625" i="2" s="1"/>
  <c r="O625" i="2"/>
  <c r="R625" i="2" s="1"/>
  <c r="M626" i="2"/>
  <c r="P626" i="2" s="1"/>
  <c r="N626" i="2"/>
  <c r="O626" i="2"/>
  <c r="R626" i="2" s="1"/>
  <c r="Q626" i="2"/>
  <c r="M627" i="2"/>
  <c r="P627" i="2" s="1"/>
  <c r="N627" i="2"/>
  <c r="Q627" i="2" s="1"/>
  <c r="O627" i="2"/>
  <c r="R627" i="2" s="1"/>
  <c r="M628" i="2"/>
  <c r="P628" i="2" s="1"/>
  <c r="N628" i="2"/>
  <c r="Q628" i="2" s="1"/>
  <c r="O628" i="2"/>
  <c r="R628" i="2" s="1"/>
  <c r="M629" i="2"/>
  <c r="P629" i="2" s="1"/>
  <c r="N629" i="2"/>
  <c r="Q629" i="2" s="1"/>
  <c r="O629" i="2"/>
  <c r="R629" i="2" s="1"/>
  <c r="M630" i="2"/>
  <c r="P630" i="2" s="1"/>
  <c r="S630" i="2" s="1"/>
  <c r="T630" i="2" s="1"/>
  <c r="N630" i="2"/>
  <c r="O630" i="2"/>
  <c r="R630" i="2" s="1"/>
  <c r="Q630" i="2"/>
  <c r="M631" i="2"/>
  <c r="P631" i="2" s="1"/>
  <c r="N631" i="2"/>
  <c r="Q631" i="2" s="1"/>
  <c r="O631" i="2"/>
  <c r="R631" i="2" s="1"/>
  <c r="M632" i="2"/>
  <c r="P632" i="2" s="1"/>
  <c r="N632" i="2"/>
  <c r="Q632" i="2" s="1"/>
  <c r="O632" i="2"/>
  <c r="R632" i="2" s="1"/>
  <c r="M633" i="2"/>
  <c r="P633" i="2" s="1"/>
  <c r="N633" i="2"/>
  <c r="Q633" i="2" s="1"/>
  <c r="O633" i="2"/>
  <c r="R633" i="2" s="1"/>
  <c r="M634" i="2"/>
  <c r="P634" i="2" s="1"/>
  <c r="N634" i="2"/>
  <c r="Q634" i="2" s="1"/>
  <c r="O634" i="2"/>
  <c r="R634" i="2" s="1"/>
  <c r="M635" i="2"/>
  <c r="P635" i="2" s="1"/>
  <c r="N635" i="2"/>
  <c r="O635" i="2"/>
  <c r="R635" i="2" s="1"/>
  <c r="Q635" i="2"/>
  <c r="S621" i="2" l="1"/>
  <c r="T621" i="2" s="1"/>
  <c r="S627" i="2"/>
  <c r="T627" i="2" s="1"/>
  <c r="S633" i="2"/>
  <c r="T633" i="2" s="1"/>
  <c r="S615" i="2"/>
  <c r="T615" i="2" s="1"/>
  <c r="S584" i="2"/>
  <c r="T584" i="2" s="1"/>
  <c r="S618" i="2"/>
  <c r="T618" i="2" s="1"/>
  <c r="S587" i="2"/>
  <c r="T587" i="2" s="1"/>
  <c r="S624" i="2"/>
  <c r="T624" i="2" s="1"/>
  <c r="S635" i="2"/>
  <c r="T635" i="2" s="1"/>
  <c r="S632" i="2"/>
  <c r="T632" i="2" s="1"/>
  <c r="S620" i="2"/>
  <c r="T620" i="2" s="1"/>
  <c r="S611" i="2"/>
  <c r="T611" i="2" s="1"/>
  <c r="S612" i="2"/>
  <c r="T612" i="2" s="1"/>
  <c r="S609" i="2"/>
  <c r="T609" i="2" s="1"/>
  <c r="S606" i="2"/>
  <c r="T606" i="2" s="1"/>
  <c r="S603" i="2"/>
  <c r="T603" i="2" s="1"/>
  <c r="S600" i="2"/>
  <c r="T600" i="2" s="1"/>
  <c r="S597" i="2"/>
  <c r="T597" i="2" s="1"/>
  <c r="S594" i="2"/>
  <c r="T594" i="2" s="1"/>
  <c r="S591" i="2"/>
  <c r="T591" i="2" s="1"/>
  <c r="S634" i="2"/>
  <c r="T634" i="2" s="1"/>
  <c r="S631" i="2"/>
  <c r="T631" i="2" s="1"/>
  <c r="S628" i="2"/>
  <c r="T628" i="2" s="1"/>
  <c r="S625" i="2"/>
  <c r="T625" i="2" s="1"/>
  <c r="S619" i="2"/>
  <c r="T619" i="2" s="1"/>
  <c r="S616" i="2"/>
  <c r="T616" i="2" s="1"/>
  <c r="S613" i="2"/>
  <c r="T613" i="2" s="1"/>
  <c r="S610" i="2"/>
  <c r="T610" i="2" s="1"/>
  <c r="S607" i="2"/>
  <c r="T607" i="2" s="1"/>
  <c r="S604" i="2"/>
  <c r="T604" i="2" s="1"/>
  <c r="S601" i="2"/>
  <c r="T601" i="2" s="1"/>
  <c r="S598" i="2"/>
  <c r="T598" i="2" s="1"/>
  <c r="S595" i="2"/>
  <c r="T595" i="2" s="1"/>
  <c r="S592" i="2"/>
  <c r="T592" i="2" s="1"/>
  <c r="S622" i="2"/>
  <c r="T622" i="2" s="1"/>
  <c r="S629" i="2"/>
  <c r="T629" i="2" s="1"/>
  <c r="S626" i="2"/>
  <c r="T626" i="2" s="1"/>
  <c r="S623" i="2"/>
  <c r="T623" i="2" s="1"/>
  <c r="S617" i="2"/>
  <c r="T617" i="2" s="1"/>
  <c r="S614" i="2"/>
  <c r="T614" i="2" s="1"/>
  <c r="S608" i="2"/>
  <c r="T608" i="2" s="1"/>
  <c r="S605" i="2"/>
  <c r="T605" i="2" s="1"/>
  <c r="S602" i="2"/>
  <c r="T602" i="2" s="1"/>
  <c r="S599" i="2"/>
  <c r="T599" i="2" s="1"/>
  <c r="S596" i="2"/>
  <c r="T596" i="2" s="1"/>
  <c r="S593" i="2"/>
  <c r="T593" i="2" s="1"/>
  <c r="S590" i="2"/>
  <c r="T590" i="2" s="1"/>
  <c r="S588" i="2"/>
  <c r="T588" i="2" s="1"/>
  <c r="S585" i="2"/>
  <c r="T585" i="2" s="1"/>
  <c r="S582" i="2"/>
  <c r="T582" i="2" s="1"/>
  <c r="S589" i="2"/>
  <c r="T589" i="2" s="1"/>
  <c r="S586" i="2"/>
  <c r="T586" i="2" s="1"/>
  <c r="S583" i="2"/>
  <c r="T583" i="2" s="1"/>
  <c r="S580" i="2"/>
  <c r="T580" i="2" s="1"/>
  <c r="A1" i="2" l="1"/>
  <c r="M991" i="2"/>
  <c r="P991" i="2" s="1"/>
  <c r="S991" i="2" s="1"/>
  <c r="T991" i="2" s="1"/>
  <c r="N991" i="2"/>
  <c r="O991" i="2"/>
  <c r="R991" i="2" s="1"/>
  <c r="Q991" i="2"/>
  <c r="M992" i="2"/>
  <c r="P992" i="2" s="1"/>
  <c r="N992" i="2"/>
  <c r="Q992" i="2" s="1"/>
  <c r="O992" i="2"/>
  <c r="M993" i="2"/>
  <c r="P993" i="2" s="1"/>
  <c r="N993" i="2"/>
  <c r="O993" i="2"/>
  <c r="Q993" i="2"/>
  <c r="R993" i="2"/>
  <c r="M994" i="2"/>
  <c r="P994" i="2" s="1"/>
  <c r="S994" i="2" s="1"/>
  <c r="T994" i="2" s="1"/>
  <c r="N994" i="2"/>
  <c r="O994" i="2"/>
  <c r="R994" i="2" s="1"/>
  <c r="Q994" i="2"/>
  <c r="M995" i="2"/>
  <c r="P995" i="2" s="1"/>
  <c r="N995" i="2"/>
  <c r="Q995" i="2" s="1"/>
  <c r="O995" i="2"/>
  <c r="R995" i="2" s="1"/>
  <c r="M996" i="2"/>
  <c r="P996" i="2" s="1"/>
  <c r="N996" i="2"/>
  <c r="O996" i="2"/>
  <c r="Q996" i="2"/>
  <c r="R996" i="2"/>
  <c r="M997" i="2"/>
  <c r="N997" i="2"/>
  <c r="O997" i="2"/>
  <c r="R997" i="2" s="1"/>
  <c r="P997" i="2"/>
  <c r="Q997" i="2"/>
  <c r="M998" i="2"/>
  <c r="P998" i="2" s="1"/>
  <c r="N998" i="2"/>
  <c r="Q998" i="2" s="1"/>
  <c r="O998" i="2"/>
  <c r="R998" i="2" s="1"/>
  <c r="M999" i="2"/>
  <c r="P999" i="2" s="1"/>
  <c r="N999" i="2"/>
  <c r="O999" i="2"/>
  <c r="R999" i="2" s="1"/>
  <c r="Q999" i="2"/>
  <c r="M1000" i="2"/>
  <c r="N1000" i="2"/>
  <c r="O1000" i="2"/>
  <c r="R1000" i="2" s="1"/>
  <c r="P1000" i="2"/>
  <c r="S1000" i="2" s="1"/>
  <c r="T1000" i="2" s="1"/>
  <c r="Q1000" i="2"/>
  <c r="M1001" i="2"/>
  <c r="P1001" i="2" s="1"/>
  <c r="N1001" i="2"/>
  <c r="Q1001" i="2" s="1"/>
  <c r="O1001" i="2"/>
  <c r="R1001" i="2" s="1"/>
  <c r="M1002" i="2"/>
  <c r="P1002" i="2" s="1"/>
  <c r="N1002" i="2"/>
  <c r="Q1002" i="2" s="1"/>
  <c r="O1002" i="2"/>
  <c r="R1002" i="2" s="1"/>
  <c r="M1003" i="2"/>
  <c r="N1003" i="2"/>
  <c r="Q1003" i="2" s="1"/>
  <c r="O1003" i="2"/>
  <c r="R1003" i="2" s="1"/>
  <c r="P1003" i="2"/>
  <c r="M1004" i="2"/>
  <c r="P1004" i="2" s="1"/>
  <c r="N1004" i="2"/>
  <c r="Q1004" i="2" s="1"/>
  <c r="O1004" i="2"/>
  <c r="M1005" i="2"/>
  <c r="P1005" i="2" s="1"/>
  <c r="S1005" i="2" s="1"/>
  <c r="T1005" i="2" s="1"/>
  <c r="N1005" i="2"/>
  <c r="Q1005" i="2" s="1"/>
  <c r="O1005" i="2"/>
  <c r="R1005" i="2" s="1"/>
  <c r="M1006" i="2"/>
  <c r="P1006" i="2" s="1"/>
  <c r="S1006" i="2" s="1"/>
  <c r="T1006" i="2" s="1"/>
  <c r="N1006" i="2"/>
  <c r="Q1006" i="2" s="1"/>
  <c r="O1006" i="2"/>
  <c r="R1006" i="2" s="1"/>
  <c r="M1007" i="2"/>
  <c r="P1007" i="2" s="1"/>
  <c r="N1007" i="2"/>
  <c r="Q1007" i="2" s="1"/>
  <c r="O1007" i="2"/>
  <c r="R1007" i="2" s="1"/>
  <c r="M1008" i="2"/>
  <c r="P1008" i="2" s="1"/>
  <c r="S1008" i="2" s="1"/>
  <c r="T1008" i="2" s="1"/>
  <c r="N1008" i="2"/>
  <c r="Q1008" i="2" s="1"/>
  <c r="O1008" i="2"/>
  <c r="R1008" i="2"/>
  <c r="M1009" i="2"/>
  <c r="P1009" i="2" s="1"/>
  <c r="N1009" i="2"/>
  <c r="Q1009" i="2" s="1"/>
  <c r="O1009" i="2"/>
  <c r="R1009" i="2" s="1"/>
  <c r="M1010" i="2"/>
  <c r="P1010" i="2" s="1"/>
  <c r="N1010" i="2"/>
  <c r="Q1010" i="2" s="1"/>
  <c r="O1010" i="2"/>
  <c r="R1010" i="2" s="1"/>
  <c r="M1011" i="2"/>
  <c r="P1011" i="2" s="1"/>
  <c r="N1011" i="2"/>
  <c r="O1011" i="2"/>
  <c r="Q1011" i="2"/>
  <c r="R1011" i="2"/>
  <c r="M1012" i="2"/>
  <c r="P1012" i="2" s="1"/>
  <c r="S1012" i="2" s="1"/>
  <c r="T1012" i="2" s="1"/>
  <c r="N1012" i="2"/>
  <c r="O1012" i="2"/>
  <c r="R1012" i="2" s="1"/>
  <c r="Q1012" i="2"/>
  <c r="M1013" i="2"/>
  <c r="P1013" i="2" s="1"/>
  <c r="N1013" i="2"/>
  <c r="Q1013" i="2" s="1"/>
  <c r="O1013" i="2"/>
  <c r="R1013" i="2" s="1"/>
  <c r="M1014" i="2"/>
  <c r="P1014" i="2" s="1"/>
  <c r="N1014" i="2"/>
  <c r="O1014" i="2"/>
  <c r="R1014" i="2" s="1"/>
  <c r="Q1014" i="2"/>
  <c r="M1015" i="2"/>
  <c r="N1015" i="2"/>
  <c r="O1015" i="2"/>
  <c r="R1015" i="2" s="1"/>
  <c r="P1015" i="2"/>
  <c r="S1015" i="2" s="1"/>
  <c r="T1015" i="2" s="1"/>
  <c r="Q1015" i="2"/>
  <c r="M1016" i="2"/>
  <c r="P1016" i="2" s="1"/>
  <c r="N1016" i="2"/>
  <c r="Q1016" i="2" s="1"/>
  <c r="O1016" i="2"/>
  <c r="R1016" i="2" s="1"/>
  <c r="M1017" i="2"/>
  <c r="P1017" i="2" s="1"/>
  <c r="N1017" i="2"/>
  <c r="Q1017" i="2" s="1"/>
  <c r="O1017" i="2"/>
  <c r="R1017" i="2" s="1"/>
  <c r="M1018" i="2"/>
  <c r="N1018" i="2"/>
  <c r="O1018" i="2"/>
  <c r="R1018" i="2" s="1"/>
  <c r="P1018" i="2"/>
  <c r="S1018" i="2" s="1"/>
  <c r="T1018" i="2" s="1"/>
  <c r="Q1018" i="2"/>
  <c r="M1019" i="2"/>
  <c r="P1019" i="2" s="1"/>
  <c r="N1019" i="2"/>
  <c r="Q1019" i="2" s="1"/>
  <c r="O1019" i="2"/>
  <c r="R1019" i="2" s="1"/>
  <c r="M1020" i="2"/>
  <c r="P1020" i="2" s="1"/>
  <c r="N1020" i="2"/>
  <c r="Q1020" i="2" s="1"/>
  <c r="O1020" i="2"/>
  <c r="R1020" i="2" s="1"/>
  <c r="M1021" i="2"/>
  <c r="N1021" i="2"/>
  <c r="Q1021" i="2" s="1"/>
  <c r="O1021" i="2"/>
  <c r="R1021" i="2" s="1"/>
  <c r="P1021" i="2"/>
  <c r="M1022" i="2"/>
  <c r="P1022" i="2" s="1"/>
  <c r="N1022" i="2"/>
  <c r="Q1022" i="2" s="1"/>
  <c r="O1022" i="2"/>
  <c r="R1022" i="2" s="1"/>
  <c r="M1023" i="2"/>
  <c r="P1023" i="2" s="1"/>
  <c r="S1023" i="2" s="1"/>
  <c r="T1023" i="2" s="1"/>
  <c r="N1023" i="2"/>
  <c r="Q1023" i="2" s="1"/>
  <c r="O1023" i="2"/>
  <c r="R1023" i="2" s="1"/>
  <c r="M1024" i="2"/>
  <c r="P1024" i="2" s="1"/>
  <c r="S1024" i="2" s="1"/>
  <c r="T1024" i="2" s="1"/>
  <c r="N1024" i="2"/>
  <c r="Q1024" i="2" s="1"/>
  <c r="O1024" i="2"/>
  <c r="R1024" i="2" s="1"/>
  <c r="M1025" i="2"/>
  <c r="P1025" i="2" s="1"/>
  <c r="N1025" i="2"/>
  <c r="Q1025" i="2" s="1"/>
  <c r="O1025" i="2"/>
  <c r="R1025" i="2" s="1"/>
  <c r="M1026" i="2"/>
  <c r="P1026" i="2" s="1"/>
  <c r="S1026" i="2" s="1"/>
  <c r="T1026" i="2" s="1"/>
  <c r="N1026" i="2"/>
  <c r="Q1026" i="2" s="1"/>
  <c r="O1026" i="2"/>
  <c r="R1026" i="2"/>
  <c r="M1027" i="2"/>
  <c r="P1027" i="2" s="1"/>
  <c r="N1027" i="2"/>
  <c r="Q1027" i="2" s="1"/>
  <c r="O1027" i="2"/>
  <c r="R1027" i="2" s="1"/>
  <c r="M1028" i="2"/>
  <c r="P1028" i="2" s="1"/>
  <c r="N1028" i="2"/>
  <c r="Q1028" i="2" s="1"/>
  <c r="O1028" i="2"/>
  <c r="R1028" i="2" s="1"/>
  <c r="M1029" i="2"/>
  <c r="P1029" i="2" s="1"/>
  <c r="N1029" i="2"/>
  <c r="O1029" i="2"/>
  <c r="Q1029" i="2"/>
  <c r="R1029" i="2"/>
  <c r="M1030" i="2"/>
  <c r="P1030" i="2" s="1"/>
  <c r="S1030" i="2" s="1"/>
  <c r="T1030" i="2" s="1"/>
  <c r="N1030" i="2"/>
  <c r="O1030" i="2"/>
  <c r="R1030" i="2" s="1"/>
  <c r="Q1030" i="2"/>
  <c r="M1031" i="2"/>
  <c r="P1031" i="2" s="1"/>
  <c r="N1031" i="2"/>
  <c r="Q1031" i="2" s="1"/>
  <c r="O1031" i="2"/>
  <c r="R1031" i="2" s="1"/>
  <c r="M1032" i="2"/>
  <c r="P1032" i="2" s="1"/>
  <c r="N1032" i="2"/>
  <c r="O1032" i="2"/>
  <c r="R1032" i="2" s="1"/>
  <c r="Q1032" i="2"/>
  <c r="Q990" i="2"/>
  <c r="O990" i="2"/>
  <c r="R990" i="2" s="1"/>
  <c r="N990" i="2"/>
  <c r="M990" i="2"/>
  <c r="P990" i="2" s="1"/>
  <c r="S990" i="2" s="1"/>
  <c r="T990" i="2" s="1"/>
  <c r="R989" i="2"/>
  <c r="Q989" i="2"/>
  <c r="O989" i="2"/>
  <c r="N989" i="2"/>
  <c r="M989" i="2"/>
  <c r="P989" i="2" s="1"/>
  <c r="O988" i="2"/>
  <c r="R988" i="2" s="1"/>
  <c r="N988" i="2"/>
  <c r="Q988" i="2" s="1"/>
  <c r="M988" i="2"/>
  <c r="P988" i="2" s="1"/>
  <c r="O987" i="2"/>
  <c r="R987" i="2" s="1"/>
  <c r="N987" i="2"/>
  <c r="Q987" i="2" s="1"/>
  <c r="M987" i="2"/>
  <c r="P987" i="2" s="1"/>
  <c r="R986" i="2"/>
  <c r="O986" i="2"/>
  <c r="N986" i="2"/>
  <c r="Q986" i="2" s="1"/>
  <c r="M986" i="2"/>
  <c r="P986" i="2" s="1"/>
  <c r="O985" i="2"/>
  <c r="R985" i="2" s="1"/>
  <c r="N985" i="2"/>
  <c r="Q985" i="2" s="1"/>
  <c r="M985" i="2"/>
  <c r="P985" i="2" s="1"/>
  <c r="O984" i="2"/>
  <c r="R984" i="2" s="1"/>
  <c r="N984" i="2"/>
  <c r="Q984" i="2" s="1"/>
  <c r="M984" i="2"/>
  <c r="P984" i="2" s="1"/>
  <c r="O983" i="2"/>
  <c r="R983" i="2" s="1"/>
  <c r="N983" i="2"/>
  <c r="Q983" i="2" s="1"/>
  <c r="M983" i="2"/>
  <c r="P983" i="2" s="1"/>
  <c r="S983" i="2" s="1"/>
  <c r="T983" i="2" s="1"/>
  <c r="O982" i="2"/>
  <c r="R982" i="2" s="1"/>
  <c r="N982" i="2"/>
  <c r="Q982" i="2" s="1"/>
  <c r="M982" i="2"/>
  <c r="P982" i="2" s="1"/>
  <c r="P981" i="2"/>
  <c r="O981" i="2"/>
  <c r="R981" i="2" s="1"/>
  <c r="N981" i="2"/>
  <c r="Q981" i="2" s="1"/>
  <c r="M981" i="2"/>
  <c r="O980" i="2"/>
  <c r="R980" i="2" s="1"/>
  <c r="N980" i="2"/>
  <c r="Q980" i="2" s="1"/>
  <c r="M980" i="2"/>
  <c r="P980" i="2" s="1"/>
  <c r="S980" i="2" s="1"/>
  <c r="T980" i="2" s="1"/>
  <c r="O979" i="2"/>
  <c r="R979" i="2" s="1"/>
  <c r="N979" i="2"/>
  <c r="Q979" i="2" s="1"/>
  <c r="M979" i="2"/>
  <c r="P979" i="2" s="1"/>
  <c r="Q978" i="2"/>
  <c r="P978" i="2"/>
  <c r="O978" i="2"/>
  <c r="R978" i="2" s="1"/>
  <c r="N978" i="2"/>
  <c r="M978" i="2"/>
  <c r="Q977" i="2"/>
  <c r="O977" i="2"/>
  <c r="R977" i="2" s="1"/>
  <c r="N977" i="2"/>
  <c r="M977" i="2"/>
  <c r="P977" i="2" s="1"/>
  <c r="O976" i="2"/>
  <c r="R976" i="2" s="1"/>
  <c r="N976" i="2"/>
  <c r="Q976" i="2" s="1"/>
  <c r="M976" i="2"/>
  <c r="P976" i="2" s="1"/>
  <c r="Q975" i="2"/>
  <c r="P975" i="2"/>
  <c r="O975" i="2"/>
  <c r="R975" i="2" s="1"/>
  <c r="N975" i="2"/>
  <c r="M975" i="2"/>
  <c r="R974" i="2"/>
  <c r="Q974" i="2"/>
  <c r="O974" i="2"/>
  <c r="N974" i="2"/>
  <c r="M974" i="2"/>
  <c r="P974" i="2" s="1"/>
  <c r="O973" i="2"/>
  <c r="R973" i="2" s="1"/>
  <c r="N973" i="2"/>
  <c r="Q973" i="2" s="1"/>
  <c r="M973" i="2"/>
  <c r="P973" i="2" s="1"/>
  <c r="Q972" i="2"/>
  <c r="O972" i="2"/>
  <c r="R972" i="2" s="1"/>
  <c r="N972" i="2"/>
  <c r="M972" i="2"/>
  <c r="P972" i="2" s="1"/>
  <c r="R971" i="2"/>
  <c r="Q971" i="2"/>
  <c r="O971" i="2"/>
  <c r="N971" i="2"/>
  <c r="M971" i="2"/>
  <c r="P971" i="2" s="1"/>
  <c r="O970" i="2"/>
  <c r="R970" i="2" s="1"/>
  <c r="N970" i="2"/>
  <c r="Q970" i="2" s="1"/>
  <c r="M970" i="2"/>
  <c r="P970" i="2" s="1"/>
  <c r="O969" i="2"/>
  <c r="R969" i="2" s="1"/>
  <c r="N969" i="2"/>
  <c r="Q969" i="2" s="1"/>
  <c r="M969" i="2"/>
  <c r="P969" i="2" s="1"/>
  <c r="R968" i="2"/>
  <c r="O968" i="2"/>
  <c r="N968" i="2"/>
  <c r="Q968" i="2" s="1"/>
  <c r="M968" i="2"/>
  <c r="P968" i="2" s="1"/>
  <c r="R967" i="2"/>
  <c r="O967" i="2"/>
  <c r="N967" i="2"/>
  <c r="Q967" i="2" s="1"/>
  <c r="M967" i="2"/>
  <c r="P967" i="2" s="1"/>
  <c r="P966" i="2"/>
  <c r="O966" i="2"/>
  <c r="R966" i="2" s="1"/>
  <c r="N966" i="2"/>
  <c r="Q966" i="2" s="1"/>
  <c r="M966" i="2"/>
  <c r="P965" i="2"/>
  <c r="S965" i="2" s="1"/>
  <c r="T965" i="2" s="1"/>
  <c r="O965" i="2"/>
  <c r="R965" i="2" s="1"/>
  <c r="N965" i="2"/>
  <c r="Q965" i="2" s="1"/>
  <c r="M965" i="2"/>
  <c r="R964" i="2"/>
  <c r="O964" i="2"/>
  <c r="N964" i="2"/>
  <c r="Q964" i="2" s="1"/>
  <c r="M964" i="2"/>
  <c r="P964" i="2" s="1"/>
  <c r="Q963" i="2"/>
  <c r="O963" i="2"/>
  <c r="R963" i="2" s="1"/>
  <c r="N963" i="2"/>
  <c r="M963" i="2"/>
  <c r="P963" i="2" s="1"/>
  <c r="S963" i="2" s="1"/>
  <c r="T963" i="2" s="1"/>
  <c r="R962" i="2"/>
  <c r="Q962" i="2"/>
  <c r="O962" i="2"/>
  <c r="N962" i="2"/>
  <c r="M962" i="2"/>
  <c r="P962" i="2" s="1"/>
  <c r="O961" i="2"/>
  <c r="R961" i="2" s="1"/>
  <c r="N961" i="2"/>
  <c r="Q961" i="2" s="1"/>
  <c r="M961" i="2"/>
  <c r="P961" i="2" s="1"/>
  <c r="P960" i="2"/>
  <c r="O960" i="2"/>
  <c r="R960" i="2" s="1"/>
  <c r="N960" i="2"/>
  <c r="Q960" i="2" s="1"/>
  <c r="M960" i="2"/>
  <c r="P959" i="2"/>
  <c r="S959" i="2" s="1"/>
  <c r="T959" i="2" s="1"/>
  <c r="O959" i="2"/>
  <c r="R959" i="2" s="1"/>
  <c r="N959" i="2"/>
  <c r="Q959" i="2" s="1"/>
  <c r="M959" i="2"/>
  <c r="R958" i="2"/>
  <c r="O958" i="2"/>
  <c r="N958" i="2"/>
  <c r="Q958" i="2" s="1"/>
  <c r="M958" i="2"/>
  <c r="P958" i="2" s="1"/>
  <c r="Q957" i="2"/>
  <c r="O957" i="2"/>
  <c r="R957" i="2" s="1"/>
  <c r="N957" i="2"/>
  <c r="M957" i="2"/>
  <c r="P957" i="2" s="1"/>
  <c r="S957" i="2" s="1"/>
  <c r="T957" i="2" s="1"/>
  <c r="R956" i="2"/>
  <c r="Q956" i="2"/>
  <c r="O956" i="2"/>
  <c r="N956" i="2"/>
  <c r="M956" i="2"/>
  <c r="P956" i="2" s="1"/>
  <c r="O955" i="2"/>
  <c r="R955" i="2" s="1"/>
  <c r="N955" i="2"/>
  <c r="Q955" i="2" s="1"/>
  <c r="M955" i="2"/>
  <c r="P955" i="2" s="1"/>
  <c r="P954" i="2"/>
  <c r="O954" i="2"/>
  <c r="R954" i="2" s="1"/>
  <c r="N954" i="2"/>
  <c r="Q954" i="2" s="1"/>
  <c r="M954" i="2"/>
  <c r="P953" i="2"/>
  <c r="O953" i="2"/>
  <c r="R953" i="2" s="1"/>
  <c r="N953" i="2"/>
  <c r="Q953" i="2" s="1"/>
  <c r="M953" i="2"/>
  <c r="R952" i="2"/>
  <c r="O952" i="2"/>
  <c r="N952" i="2"/>
  <c r="Q952" i="2" s="1"/>
  <c r="M952" i="2"/>
  <c r="P952" i="2" s="1"/>
  <c r="Q951" i="2"/>
  <c r="O951" i="2"/>
  <c r="R951" i="2" s="1"/>
  <c r="N951" i="2"/>
  <c r="M951" i="2"/>
  <c r="P951" i="2" s="1"/>
  <c r="S951" i="2" s="1"/>
  <c r="T951" i="2" s="1"/>
  <c r="R950" i="2"/>
  <c r="Q950" i="2"/>
  <c r="O950" i="2"/>
  <c r="N950" i="2"/>
  <c r="M950" i="2"/>
  <c r="P950" i="2" s="1"/>
  <c r="S950" i="2" s="1"/>
  <c r="T950" i="2" s="1"/>
  <c r="R949" i="2"/>
  <c r="O949" i="2"/>
  <c r="N949" i="2"/>
  <c r="Q949" i="2" s="1"/>
  <c r="M949" i="2"/>
  <c r="P949" i="2" s="1"/>
  <c r="P948" i="2"/>
  <c r="O948" i="2"/>
  <c r="R948" i="2" s="1"/>
  <c r="N948" i="2"/>
  <c r="Q948" i="2" s="1"/>
  <c r="M948" i="2"/>
  <c r="P947" i="2"/>
  <c r="O947" i="2"/>
  <c r="R947" i="2" s="1"/>
  <c r="N947" i="2"/>
  <c r="Q947" i="2" s="1"/>
  <c r="M947" i="2"/>
  <c r="R946" i="2"/>
  <c r="O946" i="2"/>
  <c r="N946" i="2"/>
  <c r="Q946" i="2" s="1"/>
  <c r="M946" i="2"/>
  <c r="P946" i="2" s="1"/>
  <c r="Q945" i="2"/>
  <c r="O945" i="2"/>
  <c r="R945" i="2" s="1"/>
  <c r="N945" i="2"/>
  <c r="M945" i="2"/>
  <c r="P945" i="2" s="1"/>
  <c r="R944" i="2"/>
  <c r="Q944" i="2"/>
  <c r="O944" i="2"/>
  <c r="N944" i="2"/>
  <c r="M944" i="2"/>
  <c r="P944" i="2" s="1"/>
  <c r="S944" i="2" s="1"/>
  <c r="T944" i="2" s="1"/>
  <c r="O943" i="2"/>
  <c r="R943" i="2" s="1"/>
  <c r="N943" i="2"/>
  <c r="Q943" i="2" s="1"/>
  <c r="M943" i="2"/>
  <c r="P943" i="2" s="1"/>
  <c r="P942" i="2"/>
  <c r="S942" i="2" s="1"/>
  <c r="T942" i="2" s="1"/>
  <c r="O942" i="2"/>
  <c r="R942" i="2" s="1"/>
  <c r="N942" i="2"/>
  <c r="Q942" i="2" s="1"/>
  <c r="M942" i="2"/>
  <c r="P941" i="2"/>
  <c r="O941" i="2"/>
  <c r="R941" i="2" s="1"/>
  <c r="N941" i="2"/>
  <c r="Q941" i="2" s="1"/>
  <c r="M941" i="2"/>
  <c r="R940" i="2"/>
  <c r="O940" i="2"/>
  <c r="N940" i="2"/>
  <c r="Q940" i="2" s="1"/>
  <c r="M940" i="2"/>
  <c r="P940" i="2" s="1"/>
  <c r="Q939" i="2"/>
  <c r="O939" i="2"/>
  <c r="R939" i="2" s="1"/>
  <c r="N939" i="2"/>
  <c r="M939" i="2"/>
  <c r="P939" i="2" s="1"/>
  <c r="R938" i="2"/>
  <c r="Q938" i="2"/>
  <c r="O938" i="2"/>
  <c r="N938" i="2"/>
  <c r="M938" i="2"/>
  <c r="P938" i="2" s="1"/>
  <c r="O937" i="2"/>
  <c r="R937" i="2" s="1"/>
  <c r="N937" i="2"/>
  <c r="Q937" i="2" s="1"/>
  <c r="M937" i="2"/>
  <c r="P937" i="2" s="1"/>
  <c r="P936" i="2"/>
  <c r="S936" i="2" s="1"/>
  <c r="T936" i="2" s="1"/>
  <c r="O936" i="2"/>
  <c r="R936" i="2" s="1"/>
  <c r="N936" i="2"/>
  <c r="Q936" i="2" s="1"/>
  <c r="M936" i="2"/>
  <c r="P935" i="2"/>
  <c r="O935" i="2"/>
  <c r="R935" i="2" s="1"/>
  <c r="N935" i="2"/>
  <c r="Q935" i="2" s="1"/>
  <c r="M935" i="2"/>
  <c r="R934" i="2"/>
  <c r="O934" i="2"/>
  <c r="N934" i="2"/>
  <c r="Q934" i="2" s="1"/>
  <c r="M934" i="2"/>
  <c r="P934" i="2" s="1"/>
  <c r="Q933" i="2"/>
  <c r="O933" i="2"/>
  <c r="R933" i="2" s="1"/>
  <c r="N933" i="2"/>
  <c r="M933" i="2"/>
  <c r="P933" i="2" s="1"/>
  <c r="R932" i="2"/>
  <c r="Q932" i="2"/>
  <c r="O932" i="2"/>
  <c r="N932" i="2"/>
  <c r="M932" i="2"/>
  <c r="P932" i="2" s="1"/>
  <c r="R931" i="2"/>
  <c r="O931" i="2"/>
  <c r="N931" i="2"/>
  <c r="Q931" i="2" s="1"/>
  <c r="M931" i="2"/>
  <c r="P931" i="2" s="1"/>
  <c r="P930" i="2"/>
  <c r="O930" i="2"/>
  <c r="R930" i="2" s="1"/>
  <c r="N930" i="2"/>
  <c r="Q930" i="2" s="1"/>
  <c r="M930" i="2"/>
  <c r="P929" i="2"/>
  <c r="S929" i="2" s="1"/>
  <c r="T929" i="2" s="1"/>
  <c r="O929" i="2"/>
  <c r="R929" i="2" s="1"/>
  <c r="N929" i="2"/>
  <c r="Q929" i="2" s="1"/>
  <c r="M929" i="2"/>
  <c r="R928" i="2"/>
  <c r="O928" i="2"/>
  <c r="N928" i="2"/>
  <c r="Q928" i="2" s="1"/>
  <c r="M928" i="2"/>
  <c r="P928" i="2" s="1"/>
  <c r="Q927" i="2"/>
  <c r="O927" i="2"/>
  <c r="R927" i="2" s="1"/>
  <c r="N927" i="2"/>
  <c r="M927" i="2"/>
  <c r="P927" i="2" s="1"/>
  <c r="S927" i="2" s="1"/>
  <c r="T927" i="2" s="1"/>
  <c r="R926" i="2"/>
  <c r="Q926" i="2"/>
  <c r="O926" i="2"/>
  <c r="N926" i="2"/>
  <c r="M926" i="2"/>
  <c r="P926" i="2" s="1"/>
  <c r="O925" i="2"/>
  <c r="R925" i="2" s="1"/>
  <c r="N925" i="2"/>
  <c r="Q925" i="2" s="1"/>
  <c r="M925" i="2"/>
  <c r="P925" i="2" s="1"/>
  <c r="P924" i="2"/>
  <c r="O924" i="2"/>
  <c r="R924" i="2" s="1"/>
  <c r="N924" i="2"/>
  <c r="Q924" i="2" s="1"/>
  <c r="M924" i="2"/>
  <c r="P923" i="2"/>
  <c r="S923" i="2" s="1"/>
  <c r="T923" i="2" s="1"/>
  <c r="O923" i="2"/>
  <c r="R923" i="2" s="1"/>
  <c r="N923" i="2"/>
  <c r="Q923" i="2" s="1"/>
  <c r="M923" i="2"/>
  <c r="R922" i="2"/>
  <c r="O922" i="2"/>
  <c r="N922" i="2"/>
  <c r="Q922" i="2" s="1"/>
  <c r="M922" i="2"/>
  <c r="P922" i="2" s="1"/>
  <c r="Q921" i="2"/>
  <c r="O921" i="2"/>
  <c r="R921" i="2" s="1"/>
  <c r="N921" i="2"/>
  <c r="M921" i="2"/>
  <c r="P921" i="2" s="1"/>
  <c r="S921" i="2" s="1"/>
  <c r="T921" i="2" s="1"/>
  <c r="R920" i="2"/>
  <c r="Q920" i="2"/>
  <c r="O920" i="2"/>
  <c r="N920" i="2"/>
  <c r="M920" i="2"/>
  <c r="P920" i="2" s="1"/>
  <c r="S920" i="2" s="1"/>
  <c r="T920" i="2" s="1"/>
  <c r="O919" i="2"/>
  <c r="R919" i="2" s="1"/>
  <c r="N919" i="2"/>
  <c r="Q919" i="2" s="1"/>
  <c r="M919" i="2"/>
  <c r="P919" i="2" s="1"/>
  <c r="P918" i="2"/>
  <c r="O918" i="2"/>
  <c r="R918" i="2" s="1"/>
  <c r="N918" i="2"/>
  <c r="Q918" i="2" s="1"/>
  <c r="M918" i="2"/>
  <c r="P917" i="2"/>
  <c r="O917" i="2"/>
  <c r="R917" i="2" s="1"/>
  <c r="N917" i="2"/>
  <c r="Q917" i="2" s="1"/>
  <c r="M917" i="2"/>
  <c r="R916" i="2"/>
  <c r="O916" i="2"/>
  <c r="N916" i="2"/>
  <c r="Q916" i="2" s="1"/>
  <c r="M916" i="2"/>
  <c r="P916" i="2" s="1"/>
  <c r="Q915" i="2"/>
  <c r="O915" i="2"/>
  <c r="R915" i="2" s="1"/>
  <c r="N915" i="2"/>
  <c r="M915" i="2"/>
  <c r="P915" i="2" s="1"/>
  <c r="S915" i="2" s="1"/>
  <c r="T915" i="2" s="1"/>
  <c r="R914" i="2"/>
  <c r="Q914" i="2"/>
  <c r="O914" i="2"/>
  <c r="N914" i="2"/>
  <c r="M914" i="2"/>
  <c r="P914" i="2" s="1"/>
  <c r="S914" i="2" s="1"/>
  <c r="T914" i="2" s="1"/>
  <c r="R913" i="2"/>
  <c r="O913" i="2"/>
  <c r="N913" i="2"/>
  <c r="Q913" i="2" s="1"/>
  <c r="M913" i="2"/>
  <c r="P913" i="2" s="1"/>
  <c r="P912" i="2"/>
  <c r="O912" i="2"/>
  <c r="R912" i="2" s="1"/>
  <c r="N912" i="2"/>
  <c r="Q912" i="2" s="1"/>
  <c r="M912" i="2"/>
  <c r="P911" i="2"/>
  <c r="O911" i="2"/>
  <c r="R911" i="2" s="1"/>
  <c r="N911" i="2"/>
  <c r="Q911" i="2" s="1"/>
  <c r="M911" i="2"/>
  <c r="R910" i="2"/>
  <c r="O910" i="2"/>
  <c r="N910" i="2"/>
  <c r="Q910" i="2" s="1"/>
  <c r="M910" i="2"/>
  <c r="P910" i="2" s="1"/>
  <c r="Q909" i="2"/>
  <c r="O909" i="2"/>
  <c r="R909" i="2" s="1"/>
  <c r="N909" i="2"/>
  <c r="M909" i="2"/>
  <c r="P909" i="2" s="1"/>
  <c r="R908" i="2"/>
  <c r="Q908" i="2"/>
  <c r="O908" i="2"/>
  <c r="N908" i="2"/>
  <c r="M908" i="2"/>
  <c r="P908" i="2" s="1"/>
  <c r="S908" i="2" s="1"/>
  <c r="T908" i="2" s="1"/>
  <c r="S907" i="2"/>
  <c r="T907" i="2" s="1"/>
  <c r="O907" i="2"/>
  <c r="R907" i="2" s="1"/>
  <c r="N907" i="2"/>
  <c r="Q907" i="2" s="1"/>
  <c r="M907" i="2"/>
  <c r="P907" i="2" s="1"/>
  <c r="P906" i="2"/>
  <c r="O906" i="2"/>
  <c r="R906" i="2" s="1"/>
  <c r="N906" i="2"/>
  <c r="Q906" i="2" s="1"/>
  <c r="M906" i="2"/>
  <c r="R905" i="2"/>
  <c r="O905" i="2"/>
  <c r="N905" i="2"/>
  <c r="Q905" i="2" s="1"/>
  <c r="M905" i="2"/>
  <c r="P905" i="2" s="1"/>
  <c r="S905" i="2" s="1"/>
  <c r="T905" i="2" s="1"/>
  <c r="P904" i="2"/>
  <c r="O904" i="2"/>
  <c r="R904" i="2" s="1"/>
  <c r="N904" i="2"/>
  <c r="Q904" i="2" s="1"/>
  <c r="M904" i="2"/>
  <c r="R903" i="2"/>
  <c r="Q903" i="2"/>
  <c r="P903" i="2"/>
  <c r="O903" i="2"/>
  <c r="N903" i="2"/>
  <c r="M903" i="2"/>
  <c r="O902" i="2"/>
  <c r="R902" i="2" s="1"/>
  <c r="N902" i="2"/>
  <c r="Q902" i="2" s="1"/>
  <c r="M902" i="2"/>
  <c r="P902" i="2" s="1"/>
  <c r="O901" i="2"/>
  <c r="R901" i="2" s="1"/>
  <c r="N901" i="2"/>
  <c r="Q901" i="2" s="1"/>
  <c r="M901" i="2"/>
  <c r="P901" i="2" s="1"/>
  <c r="R900" i="2"/>
  <c r="O900" i="2"/>
  <c r="N900" i="2"/>
  <c r="Q900" i="2" s="1"/>
  <c r="M900" i="2"/>
  <c r="P900" i="2" s="1"/>
  <c r="R899" i="2"/>
  <c r="O899" i="2"/>
  <c r="N899" i="2"/>
  <c r="Q899" i="2" s="1"/>
  <c r="M899" i="2"/>
  <c r="P899" i="2" s="1"/>
  <c r="S899" i="2" s="1"/>
  <c r="T899" i="2" s="1"/>
  <c r="P898" i="2"/>
  <c r="S898" i="2" s="1"/>
  <c r="T898" i="2" s="1"/>
  <c r="O898" i="2"/>
  <c r="R898" i="2" s="1"/>
  <c r="N898" i="2"/>
  <c r="Q898" i="2" s="1"/>
  <c r="M898" i="2"/>
  <c r="R897" i="2"/>
  <c r="Q897" i="2"/>
  <c r="P897" i="2"/>
  <c r="S897" i="2" s="1"/>
  <c r="T897" i="2" s="1"/>
  <c r="O897" i="2"/>
  <c r="N897" i="2"/>
  <c r="M897" i="2"/>
  <c r="O896" i="2"/>
  <c r="R896" i="2" s="1"/>
  <c r="N896" i="2"/>
  <c r="Q896" i="2" s="1"/>
  <c r="M896" i="2"/>
  <c r="P896" i="2" s="1"/>
  <c r="O895" i="2"/>
  <c r="R895" i="2" s="1"/>
  <c r="N895" i="2"/>
  <c r="Q895" i="2" s="1"/>
  <c r="M895" i="2"/>
  <c r="P895" i="2" s="1"/>
  <c r="R894" i="2"/>
  <c r="O894" i="2"/>
  <c r="N894" i="2"/>
  <c r="Q894" i="2" s="1"/>
  <c r="M894" i="2"/>
  <c r="P894" i="2" s="1"/>
  <c r="R893" i="2"/>
  <c r="O893" i="2"/>
  <c r="N893" i="2"/>
  <c r="Q893" i="2" s="1"/>
  <c r="M893" i="2"/>
  <c r="P893" i="2" s="1"/>
  <c r="P892" i="2"/>
  <c r="O892" i="2"/>
  <c r="R892" i="2" s="1"/>
  <c r="N892" i="2"/>
  <c r="Q892" i="2" s="1"/>
  <c r="M892" i="2"/>
  <c r="P891" i="2"/>
  <c r="O891" i="2"/>
  <c r="R891" i="2" s="1"/>
  <c r="N891" i="2"/>
  <c r="Q891" i="2" s="1"/>
  <c r="M891" i="2"/>
  <c r="O890" i="2"/>
  <c r="R890" i="2" s="1"/>
  <c r="N890" i="2"/>
  <c r="Q890" i="2" s="1"/>
  <c r="M890" i="2"/>
  <c r="P890" i="2" s="1"/>
  <c r="S890" i="2" s="1"/>
  <c r="T890" i="2" s="1"/>
  <c r="O889" i="2"/>
  <c r="R889" i="2" s="1"/>
  <c r="N889" i="2"/>
  <c r="Q889" i="2" s="1"/>
  <c r="M889" i="2"/>
  <c r="P889" i="2" s="1"/>
  <c r="R888" i="2"/>
  <c r="Q888" i="2"/>
  <c r="P888" i="2"/>
  <c r="O888" i="2"/>
  <c r="N888" i="2"/>
  <c r="M888" i="2"/>
  <c r="R887" i="2"/>
  <c r="O887" i="2"/>
  <c r="N887" i="2"/>
  <c r="Q887" i="2" s="1"/>
  <c r="M887" i="2"/>
  <c r="P887" i="2" s="1"/>
  <c r="R886" i="2"/>
  <c r="O886" i="2"/>
  <c r="N886" i="2"/>
  <c r="Q886" i="2" s="1"/>
  <c r="M886" i="2"/>
  <c r="P886" i="2" s="1"/>
  <c r="P885" i="2"/>
  <c r="O885" i="2"/>
  <c r="R885" i="2" s="1"/>
  <c r="N885" i="2"/>
  <c r="Q885" i="2" s="1"/>
  <c r="M885" i="2"/>
  <c r="R884" i="2"/>
  <c r="Q884" i="2"/>
  <c r="P884" i="2"/>
  <c r="S884" i="2" s="1"/>
  <c r="T884" i="2" s="1"/>
  <c r="O884" i="2"/>
  <c r="N884" i="2"/>
  <c r="M884" i="2"/>
  <c r="R883" i="2"/>
  <c r="P883" i="2"/>
  <c r="S883" i="2" s="1"/>
  <c r="T883" i="2" s="1"/>
  <c r="O883" i="2"/>
  <c r="N883" i="2"/>
  <c r="Q883" i="2" s="1"/>
  <c r="M883" i="2"/>
  <c r="Q882" i="2"/>
  <c r="P882" i="2"/>
  <c r="O882" i="2"/>
  <c r="R882" i="2" s="1"/>
  <c r="N882" i="2"/>
  <c r="M882" i="2"/>
  <c r="O881" i="2"/>
  <c r="R881" i="2" s="1"/>
  <c r="N881" i="2"/>
  <c r="Q881" i="2" s="1"/>
  <c r="M881" i="2"/>
  <c r="P881" i="2" s="1"/>
  <c r="S881" i="2" s="1"/>
  <c r="T881" i="2" s="1"/>
  <c r="O880" i="2"/>
  <c r="R880" i="2" s="1"/>
  <c r="N880" i="2"/>
  <c r="Q880" i="2" s="1"/>
  <c r="M880" i="2"/>
  <c r="P880" i="2" s="1"/>
  <c r="S880" i="2" s="1"/>
  <c r="T880" i="2" s="1"/>
  <c r="P879" i="2"/>
  <c r="O879" i="2"/>
  <c r="R879" i="2" s="1"/>
  <c r="N879" i="2"/>
  <c r="Q879" i="2" s="1"/>
  <c r="M879" i="2"/>
  <c r="Q878" i="2"/>
  <c r="P878" i="2"/>
  <c r="O878" i="2"/>
  <c r="R878" i="2" s="1"/>
  <c r="N878" i="2"/>
  <c r="M878" i="2"/>
  <c r="P877" i="2"/>
  <c r="S877" i="2" s="1"/>
  <c r="T877" i="2" s="1"/>
  <c r="O877" i="2"/>
  <c r="R877" i="2" s="1"/>
  <c r="N877" i="2"/>
  <c r="Q877" i="2" s="1"/>
  <c r="M877" i="2"/>
  <c r="O876" i="2"/>
  <c r="R876" i="2" s="1"/>
  <c r="N876" i="2"/>
  <c r="Q876" i="2" s="1"/>
  <c r="M876" i="2"/>
  <c r="P876" i="2" s="1"/>
  <c r="O875" i="2"/>
  <c r="R875" i="2" s="1"/>
  <c r="N875" i="2"/>
  <c r="Q875" i="2" s="1"/>
  <c r="M875" i="2"/>
  <c r="P875" i="2" s="1"/>
  <c r="S875" i="2" s="1"/>
  <c r="T875" i="2" s="1"/>
  <c r="O874" i="2"/>
  <c r="R874" i="2" s="1"/>
  <c r="N874" i="2"/>
  <c r="Q874" i="2" s="1"/>
  <c r="M874" i="2"/>
  <c r="P874" i="2" s="1"/>
  <c r="R873" i="2"/>
  <c r="O873" i="2"/>
  <c r="N873" i="2"/>
  <c r="Q873" i="2" s="1"/>
  <c r="M873" i="2"/>
  <c r="P873" i="2" s="1"/>
  <c r="O872" i="2"/>
  <c r="R872" i="2" s="1"/>
  <c r="N872" i="2"/>
  <c r="Q872" i="2" s="1"/>
  <c r="M872" i="2"/>
  <c r="P872" i="2" s="1"/>
  <c r="S872" i="2" s="1"/>
  <c r="T872" i="2" s="1"/>
  <c r="O871" i="2"/>
  <c r="R871" i="2" s="1"/>
  <c r="N871" i="2"/>
  <c r="Q871" i="2" s="1"/>
  <c r="M871" i="2"/>
  <c r="P871" i="2" s="1"/>
  <c r="S871" i="2" s="1"/>
  <c r="T871" i="2" s="1"/>
  <c r="Q870" i="2"/>
  <c r="O870" i="2"/>
  <c r="R870" i="2" s="1"/>
  <c r="N870" i="2"/>
  <c r="M870" i="2"/>
  <c r="P870" i="2" s="1"/>
  <c r="Q869" i="2"/>
  <c r="O869" i="2"/>
  <c r="R869" i="2" s="1"/>
  <c r="N869" i="2"/>
  <c r="M869" i="2"/>
  <c r="P869" i="2" s="1"/>
  <c r="P868" i="2"/>
  <c r="O868" i="2"/>
  <c r="R868" i="2" s="1"/>
  <c r="N868" i="2"/>
  <c r="Q868" i="2" s="1"/>
  <c r="M868" i="2"/>
  <c r="O867" i="2"/>
  <c r="R867" i="2" s="1"/>
  <c r="N867" i="2"/>
  <c r="Q867" i="2" s="1"/>
  <c r="M867" i="2"/>
  <c r="P867" i="2" s="1"/>
  <c r="Q866" i="2"/>
  <c r="O866" i="2"/>
  <c r="R866" i="2" s="1"/>
  <c r="N866" i="2"/>
  <c r="M866" i="2"/>
  <c r="P866" i="2" s="1"/>
  <c r="Q865" i="2"/>
  <c r="P865" i="2"/>
  <c r="S865" i="2" s="1"/>
  <c r="T865" i="2" s="1"/>
  <c r="O865" i="2"/>
  <c r="R865" i="2" s="1"/>
  <c r="N865" i="2"/>
  <c r="M865" i="2"/>
  <c r="O864" i="2"/>
  <c r="R864" i="2" s="1"/>
  <c r="N864" i="2"/>
  <c r="Q864" i="2" s="1"/>
  <c r="M864" i="2"/>
  <c r="P864" i="2" s="1"/>
  <c r="O863" i="2"/>
  <c r="R863" i="2" s="1"/>
  <c r="N863" i="2"/>
  <c r="Q863" i="2" s="1"/>
  <c r="M863" i="2"/>
  <c r="P863" i="2" s="1"/>
  <c r="S863" i="2" s="1"/>
  <c r="T863" i="2" s="1"/>
  <c r="O862" i="2"/>
  <c r="R862" i="2" s="1"/>
  <c r="N862" i="2"/>
  <c r="Q862" i="2" s="1"/>
  <c r="M862" i="2"/>
  <c r="P862" i="2" s="1"/>
  <c r="R861" i="2"/>
  <c r="O861" i="2"/>
  <c r="N861" i="2"/>
  <c r="Q861" i="2" s="1"/>
  <c r="M861" i="2"/>
  <c r="P861" i="2" s="1"/>
  <c r="S861" i="2" s="1"/>
  <c r="T861" i="2" s="1"/>
  <c r="O860" i="2"/>
  <c r="R860" i="2" s="1"/>
  <c r="N860" i="2"/>
  <c r="Q860" i="2" s="1"/>
  <c r="M860" i="2"/>
  <c r="P860" i="2" s="1"/>
  <c r="S860" i="2" s="1"/>
  <c r="T860" i="2" s="1"/>
  <c r="O859" i="2"/>
  <c r="R859" i="2" s="1"/>
  <c r="N859" i="2"/>
  <c r="Q859" i="2" s="1"/>
  <c r="M859" i="2"/>
  <c r="P859" i="2" s="1"/>
  <c r="S859" i="2" s="1"/>
  <c r="T859" i="2" s="1"/>
  <c r="O858" i="2"/>
  <c r="R858" i="2" s="1"/>
  <c r="N858" i="2"/>
  <c r="Q858" i="2" s="1"/>
  <c r="M858" i="2"/>
  <c r="P858" i="2" s="1"/>
  <c r="Q857" i="2"/>
  <c r="O857" i="2"/>
  <c r="R857" i="2" s="1"/>
  <c r="N857" i="2"/>
  <c r="M857" i="2"/>
  <c r="P857" i="2" s="1"/>
  <c r="P856" i="2"/>
  <c r="S856" i="2" s="1"/>
  <c r="T856" i="2" s="1"/>
  <c r="O856" i="2"/>
  <c r="R856" i="2" s="1"/>
  <c r="N856" i="2"/>
  <c r="Q856" i="2" s="1"/>
  <c r="M856" i="2"/>
  <c r="O855" i="2"/>
  <c r="R855" i="2" s="1"/>
  <c r="N855" i="2"/>
  <c r="Q855" i="2" s="1"/>
  <c r="M855" i="2"/>
  <c r="P855" i="2" s="1"/>
  <c r="Q854" i="2"/>
  <c r="O854" i="2"/>
  <c r="R854" i="2" s="1"/>
  <c r="N854" i="2"/>
  <c r="M854" i="2"/>
  <c r="P854" i="2" s="1"/>
  <c r="Q853" i="2"/>
  <c r="P853" i="2"/>
  <c r="S853" i="2" s="1"/>
  <c r="T853" i="2" s="1"/>
  <c r="O853" i="2"/>
  <c r="R853" i="2" s="1"/>
  <c r="N853" i="2"/>
  <c r="M853" i="2"/>
  <c r="O852" i="2"/>
  <c r="R852" i="2" s="1"/>
  <c r="N852" i="2"/>
  <c r="Q852" i="2" s="1"/>
  <c r="M852" i="2"/>
  <c r="P852" i="2" s="1"/>
  <c r="O851" i="2"/>
  <c r="R851" i="2" s="1"/>
  <c r="N851" i="2"/>
  <c r="Q851" i="2" s="1"/>
  <c r="M851" i="2"/>
  <c r="P851" i="2" s="1"/>
  <c r="S851" i="2" s="1"/>
  <c r="T851" i="2" s="1"/>
  <c r="R850" i="2"/>
  <c r="Q850" i="2"/>
  <c r="O850" i="2"/>
  <c r="N850" i="2"/>
  <c r="M850" i="2"/>
  <c r="P850" i="2" s="1"/>
  <c r="S850" i="2" s="1"/>
  <c r="T850" i="2" s="1"/>
  <c r="O849" i="2"/>
  <c r="R849" i="2" s="1"/>
  <c r="N849" i="2"/>
  <c r="Q849" i="2" s="1"/>
  <c r="M849" i="2"/>
  <c r="P849" i="2" s="1"/>
  <c r="O848" i="2"/>
  <c r="R848" i="2" s="1"/>
  <c r="N848" i="2"/>
  <c r="Q848" i="2" s="1"/>
  <c r="M848" i="2"/>
  <c r="P848" i="2" s="1"/>
  <c r="R847" i="2"/>
  <c r="Q847" i="2"/>
  <c r="O847" i="2"/>
  <c r="N847" i="2"/>
  <c r="M847" i="2"/>
  <c r="P847" i="2" s="1"/>
  <c r="Q846" i="2"/>
  <c r="O846" i="2"/>
  <c r="R846" i="2" s="1"/>
  <c r="N846" i="2"/>
  <c r="M846" i="2"/>
  <c r="P846" i="2" s="1"/>
  <c r="O845" i="2"/>
  <c r="R845" i="2" s="1"/>
  <c r="N845" i="2"/>
  <c r="Q845" i="2" s="1"/>
  <c r="M845" i="2"/>
  <c r="P845" i="2" s="1"/>
  <c r="O844" i="2"/>
  <c r="R844" i="2" s="1"/>
  <c r="N844" i="2"/>
  <c r="Q844" i="2" s="1"/>
  <c r="M844" i="2"/>
  <c r="P844" i="2" s="1"/>
  <c r="O843" i="2"/>
  <c r="R843" i="2" s="1"/>
  <c r="N843" i="2"/>
  <c r="Q843" i="2" s="1"/>
  <c r="M843" i="2"/>
  <c r="P843" i="2" s="1"/>
  <c r="Q842" i="2"/>
  <c r="O842" i="2"/>
  <c r="R842" i="2" s="1"/>
  <c r="N842" i="2"/>
  <c r="M842" i="2"/>
  <c r="P842" i="2" s="1"/>
  <c r="R841" i="2"/>
  <c r="Q841" i="2"/>
  <c r="O841" i="2"/>
  <c r="N841" i="2"/>
  <c r="M841" i="2"/>
  <c r="P841" i="2" s="1"/>
  <c r="O840" i="2"/>
  <c r="R840" i="2" s="1"/>
  <c r="N840" i="2"/>
  <c r="Q840" i="2" s="1"/>
  <c r="M840" i="2"/>
  <c r="P840" i="2" s="1"/>
  <c r="S840" i="2" s="1"/>
  <c r="T840" i="2" s="1"/>
  <c r="O839" i="2"/>
  <c r="R839" i="2" s="1"/>
  <c r="N839" i="2"/>
  <c r="Q839" i="2" s="1"/>
  <c r="M839" i="2"/>
  <c r="P839" i="2" s="1"/>
  <c r="R838" i="2"/>
  <c r="Q838" i="2"/>
  <c r="O838" i="2"/>
  <c r="N838" i="2"/>
  <c r="M838" i="2"/>
  <c r="P838" i="2" s="1"/>
  <c r="S838" i="2" s="1"/>
  <c r="T838" i="2" s="1"/>
  <c r="Q837" i="2"/>
  <c r="O837" i="2"/>
  <c r="R837" i="2" s="1"/>
  <c r="N837" i="2"/>
  <c r="M837" i="2"/>
  <c r="P837" i="2" s="1"/>
  <c r="P836" i="2"/>
  <c r="O836" i="2"/>
  <c r="R836" i="2" s="1"/>
  <c r="N836" i="2"/>
  <c r="Q836" i="2" s="1"/>
  <c r="M836" i="2"/>
  <c r="P835" i="2"/>
  <c r="S835" i="2" s="1"/>
  <c r="T835" i="2" s="1"/>
  <c r="O835" i="2"/>
  <c r="R835" i="2" s="1"/>
  <c r="N835" i="2"/>
  <c r="Q835" i="2" s="1"/>
  <c r="M835" i="2"/>
  <c r="O834" i="2"/>
  <c r="R834" i="2" s="1"/>
  <c r="N834" i="2"/>
  <c r="Q834" i="2" s="1"/>
  <c r="M834" i="2"/>
  <c r="P834" i="2" s="1"/>
  <c r="O833" i="2"/>
  <c r="R833" i="2" s="1"/>
  <c r="N833" i="2"/>
  <c r="Q833" i="2" s="1"/>
  <c r="M833" i="2"/>
  <c r="P833" i="2" s="1"/>
  <c r="S833" i="2" s="1"/>
  <c r="T833" i="2" s="1"/>
  <c r="R832" i="2"/>
  <c r="O832" i="2"/>
  <c r="N832" i="2"/>
  <c r="Q832" i="2" s="1"/>
  <c r="M832" i="2"/>
  <c r="P832" i="2" s="1"/>
  <c r="S832" i="2" s="1"/>
  <c r="T832" i="2" s="1"/>
  <c r="Q831" i="2"/>
  <c r="O831" i="2"/>
  <c r="R831" i="2" s="1"/>
  <c r="N831" i="2"/>
  <c r="M831" i="2"/>
  <c r="P831" i="2" s="1"/>
  <c r="O830" i="2"/>
  <c r="R830" i="2" s="1"/>
  <c r="N830" i="2"/>
  <c r="Q830" i="2" s="1"/>
  <c r="M830" i="2"/>
  <c r="P830" i="2" s="1"/>
  <c r="O829" i="2"/>
  <c r="R829" i="2" s="1"/>
  <c r="N829" i="2"/>
  <c r="Q829" i="2" s="1"/>
  <c r="M829" i="2"/>
  <c r="P829" i="2" s="1"/>
  <c r="S829" i="2" s="1"/>
  <c r="T829" i="2" s="1"/>
  <c r="O828" i="2"/>
  <c r="R828" i="2" s="1"/>
  <c r="N828" i="2"/>
  <c r="Q828" i="2" s="1"/>
  <c r="M828" i="2"/>
  <c r="P828" i="2" s="1"/>
  <c r="O827" i="2"/>
  <c r="R827" i="2" s="1"/>
  <c r="N827" i="2"/>
  <c r="Q827" i="2" s="1"/>
  <c r="M827" i="2"/>
  <c r="P827" i="2" s="1"/>
  <c r="P826" i="2"/>
  <c r="O826" i="2"/>
  <c r="R826" i="2" s="1"/>
  <c r="N826" i="2"/>
  <c r="Q826" i="2" s="1"/>
  <c r="M826" i="2"/>
  <c r="R825" i="2"/>
  <c r="O825" i="2"/>
  <c r="N825" i="2"/>
  <c r="Q825" i="2" s="1"/>
  <c r="M825" i="2"/>
  <c r="P825" i="2" s="1"/>
  <c r="Q824" i="2"/>
  <c r="O824" i="2"/>
  <c r="R824" i="2" s="1"/>
  <c r="N824" i="2"/>
  <c r="M824" i="2"/>
  <c r="P824" i="2" s="1"/>
  <c r="R823" i="2"/>
  <c r="Q823" i="2"/>
  <c r="P823" i="2"/>
  <c r="O823" i="2"/>
  <c r="N823" i="2"/>
  <c r="M823" i="2"/>
  <c r="O822" i="2"/>
  <c r="R822" i="2" s="1"/>
  <c r="N822" i="2"/>
  <c r="Q822" i="2" s="1"/>
  <c r="M822" i="2"/>
  <c r="P822" i="2" s="1"/>
  <c r="O821" i="2"/>
  <c r="R821" i="2" s="1"/>
  <c r="N821" i="2"/>
  <c r="Q821" i="2" s="1"/>
  <c r="M821" i="2"/>
  <c r="P821" i="2" s="1"/>
  <c r="Q820" i="2"/>
  <c r="O820" i="2"/>
  <c r="R820" i="2" s="1"/>
  <c r="N820" i="2"/>
  <c r="M820" i="2"/>
  <c r="P820" i="2" s="1"/>
  <c r="O819" i="2"/>
  <c r="R819" i="2" s="1"/>
  <c r="N819" i="2"/>
  <c r="Q819" i="2" s="1"/>
  <c r="S819" i="2" s="1"/>
  <c r="T819" i="2" s="1"/>
  <c r="M819" i="2"/>
  <c r="P819" i="2" s="1"/>
  <c r="O818" i="2"/>
  <c r="R818" i="2" s="1"/>
  <c r="N818" i="2"/>
  <c r="Q818" i="2" s="1"/>
  <c r="M818" i="2"/>
  <c r="P818" i="2" s="1"/>
  <c r="S818" i="2" s="1"/>
  <c r="T818" i="2" s="1"/>
  <c r="R817" i="2"/>
  <c r="Q817" i="2"/>
  <c r="O817" i="2"/>
  <c r="N817" i="2"/>
  <c r="M817" i="2"/>
  <c r="P817" i="2" s="1"/>
  <c r="O816" i="2"/>
  <c r="R816" i="2" s="1"/>
  <c r="N816" i="2"/>
  <c r="Q816" i="2" s="1"/>
  <c r="M816" i="2"/>
  <c r="P816" i="2" s="1"/>
  <c r="O815" i="2"/>
  <c r="R815" i="2" s="1"/>
  <c r="N815" i="2"/>
  <c r="Q815" i="2" s="1"/>
  <c r="M815" i="2"/>
  <c r="P815" i="2" s="1"/>
  <c r="R814" i="2"/>
  <c r="Q814" i="2"/>
  <c r="O814" i="2"/>
  <c r="N814" i="2"/>
  <c r="M814" i="2"/>
  <c r="P814" i="2" s="1"/>
  <c r="O813" i="2"/>
  <c r="R813" i="2" s="1"/>
  <c r="N813" i="2"/>
  <c r="Q813" i="2" s="1"/>
  <c r="M813" i="2"/>
  <c r="P813" i="2" s="1"/>
  <c r="O812" i="2"/>
  <c r="R812" i="2" s="1"/>
  <c r="N812" i="2"/>
  <c r="Q812" i="2" s="1"/>
  <c r="M812" i="2"/>
  <c r="P812" i="2" s="1"/>
  <c r="S812" i="2" s="1"/>
  <c r="T812" i="2" s="1"/>
  <c r="R811" i="2"/>
  <c r="Q811" i="2"/>
  <c r="O811" i="2"/>
  <c r="N811" i="2"/>
  <c r="M811" i="2"/>
  <c r="P811" i="2" s="1"/>
  <c r="O810" i="2"/>
  <c r="R810" i="2" s="1"/>
  <c r="N810" i="2"/>
  <c r="Q810" i="2" s="1"/>
  <c r="M810" i="2"/>
  <c r="P810" i="2" s="1"/>
  <c r="S810" i="2" s="1"/>
  <c r="T810" i="2" s="1"/>
  <c r="O809" i="2"/>
  <c r="R809" i="2" s="1"/>
  <c r="N809" i="2"/>
  <c r="Q809" i="2" s="1"/>
  <c r="M809" i="2"/>
  <c r="P809" i="2" s="1"/>
  <c r="S809" i="2" s="1"/>
  <c r="T809" i="2" s="1"/>
  <c r="R808" i="2"/>
  <c r="Q808" i="2"/>
  <c r="O808" i="2"/>
  <c r="N808" i="2"/>
  <c r="M808" i="2"/>
  <c r="P808" i="2" s="1"/>
  <c r="O807" i="2"/>
  <c r="R807" i="2" s="1"/>
  <c r="N807" i="2"/>
  <c r="Q807" i="2" s="1"/>
  <c r="M807" i="2"/>
  <c r="P807" i="2" s="1"/>
  <c r="O806" i="2"/>
  <c r="R806" i="2" s="1"/>
  <c r="N806" i="2"/>
  <c r="Q806" i="2" s="1"/>
  <c r="M806" i="2"/>
  <c r="P806" i="2" s="1"/>
  <c r="S806" i="2" s="1"/>
  <c r="T806" i="2" s="1"/>
  <c r="R805" i="2"/>
  <c r="Q805" i="2"/>
  <c r="O805" i="2"/>
  <c r="N805" i="2"/>
  <c r="M805" i="2"/>
  <c r="P805" i="2" s="1"/>
  <c r="O804" i="2"/>
  <c r="R804" i="2" s="1"/>
  <c r="N804" i="2"/>
  <c r="Q804" i="2" s="1"/>
  <c r="M804" i="2"/>
  <c r="P804" i="2" s="1"/>
  <c r="S804" i="2" s="1"/>
  <c r="T804" i="2" s="1"/>
  <c r="O803" i="2"/>
  <c r="R803" i="2" s="1"/>
  <c r="N803" i="2"/>
  <c r="Q803" i="2" s="1"/>
  <c r="M803" i="2"/>
  <c r="P803" i="2" s="1"/>
  <c r="S803" i="2" s="1"/>
  <c r="T803" i="2" s="1"/>
  <c r="R802" i="2"/>
  <c r="Q802" i="2"/>
  <c r="O802" i="2"/>
  <c r="N802" i="2"/>
  <c r="M802" i="2"/>
  <c r="P802" i="2" s="1"/>
  <c r="O801" i="2"/>
  <c r="R801" i="2" s="1"/>
  <c r="N801" i="2"/>
  <c r="Q801" i="2" s="1"/>
  <c r="M801" i="2"/>
  <c r="P801" i="2" s="1"/>
  <c r="S801" i="2" s="1"/>
  <c r="T801" i="2" s="1"/>
  <c r="O800" i="2"/>
  <c r="R800" i="2" s="1"/>
  <c r="N800" i="2"/>
  <c r="Q800" i="2" s="1"/>
  <c r="M800" i="2"/>
  <c r="P800" i="2" s="1"/>
  <c r="S800" i="2" s="1"/>
  <c r="T800" i="2" s="1"/>
  <c r="R799" i="2"/>
  <c r="Q799" i="2"/>
  <c r="O799" i="2"/>
  <c r="N799" i="2"/>
  <c r="M799" i="2"/>
  <c r="P799" i="2" s="1"/>
  <c r="O798" i="2"/>
  <c r="R798" i="2" s="1"/>
  <c r="N798" i="2"/>
  <c r="Q798" i="2" s="1"/>
  <c r="M798" i="2"/>
  <c r="P798" i="2" s="1"/>
  <c r="S798" i="2" s="1"/>
  <c r="T798" i="2" s="1"/>
  <c r="O797" i="2"/>
  <c r="R797" i="2" s="1"/>
  <c r="N797" i="2"/>
  <c r="Q797" i="2" s="1"/>
  <c r="M797" i="2"/>
  <c r="P797" i="2" s="1"/>
  <c r="R796" i="2"/>
  <c r="Q796" i="2"/>
  <c r="O796" i="2"/>
  <c r="N796" i="2"/>
  <c r="M796" i="2"/>
  <c r="P796" i="2" s="1"/>
  <c r="O795" i="2"/>
  <c r="R795" i="2" s="1"/>
  <c r="N795" i="2"/>
  <c r="Q795" i="2" s="1"/>
  <c r="M795" i="2"/>
  <c r="P795" i="2" s="1"/>
  <c r="S795" i="2" s="1"/>
  <c r="T795" i="2" s="1"/>
  <c r="O794" i="2"/>
  <c r="R794" i="2" s="1"/>
  <c r="N794" i="2"/>
  <c r="Q794" i="2" s="1"/>
  <c r="M794" i="2"/>
  <c r="P794" i="2" s="1"/>
  <c r="S794" i="2" s="1"/>
  <c r="T794" i="2" s="1"/>
  <c r="R793" i="2"/>
  <c r="Q793" i="2"/>
  <c r="O793" i="2"/>
  <c r="N793" i="2"/>
  <c r="M793" i="2"/>
  <c r="P793" i="2" s="1"/>
  <c r="O792" i="2"/>
  <c r="R792" i="2" s="1"/>
  <c r="N792" i="2"/>
  <c r="Q792" i="2" s="1"/>
  <c r="M792" i="2"/>
  <c r="P792" i="2" s="1"/>
  <c r="S792" i="2" s="1"/>
  <c r="T792" i="2" s="1"/>
  <c r="O791" i="2"/>
  <c r="R791" i="2" s="1"/>
  <c r="N791" i="2"/>
  <c r="Q791" i="2" s="1"/>
  <c r="M791" i="2"/>
  <c r="P791" i="2" s="1"/>
  <c r="S791" i="2" s="1"/>
  <c r="T791" i="2" s="1"/>
  <c r="R790" i="2"/>
  <c r="Q790" i="2"/>
  <c r="O790" i="2"/>
  <c r="N790" i="2"/>
  <c r="M790" i="2"/>
  <c r="P790" i="2" s="1"/>
  <c r="O789" i="2"/>
  <c r="R789" i="2" s="1"/>
  <c r="N789" i="2"/>
  <c r="Q789" i="2" s="1"/>
  <c r="M789" i="2"/>
  <c r="P789" i="2" s="1"/>
  <c r="O788" i="2"/>
  <c r="R788" i="2" s="1"/>
  <c r="N788" i="2"/>
  <c r="Q788" i="2" s="1"/>
  <c r="M788" i="2"/>
  <c r="P788" i="2" s="1"/>
  <c r="S788" i="2" s="1"/>
  <c r="T788" i="2" s="1"/>
  <c r="R787" i="2"/>
  <c r="Q787" i="2"/>
  <c r="O787" i="2"/>
  <c r="N787" i="2"/>
  <c r="M787" i="2"/>
  <c r="P787" i="2" s="1"/>
  <c r="O786" i="2"/>
  <c r="R786" i="2" s="1"/>
  <c r="N786" i="2"/>
  <c r="Q786" i="2" s="1"/>
  <c r="M786" i="2"/>
  <c r="P786" i="2" s="1"/>
  <c r="S786" i="2" s="1"/>
  <c r="T786" i="2" s="1"/>
  <c r="O785" i="2"/>
  <c r="R785" i="2" s="1"/>
  <c r="N785" i="2"/>
  <c r="Q785" i="2" s="1"/>
  <c r="M785" i="2"/>
  <c r="P785" i="2" s="1"/>
  <c r="S785" i="2" s="1"/>
  <c r="T785" i="2" s="1"/>
  <c r="R784" i="2"/>
  <c r="Q784" i="2"/>
  <c r="O784" i="2"/>
  <c r="N784" i="2"/>
  <c r="M784" i="2"/>
  <c r="P784" i="2" s="1"/>
  <c r="O783" i="2"/>
  <c r="R783" i="2" s="1"/>
  <c r="N783" i="2"/>
  <c r="Q783" i="2" s="1"/>
  <c r="M783" i="2"/>
  <c r="P783" i="2" s="1"/>
  <c r="S783" i="2" s="1"/>
  <c r="T783" i="2" s="1"/>
  <c r="O782" i="2"/>
  <c r="R782" i="2" s="1"/>
  <c r="N782" i="2"/>
  <c r="Q782" i="2" s="1"/>
  <c r="M782" i="2"/>
  <c r="P782" i="2" s="1"/>
  <c r="S782" i="2" s="1"/>
  <c r="T782" i="2" s="1"/>
  <c r="R781" i="2"/>
  <c r="Q781" i="2"/>
  <c r="O781" i="2"/>
  <c r="N781" i="2"/>
  <c r="M781" i="2"/>
  <c r="P781" i="2" s="1"/>
  <c r="O780" i="2"/>
  <c r="R780" i="2" s="1"/>
  <c r="N780" i="2"/>
  <c r="Q780" i="2" s="1"/>
  <c r="M780" i="2"/>
  <c r="P780" i="2" s="1"/>
  <c r="S780" i="2" s="1"/>
  <c r="T780" i="2" s="1"/>
  <c r="O779" i="2"/>
  <c r="R779" i="2" s="1"/>
  <c r="N779" i="2"/>
  <c r="Q779" i="2" s="1"/>
  <c r="M779" i="2"/>
  <c r="P779" i="2" s="1"/>
  <c r="R778" i="2"/>
  <c r="Q778" i="2"/>
  <c r="O778" i="2"/>
  <c r="N778" i="2"/>
  <c r="M778" i="2"/>
  <c r="P778" i="2" s="1"/>
  <c r="O777" i="2"/>
  <c r="R777" i="2" s="1"/>
  <c r="N777" i="2"/>
  <c r="Q777" i="2" s="1"/>
  <c r="M777" i="2"/>
  <c r="P777" i="2" s="1"/>
  <c r="S777" i="2" s="1"/>
  <c r="T777" i="2" s="1"/>
  <c r="O776" i="2"/>
  <c r="R776" i="2" s="1"/>
  <c r="N776" i="2"/>
  <c r="Q776" i="2" s="1"/>
  <c r="M776" i="2"/>
  <c r="P776" i="2" s="1"/>
  <c r="S776" i="2" s="1"/>
  <c r="T776" i="2" s="1"/>
  <c r="O775" i="2"/>
  <c r="R775" i="2" s="1"/>
  <c r="N775" i="2"/>
  <c r="Q775" i="2" s="1"/>
  <c r="M775" i="2"/>
  <c r="P775" i="2" s="1"/>
  <c r="O774" i="2"/>
  <c r="R774" i="2" s="1"/>
  <c r="N774" i="2"/>
  <c r="Q774" i="2" s="1"/>
  <c r="M774" i="2"/>
  <c r="P774" i="2" s="1"/>
  <c r="Q773" i="2"/>
  <c r="O773" i="2"/>
  <c r="R773" i="2" s="1"/>
  <c r="N773" i="2"/>
  <c r="M773" i="2"/>
  <c r="P773" i="2" s="1"/>
  <c r="S773" i="2" s="1"/>
  <c r="T773" i="2" s="1"/>
  <c r="R772" i="2"/>
  <c r="Q772" i="2"/>
  <c r="S772" i="2" s="1"/>
  <c r="T772" i="2" s="1"/>
  <c r="O772" i="2"/>
  <c r="N772" i="2"/>
  <c r="M772" i="2"/>
  <c r="P772" i="2" s="1"/>
  <c r="Q771" i="2"/>
  <c r="P771" i="2"/>
  <c r="S771" i="2" s="1"/>
  <c r="T771" i="2" s="1"/>
  <c r="O771" i="2"/>
  <c r="R771" i="2" s="1"/>
  <c r="N771" i="2"/>
  <c r="M771" i="2"/>
  <c r="Q770" i="2"/>
  <c r="O770" i="2"/>
  <c r="R770" i="2" s="1"/>
  <c r="N770" i="2"/>
  <c r="M770" i="2"/>
  <c r="P770" i="2" s="1"/>
  <c r="O769" i="2"/>
  <c r="R769" i="2" s="1"/>
  <c r="N769" i="2"/>
  <c r="Q769" i="2" s="1"/>
  <c r="M769" i="2"/>
  <c r="P769" i="2" s="1"/>
  <c r="Q768" i="2"/>
  <c r="O768" i="2"/>
  <c r="R768" i="2" s="1"/>
  <c r="N768" i="2"/>
  <c r="M768" i="2"/>
  <c r="P768" i="2" s="1"/>
  <c r="S768" i="2" s="1"/>
  <c r="T768" i="2" s="1"/>
  <c r="R767" i="2"/>
  <c r="Q767" i="2"/>
  <c r="O767" i="2"/>
  <c r="N767" i="2"/>
  <c r="M767" i="2"/>
  <c r="P767" i="2" s="1"/>
  <c r="O766" i="2"/>
  <c r="R766" i="2" s="1"/>
  <c r="N766" i="2"/>
  <c r="Q766" i="2" s="1"/>
  <c r="M766" i="2"/>
  <c r="P766" i="2" s="1"/>
  <c r="S766" i="2" s="1"/>
  <c r="T766" i="2" s="1"/>
  <c r="O765" i="2"/>
  <c r="R765" i="2" s="1"/>
  <c r="N765" i="2"/>
  <c r="Q765" i="2" s="1"/>
  <c r="M765" i="2"/>
  <c r="P765" i="2" s="1"/>
  <c r="S765" i="2" s="1"/>
  <c r="T765" i="2" s="1"/>
  <c r="R764" i="2"/>
  <c r="Q764" i="2"/>
  <c r="O764" i="2"/>
  <c r="N764" i="2"/>
  <c r="M764" i="2"/>
  <c r="P764" i="2" s="1"/>
  <c r="S764" i="2" s="1"/>
  <c r="T764" i="2" s="1"/>
  <c r="O763" i="2"/>
  <c r="R763" i="2" s="1"/>
  <c r="N763" i="2"/>
  <c r="Q763" i="2" s="1"/>
  <c r="M763" i="2"/>
  <c r="P763" i="2" s="1"/>
  <c r="O762" i="2"/>
  <c r="R762" i="2" s="1"/>
  <c r="N762" i="2"/>
  <c r="Q762" i="2" s="1"/>
  <c r="M762" i="2"/>
  <c r="P762" i="2" s="1"/>
  <c r="S762" i="2" s="1"/>
  <c r="T762" i="2" s="1"/>
  <c r="S845" i="2" l="1"/>
  <c r="T845" i="2" s="1"/>
  <c r="S912" i="2"/>
  <c r="T912" i="2" s="1"/>
  <c r="S935" i="2"/>
  <c r="T935" i="2" s="1"/>
  <c r="S948" i="2"/>
  <c r="T948" i="2" s="1"/>
  <c r="S956" i="2"/>
  <c r="T956" i="2" s="1"/>
  <c r="S969" i="2"/>
  <c r="T969" i="2" s="1"/>
  <c r="S987" i="2"/>
  <c r="T987" i="2" s="1"/>
  <c r="S1027" i="2"/>
  <c r="T1027" i="2" s="1"/>
  <c r="S1009" i="2"/>
  <c r="T1009" i="2" s="1"/>
  <c r="S813" i="2"/>
  <c r="T813" i="2" s="1"/>
  <c r="S847" i="2"/>
  <c r="T847" i="2" s="1"/>
  <c r="S918" i="2"/>
  <c r="T918" i="2" s="1"/>
  <c r="S926" i="2"/>
  <c r="T926" i="2" s="1"/>
  <c r="S933" i="2"/>
  <c r="T933" i="2" s="1"/>
  <c r="S941" i="2"/>
  <c r="T941" i="2" s="1"/>
  <c r="S954" i="2"/>
  <c r="T954" i="2" s="1"/>
  <c r="S962" i="2"/>
  <c r="T962" i="2" s="1"/>
  <c r="S981" i="2"/>
  <c r="T981" i="2" s="1"/>
  <c r="S868" i="2"/>
  <c r="T868" i="2" s="1"/>
  <c r="S911" i="2"/>
  <c r="T911" i="2" s="1"/>
  <c r="S924" i="2"/>
  <c r="T924" i="2" s="1"/>
  <c r="S932" i="2"/>
  <c r="T932" i="2" s="1"/>
  <c r="S939" i="2"/>
  <c r="T939" i="2" s="1"/>
  <c r="S947" i="2"/>
  <c r="T947" i="2" s="1"/>
  <c r="S960" i="2"/>
  <c r="T960" i="2" s="1"/>
  <c r="S968" i="2"/>
  <c r="T968" i="2" s="1"/>
  <c r="S975" i="2"/>
  <c r="T975" i="2" s="1"/>
  <c r="S986" i="2"/>
  <c r="T986" i="2" s="1"/>
  <c r="S779" i="2"/>
  <c r="T779" i="2" s="1"/>
  <c r="S789" i="2"/>
  <c r="T789" i="2" s="1"/>
  <c r="S797" i="2"/>
  <c r="T797" i="2" s="1"/>
  <c r="S807" i="2"/>
  <c r="T807" i="2" s="1"/>
  <c r="S815" i="2"/>
  <c r="T815" i="2" s="1"/>
  <c r="S823" i="2"/>
  <c r="T823" i="2" s="1"/>
  <c r="S844" i="2"/>
  <c r="T844" i="2" s="1"/>
  <c r="S886" i="2"/>
  <c r="T886" i="2" s="1"/>
  <c r="S909" i="2"/>
  <c r="T909" i="2" s="1"/>
  <c r="S917" i="2"/>
  <c r="T917" i="2" s="1"/>
  <c r="S930" i="2"/>
  <c r="T930" i="2" s="1"/>
  <c r="S938" i="2"/>
  <c r="T938" i="2" s="1"/>
  <c r="S945" i="2"/>
  <c r="T945" i="2" s="1"/>
  <c r="S953" i="2"/>
  <c r="T953" i="2" s="1"/>
  <c r="S966" i="2"/>
  <c r="T966" i="2" s="1"/>
  <c r="S1028" i="2"/>
  <c r="T1028" i="2" s="1"/>
  <c r="S826" i="2"/>
  <c r="T826" i="2" s="1"/>
  <c r="S1021" i="2"/>
  <c r="T1021" i="2" s="1"/>
  <c r="S1020" i="2"/>
  <c r="T1020" i="2" s="1"/>
  <c r="S1003" i="2"/>
  <c r="T1003" i="2" s="1"/>
  <c r="S1010" i="2"/>
  <c r="T1010" i="2" s="1"/>
  <c r="S767" i="2"/>
  <c r="T767" i="2" s="1"/>
  <c r="S778" i="2"/>
  <c r="T778" i="2" s="1"/>
  <c r="S781" i="2"/>
  <c r="T781" i="2" s="1"/>
  <c r="S784" i="2"/>
  <c r="T784" i="2" s="1"/>
  <c r="S787" i="2"/>
  <c r="T787" i="2" s="1"/>
  <c r="S790" i="2"/>
  <c r="T790" i="2" s="1"/>
  <c r="S793" i="2"/>
  <c r="T793" i="2" s="1"/>
  <c r="S796" i="2"/>
  <c r="T796" i="2" s="1"/>
  <c r="S799" i="2"/>
  <c r="T799" i="2" s="1"/>
  <c r="S802" i="2"/>
  <c r="T802" i="2" s="1"/>
  <c r="S805" i="2"/>
  <c r="T805" i="2" s="1"/>
  <c r="S808" i="2"/>
  <c r="T808" i="2" s="1"/>
  <c r="S811" i="2"/>
  <c r="T811" i="2" s="1"/>
  <c r="S814" i="2"/>
  <c r="T814" i="2" s="1"/>
  <c r="S817" i="2"/>
  <c r="T817" i="2" s="1"/>
  <c r="S821" i="2"/>
  <c r="T821" i="2" s="1"/>
  <c r="S824" i="2"/>
  <c r="T824" i="2" s="1"/>
  <c r="S842" i="2"/>
  <c r="T842" i="2" s="1"/>
  <c r="S889" i="2"/>
  <c r="T889" i="2" s="1"/>
  <c r="S971" i="2"/>
  <c r="T971" i="2" s="1"/>
  <c r="S989" i="2"/>
  <c r="T989" i="2" s="1"/>
  <c r="S1017" i="2"/>
  <c r="T1017" i="2" s="1"/>
  <c r="S999" i="2"/>
  <c r="T999" i="2" s="1"/>
  <c r="S770" i="2"/>
  <c r="T770" i="2" s="1"/>
  <c r="S775" i="2"/>
  <c r="T775" i="2" s="1"/>
  <c r="S820" i="2"/>
  <c r="T820" i="2" s="1"/>
  <c r="S841" i="2"/>
  <c r="T841" i="2" s="1"/>
  <c r="S854" i="2"/>
  <c r="T854" i="2" s="1"/>
  <c r="S866" i="2"/>
  <c r="T866" i="2" s="1"/>
  <c r="S974" i="2"/>
  <c r="T974" i="2" s="1"/>
  <c r="S1032" i="2"/>
  <c r="T1032" i="2" s="1"/>
  <c r="S1014" i="2"/>
  <c r="T1014" i="2" s="1"/>
  <c r="S996" i="2"/>
  <c r="T996" i="2" s="1"/>
  <c r="S1002" i="2"/>
  <c r="T1002" i="2" s="1"/>
  <c r="S997" i="2"/>
  <c r="T997" i="2" s="1"/>
  <c r="S827" i="2"/>
  <c r="T827" i="2" s="1"/>
  <c r="S862" i="2"/>
  <c r="T862" i="2" s="1"/>
  <c r="S874" i="2"/>
  <c r="T874" i="2" s="1"/>
  <c r="S887" i="2"/>
  <c r="T887" i="2" s="1"/>
  <c r="S896" i="2"/>
  <c r="T896" i="2" s="1"/>
  <c r="S977" i="2"/>
  <c r="T977" i="2" s="1"/>
  <c r="S1029" i="2"/>
  <c r="T1029" i="2" s="1"/>
  <c r="S1011" i="2"/>
  <c r="T1011" i="2" s="1"/>
  <c r="S993" i="2"/>
  <c r="T993" i="2" s="1"/>
  <c r="S992" i="2"/>
  <c r="T992" i="2" s="1"/>
  <c r="S1025" i="2"/>
  <c r="T1025" i="2" s="1"/>
  <c r="S1007" i="2"/>
  <c r="T1007" i="2" s="1"/>
  <c r="S1022" i="2"/>
  <c r="T1022" i="2" s="1"/>
  <c r="S1004" i="2"/>
  <c r="T1004" i="2" s="1"/>
  <c r="S1019" i="2"/>
  <c r="T1019" i="2" s="1"/>
  <c r="S1001" i="2"/>
  <c r="T1001" i="2" s="1"/>
  <c r="S1016" i="2"/>
  <c r="T1016" i="2" s="1"/>
  <c r="S998" i="2"/>
  <c r="T998" i="2" s="1"/>
  <c r="S1031" i="2"/>
  <c r="T1031" i="2" s="1"/>
  <c r="S1013" i="2"/>
  <c r="T1013" i="2" s="1"/>
  <c r="S995" i="2"/>
  <c r="T995" i="2" s="1"/>
  <c r="R1004" i="2"/>
  <c r="R992" i="2"/>
  <c r="S769" i="2"/>
  <c r="T769" i="2" s="1"/>
  <c r="S774" i="2"/>
  <c r="T774" i="2" s="1"/>
  <c r="S763" i="2"/>
  <c r="T763" i="2" s="1"/>
  <c r="S839" i="2"/>
  <c r="T839" i="2" s="1"/>
  <c r="S831" i="2"/>
  <c r="T831" i="2" s="1"/>
  <c r="S858" i="2"/>
  <c r="T858" i="2" s="1"/>
  <c r="S870" i="2"/>
  <c r="T870" i="2" s="1"/>
  <c r="S893" i="2"/>
  <c r="T893" i="2" s="1"/>
  <c r="S830" i="2"/>
  <c r="T830" i="2" s="1"/>
  <c r="S857" i="2"/>
  <c r="T857" i="2" s="1"/>
  <c r="S869" i="2"/>
  <c r="T869" i="2" s="1"/>
  <c r="S822" i="2"/>
  <c r="T822" i="2" s="1"/>
  <c r="S849" i="2"/>
  <c r="T849" i="2" s="1"/>
  <c r="S878" i="2"/>
  <c r="T878" i="2" s="1"/>
  <c r="S902" i="2"/>
  <c r="T902" i="2" s="1"/>
  <c r="S816" i="2"/>
  <c r="T816" i="2" s="1"/>
  <c r="S836" i="2"/>
  <c r="T836" i="2" s="1"/>
  <c r="S848" i="2"/>
  <c r="T848" i="2" s="1"/>
  <c r="S828" i="2"/>
  <c r="T828" i="2" s="1"/>
  <c r="S837" i="2"/>
  <c r="T837" i="2" s="1"/>
  <c r="S846" i="2"/>
  <c r="T846" i="2" s="1"/>
  <c r="S855" i="2"/>
  <c r="T855" i="2" s="1"/>
  <c r="S867" i="2"/>
  <c r="T867" i="2" s="1"/>
  <c r="S882" i="2"/>
  <c r="T882" i="2" s="1"/>
  <c r="S888" i="2"/>
  <c r="T888" i="2" s="1"/>
  <c r="S891" i="2"/>
  <c r="T891" i="2" s="1"/>
  <c r="S892" i="2"/>
  <c r="T892" i="2" s="1"/>
  <c r="S900" i="2"/>
  <c r="T900" i="2" s="1"/>
  <c r="S901" i="2"/>
  <c r="T901" i="2" s="1"/>
  <c r="S873" i="2"/>
  <c r="T873" i="2" s="1"/>
  <c r="S879" i="2"/>
  <c r="T879" i="2" s="1"/>
  <c r="S885" i="2"/>
  <c r="T885" i="2" s="1"/>
  <c r="S825" i="2"/>
  <c r="T825" i="2" s="1"/>
  <c r="S834" i="2"/>
  <c r="T834" i="2" s="1"/>
  <c r="S843" i="2"/>
  <c r="T843" i="2" s="1"/>
  <c r="S852" i="2"/>
  <c r="T852" i="2" s="1"/>
  <c r="S864" i="2"/>
  <c r="T864" i="2" s="1"/>
  <c r="S876" i="2"/>
  <c r="T876" i="2" s="1"/>
  <c r="S894" i="2"/>
  <c r="T894" i="2" s="1"/>
  <c r="S895" i="2"/>
  <c r="T895" i="2" s="1"/>
  <c r="S903" i="2"/>
  <c r="T903" i="2" s="1"/>
  <c r="S904" i="2"/>
  <c r="T904" i="2" s="1"/>
  <c r="S906" i="2"/>
  <c r="T906" i="2" s="1"/>
  <c r="S973" i="2"/>
  <c r="T973" i="2" s="1"/>
  <c r="S979" i="2"/>
  <c r="T979" i="2" s="1"/>
  <c r="S985" i="2"/>
  <c r="T985" i="2" s="1"/>
  <c r="S970" i="2"/>
  <c r="T970" i="2" s="1"/>
  <c r="S976" i="2"/>
  <c r="T976" i="2" s="1"/>
  <c r="S982" i="2"/>
  <c r="T982" i="2" s="1"/>
  <c r="S988" i="2"/>
  <c r="T988" i="2" s="1"/>
  <c r="S910" i="2"/>
  <c r="T910" i="2" s="1"/>
  <c r="S913" i="2"/>
  <c r="T913" i="2" s="1"/>
  <c r="S916" i="2"/>
  <c r="T916" i="2" s="1"/>
  <c r="S919" i="2"/>
  <c r="T919" i="2" s="1"/>
  <c r="S922" i="2"/>
  <c r="T922" i="2" s="1"/>
  <c r="S925" i="2"/>
  <c r="T925" i="2" s="1"/>
  <c r="S928" i="2"/>
  <c r="T928" i="2" s="1"/>
  <c r="S931" i="2"/>
  <c r="T931" i="2" s="1"/>
  <c r="S934" i="2"/>
  <c r="T934" i="2" s="1"/>
  <c r="S937" i="2"/>
  <c r="T937" i="2" s="1"/>
  <c r="S940" i="2"/>
  <c r="T940" i="2" s="1"/>
  <c r="S943" i="2"/>
  <c r="T943" i="2" s="1"/>
  <c r="S946" i="2"/>
  <c r="T946" i="2" s="1"/>
  <c r="S949" i="2"/>
  <c r="T949" i="2" s="1"/>
  <c r="S952" i="2"/>
  <c r="T952" i="2" s="1"/>
  <c r="S955" i="2"/>
  <c r="T955" i="2" s="1"/>
  <c r="S958" i="2"/>
  <c r="T958" i="2" s="1"/>
  <c r="S961" i="2"/>
  <c r="T961" i="2" s="1"/>
  <c r="S964" i="2"/>
  <c r="T964" i="2" s="1"/>
  <c r="S967" i="2"/>
  <c r="T967" i="2" s="1"/>
  <c r="S972" i="2"/>
  <c r="T972" i="2" s="1"/>
  <c r="S978" i="2"/>
  <c r="T978" i="2" s="1"/>
  <c r="S984" i="2"/>
  <c r="T984" i="2" s="1"/>
  <c r="AC8" i="2" l="1"/>
  <c r="AC9" i="2"/>
  <c r="AC10" i="2"/>
  <c r="AC11" i="2"/>
  <c r="AC12" i="2"/>
  <c r="AC13" i="2"/>
  <c r="AC14" i="2"/>
  <c r="AC15" i="2"/>
  <c r="AC16" i="2"/>
  <c r="AC7" i="2"/>
  <c r="O761" i="2" l="1"/>
  <c r="R761" i="2" s="1"/>
  <c r="N761" i="2"/>
  <c r="Q761" i="2" s="1"/>
  <c r="M761" i="2"/>
  <c r="P761" i="2" s="1"/>
  <c r="S761" i="2" s="1"/>
  <c r="T761" i="2" s="1"/>
  <c r="O760" i="2"/>
  <c r="R760" i="2" s="1"/>
  <c r="N760" i="2"/>
  <c r="Q760" i="2" s="1"/>
  <c r="M760" i="2"/>
  <c r="P760" i="2" s="1"/>
  <c r="O759" i="2"/>
  <c r="R759" i="2" s="1"/>
  <c r="N759" i="2"/>
  <c r="Q759" i="2" s="1"/>
  <c r="M759" i="2"/>
  <c r="P759" i="2" s="1"/>
  <c r="Q758" i="2"/>
  <c r="O758" i="2"/>
  <c r="R758" i="2" s="1"/>
  <c r="N758" i="2"/>
  <c r="M758" i="2"/>
  <c r="P758" i="2" s="1"/>
  <c r="O757" i="2"/>
  <c r="R757" i="2" s="1"/>
  <c r="N757" i="2"/>
  <c r="Q757" i="2" s="1"/>
  <c r="M757" i="2"/>
  <c r="P757" i="2" s="1"/>
  <c r="S757" i="2" s="1"/>
  <c r="T757" i="2" s="1"/>
  <c r="O756" i="2"/>
  <c r="R756" i="2" s="1"/>
  <c r="N756" i="2"/>
  <c r="Q756" i="2" s="1"/>
  <c r="M756" i="2"/>
  <c r="P756" i="2" s="1"/>
  <c r="S756" i="2" s="1"/>
  <c r="T756" i="2" s="1"/>
  <c r="R755" i="2"/>
  <c r="O755" i="2"/>
  <c r="N755" i="2"/>
  <c r="Q755" i="2" s="1"/>
  <c r="M755" i="2"/>
  <c r="P755" i="2" s="1"/>
  <c r="R754" i="2"/>
  <c r="O754" i="2"/>
  <c r="N754" i="2"/>
  <c r="Q754" i="2" s="1"/>
  <c r="M754" i="2"/>
  <c r="P754" i="2" s="1"/>
  <c r="P753" i="2"/>
  <c r="O753" i="2"/>
  <c r="R753" i="2" s="1"/>
  <c r="N753" i="2"/>
  <c r="Q753" i="2" s="1"/>
  <c r="M753" i="2"/>
  <c r="P752" i="2"/>
  <c r="O752" i="2"/>
  <c r="R752" i="2" s="1"/>
  <c r="N752" i="2"/>
  <c r="Q752" i="2" s="1"/>
  <c r="M752" i="2"/>
  <c r="O751" i="2"/>
  <c r="R751" i="2" s="1"/>
  <c r="N751" i="2"/>
  <c r="Q751" i="2" s="1"/>
  <c r="M751" i="2"/>
  <c r="P751" i="2" s="1"/>
  <c r="O750" i="2"/>
  <c r="R750" i="2" s="1"/>
  <c r="N750" i="2"/>
  <c r="Q750" i="2" s="1"/>
  <c r="M750" i="2"/>
  <c r="P750" i="2" s="1"/>
  <c r="R749" i="2"/>
  <c r="Q749" i="2"/>
  <c r="O749" i="2"/>
  <c r="N749" i="2"/>
  <c r="M749" i="2"/>
  <c r="P749" i="2" s="1"/>
  <c r="S748" i="2"/>
  <c r="T748" i="2" s="1"/>
  <c r="O748" i="2"/>
  <c r="R748" i="2" s="1"/>
  <c r="N748" i="2"/>
  <c r="Q748" i="2" s="1"/>
  <c r="M748" i="2"/>
  <c r="P748" i="2" s="1"/>
  <c r="O747" i="2"/>
  <c r="R747" i="2" s="1"/>
  <c r="N747" i="2"/>
  <c r="Q747" i="2" s="1"/>
  <c r="M747" i="2"/>
  <c r="P747" i="2" s="1"/>
  <c r="S747" i="2" s="1"/>
  <c r="T747" i="2" s="1"/>
  <c r="O746" i="2"/>
  <c r="R746" i="2" s="1"/>
  <c r="N746" i="2"/>
  <c r="Q746" i="2" s="1"/>
  <c r="M746" i="2"/>
  <c r="P746" i="2" s="1"/>
  <c r="O745" i="2"/>
  <c r="R745" i="2" s="1"/>
  <c r="N745" i="2"/>
  <c r="Q745" i="2" s="1"/>
  <c r="M745" i="2"/>
  <c r="P745" i="2" s="1"/>
  <c r="S745" i="2" s="1"/>
  <c r="T745" i="2" s="1"/>
  <c r="P744" i="2"/>
  <c r="O744" i="2"/>
  <c r="R744" i="2" s="1"/>
  <c r="N744" i="2"/>
  <c r="Q744" i="2" s="1"/>
  <c r="M744" i="2"/>
  <c r="R743" i="2"/>
  <c r="Q743" i="2"/>
  <c r="P743" i="2"/>
  <c r="S743" i="2" s="1"/>
  <c r="T743" i="2" s="1"/>
  <c r="O743" i="2"/>
  <c r="N743" i="2"/>
  <c r="M743" i="2"/>
  <c r="R742" i="2"/>
  <c r="O742" i="2"/>
  <c r="N742" i="2"/>
  <c r="Q742" i="2" s="1"/>
  <c r="M742" i="2"/>
  <c r="P742" i="2" s="1"/>
  <c r="O741" i="2"/>
  <c r="R741" i="2" s="1"/>
  <c r="N741" i="2"/>
  <c r="Q741" i="2" s="1"/>
  <c r="M741" i="2"/>
  <c r="P741" i="2" s="1"/>
  <c r="R740" i="2"/>
  <c r="O740" i="2"/>
  <c r="N740" i="2"/>
  <c r="Q740" i="2" s="1"/>
  <c r="M740" i="2"/>
  <c r="P740" i="2" s="1"/>
  <c r="R739" i="2"/>
  <c r="O739" i="2"/>
  <c r="N739" i="2"/>
  <c r="Q739" i="2" s="1"/>
  <c r="M739" i="2"/>
  <c r="P739" i="2" s="1"/>
  <c r="P738" i="2"/>
  <c r="O738" i="2"/>
  <c r="R738" i="2" s="1"/>
  <c r="N738" i="2"/>
  <c r="Q738" i="2" s="1"/>
  <c r="M738" i="2"/>
  <c r="P737" i="2"/>
  <c r="O737" i="2"/>
  <c r="R737" i="2" s="1"/>
  <c r="N737" i="2"/>
  <c r="Q737" i="2" s="1"/>
  <c r="M737" i="2"/>
  <c r="O736" i="2"/>
  <c r="R736" i="2" s="1"/>
  <c r="N736" i="2"/>
  <c r="Q736" i="2" s="1"/>
  <c r="S736" i="2" s="1"/>
  <c r="T736" i="2" s="1"/>
  <c r="M736" i="2"/>
  <c r="P736" i="2" s="1"/>
  <c r="P735" i="2"/>
  <c r="O735" i="2"/>
  <c r="R735" i="2" s="1"/>
  <c r="N735" i="2"/>
  <c r="Q735" i="2" s="1"/>
  <c r="M735" i="2"/>
  <c r="R734" i="2"/>
  <c r="Q734" i="2"/>
  <c r="P734" i="2"/>
  <c r="O734" i="2"/>
  <c r="N734" i="2"/>
  <c r="M734" i="2"/>
  <c r="R733" i="2"/>
  <c r="O733" i="2"/>
  <c r="N733" i="2"/>
  <c r="Q733" i="2" s="1"/>
  <c r="M733" i="2"/>
  <c r="P733" i="2" s="1"/>
  <c r="O732" i="2"/>
  <c r="R732" i="2" s="1"/>
  <c r="N732" i="2"/>
  <c r="Q732" i="2" s="1"/>
  <c r="M732" i="2"/>
  <c r="P732" i="2" s="1"/>
  <c r="R731" i="2"/>
  <c r="O731" i="2"/>
  <c r="N731" i="2"/>
  <c r="Q731" i="2" s="1"/>
  <c r="M731" i="2"/>
  <c r="P731" i="2" s="1"/>
  <c r="R730" i="2"/>
  <c r="O730" i="2"/>
  <c r="N730" i="2"/>
  <c r="Q730" i="2" s="1"/>
  <c r="M730" i="2"/>
  <c r="P730" i="2" s="1"/>
  <c r="S730" i="2" s="1"/>
  <c r="T730" i="2" s="1"/>
  <c r="P729" i="2"/>
  <c r="S729" i="2" s="1"/>
  <c r="T729" i="2" s="1"/>
  <c r="O729" i="2"/>
  <c r="R729" i="2" s="1"/>
  <c r="N729" i="2"/>
  <c r="Q729" i="2" s="1"/>
  <c r="M729" i="2"/>
  <c r="P728" i="2"/>
  <c r="O728" i="2"/>
  <c r="R728" i="2" s="1"/>
  <c r="N728" i="2"/>
  <c r="Q728" i="2" s="1"/>
  <c r="M728" i="2"/>
  <c r="O727" i="2"/>
  <c r="R727" i="2" s="1"/>
  <c r="N727" i="2"/>
  <c r="Q727" i="2" s="1"/>
  <c r="M727" i="2"/>
  <c r="P727" i="2" s="1"/>
  <c r="S727" i="2" s="1"/>
  <c r="T727" i="2" s="1"/>
  <c r="O726" i="2"/>
  <c r="R726" i="2" s="1"/>
  <c r="N726" i="2"/>
  <c r="Q726" i="2" s="1"/>
  <c r="M726" i="2"/>
  <c r="P726" i="2" s="1"/>
  <c r="S726" i="2" s="1"/>
  <c r="T726" i="2" s="1"/>
  <c r="R725" i="2"/>
  <c r="O725" i="2"/>
  <c r="N725" i="2"/>
  <c r="Q725" i="2" s="1"/>
  <c r="M725" i="2"/>
  <c r="P725" i="2" s="1"/>
  <c r="R724" i="2"/>
  <c r="O724" i="2"/>
  <c r="N724" i="2"/>
  <c r="Q724" i="2" s="1"/>
  <c r="M724" i="2"/>
  <c r="P724" i="2" s="1"/>
  <c r="O723" i="2"/>
  <c r="R723" i="2" s="1"/>
  <c r="N723" i="2"/>
  <c r="Q723" i="2" s="1"/>
  <c r="M723" i="2"/>
  <c r="P723" i="2" s="1"/>
  <c r="O722" i="2"/>
  <c r="R722" i="2" s="1"/>
  <c r="N722" i="2"/>
  <c r="Q722" i="2" s="1"/>
  <c r="M722" i="2"/>
  <c r="P722" i="2" s="1"/>
  <c r="R721" i="2"/>
  <c r="O721" i="2"/>
  <c r="N721" i="2"/>
  <c r="Q721" i="2" s="1"/>
  <c r="M721" i="2"/>
  <c r="P721" i="2" s="1"/>
  <c r="S721" i="2" s="1"/>
  <c r="T721" i="2" s="1"/>
  <c r="O720" i="2"/>
  <c r="R720" i="2" s="1"/>
  <c r="N720" i="2"/>
  <c r="Q720" i="2" s="1"/>
  <c r="M720" i="2"/>
  <c r="P720" i="2" s="1"/>
  <c r="S720" i="2" s="1"/>
  <c r="T720" i="2" s="1"/>
  <c r="R719" i="2"/>
  <c r="Q719" i="2"/>
  <c r="O719" i="2"/>
  <c r="N719" i="2"/>
  <c r="M719" i="2"/>
  <c r="P719" i="2" s="1"/>
  <c r="R718" i="2"/>
  <c r="O718" i="2"/>
  <c r="N718" i="2"/>
  <c r="Q718" i="2" s="1"/>
  <c r="S718" i="2" s="1"/>
  <c r="T718" i="2" s="1"/>
  <c r="M718" i="2"/>
  <c r="P718" i="2" s="1"/>
  <c r="O717" i="2"/>
  <c r="R717" i="2" s="1"/>
  <c r="N717" i="2"/>
  <c r="Q717" i="2" s="1"/>
  <c r="M717" i="2"/>
  <c r="P717" i="2" s="1"/>
  <c r="S717" i="2" s="1"/>
  <c r="T717" i="2" s="1"/>
  <c r="O716" i="2"/>
  <c r="R716" i="2" s="1"/>
  <c r="N716" i="2"/>
  <c r="Q716" i="2" s="1"/>
  <c r="M716" i="2"/>
  <c r="P716" i="2" s="1"/>
  <c r="O715" i="2"/>
  <c r="R715" i="2" s="1"/>
  <c r="N715" i="2"/>
  <c r="Q715" i="2" s="1"/>
  <c r="M715" i="2"/>
  <c r="P715" i="2" s="1"/>
  <c r="S715" i="2" s="1"/>
  <c r="T715" i="2" s="1"/>
  <c r="P714" i="2"/>
  <c r="O714" i="2"/>
  <c r="R714" i="2" s="1"/>
  <c r="N714" i="2"/>
  <c r="Q714" i="2" s="1"/>
  <c r="M714" i="2"/>
  <c r="Q713" i="2"/>
  <c r="P713" i="2"/>
  <c r="O713" i="2"/>
  <c r="R713" i="2" s="1"/>
  <c r="N713" i="2"/>
  <c r="M713" i="2"/>
  <c r="R712" i="2"/>
  <c r="O712" i="2"/>
  <c r="N712" i="2"/>
  <c r="Q712" i="2" s="1"/>
  <c r="M712" i="2"/>
  <c r="P712" i="2" s="1"/>
  <c r="S712" i="2" s="1"/>
  <c r="T712" i="2" s="1"/>
  <c r="O711" i="2"/>
  <c r="R711" i="2" s="1"/>
  <c r="N711" i="2"/>
  <c r="Q711" i="2" s="1"/>
  <c r="M711" i="2"/>
  <c r="P711" i="2" s="1"/>
  <c r="S711" i="2" s="1"/>
  <c r="T711" i="2" s="1"/>
  <c r="R710" i="2"/>
  <c r="O710" i="2"/>
  <c r="N710" i="2"/>
  <c r="Q710" i="2" s="1"/>
  <c r="M710" i="2"/>
  <c r="P710" i="2" s="1"/>
  <c r="S710" i="2" s="1"/>
  <c r="T710" i="2" s="1"/>
  <c r="O709" i="2"/>
  <c r="R709" i="2" s="1"/>
  <c r="N709" i="2"/>
  <c r="Q709" i="2" s="1"/>
  <c r="M709" i="2"/>
  <c r="P709" i="2" s="1"/>
  <c r="S709" i="2" s="1"/>
  <c r="T709" i="2" s="1"/>
  <c r="P708" i="2"/>
  <c r="O708" i="2"/>
  <c r="R708" i="2" s="1"/>
  <c r="N708" i="2"/>
  <c r="Q708" i="2" s="1"/>
  <c r="M708" i="2"/>
  <c r="Q707" i="2"/>
  <c r="P707" i="2"/>
  <c r="O707" i="2"/>
  <c r="R707" i="2" s="1"/>
  <c r="N707" i="2"/>
  <c r="M707" i="2"/>
  <c r="O706" i="2"/>
  <c r="R706" i="2" s="1"/>
  <c r="N706" i="2"/>
  <c r="Q706" i="2" s="1"/>
  <c r="M706" i="2"/>
  <c r="P706" i="2" s="1"/>
  <c r="O705" i="2"/>
  <c r="R705" i="2" s="1"/>
  <c r="N705" i="2"/>
  <c r="Q705" i="2" s="1"/>
  <c r="M705" i="2"/>
  <c r="P705" i="2" s="1"/>
  <c r="R704" i="2"/>
  <c r="Q704" i="2"/>
  <c r="O704" i="2"/>
  <c r="N704" i="2"/>
  <c r="M704" i="2"/>
  <c r="P704" i="2" s="1"/>
  <c r="O703" i="2"/>
  <c r="R703" i="2" s="1"/>
  <c r="N703" i="2"/>
  <c r="Q703" i="2" s="1"/>
  <c r="M703" i="2"/>
  <c r="P703" i="2" s="1"/>
  <c r="S703" i="2" s="1"/>
  <c r="T703" i="2" s="1"/>
  <c r="P702" i="2"/>
  <c r="S702" i="2" s="1"/>
  <c r="T702" i="2" s="1"/>
  <c r="O702" i="2"/>
  <c r="R702" i="2" s="1"/>
  <c r="N702" i="2"/>
  <c r="Q702" i="2" s="1"/>
  <c r="M702" i="2"/>
  <c r="P701" i="2"/>
  <c r="O701" i="2"/>
  <c r="R701" i="2" s="1"/>
  <c r="N701" i="2"/>
  <c r="Q701" i="2" s="1"/>
  <c r="M701" i="2"/>
  <c r="R700" i="2"/>
  <c r="O700" i="2"/>
  <c r="N700" i="2"/>
  <c r="Q700" i="2" s="1"/>
  <c r="S700" i="2" s="1"/>
  <c r="T700" i="2" s="1"/>
  <c r="M700" i="2"/>
  <c r="P700" i="2" s="1"/>
  <c r="O699" i="2"/>
  <c r="R699" i="2" s="1"/>
  <c r="N699" i="2"/>
  <c r="Q699" i="2" s="1"/>
  <c r="M699" i="2"/>
  <c r="P699" i="2" s="1"/>
  <c r="P698" i="2"/>
  <c r="O698" i="2"/>
  <c r="R698" i="2" s="1"/>
  <c r="N698" i="2"/>
  <c r="Q698" i="2" s="1"/>
  <c r="M698" i="2"/>
  <c r="R697" i="2"/>
  <c r="O697" i="2"/>
  <c r="N697" i="2"/>
  <c r="Q697" i="2" s="1"/>
  <c r="M697" i="2"/>
  <c r="P697" i="2" s="1"/>
  <c r="O696" i="2"/>
  <c r="R696" i="2" s="1"/>
  <c r="N696" i="2"/>
  <c r="Q696" i="2" s="1"/>
  <c r="M696" i="2"/>
  <c r="P696" i="2" s="1"/>
  <c r="P695" i="2"/>
  <c r="O695" i="2"/>
  <c r="R695" i="2" s="1"/>
  <c r="N695" i="2"/>
  <c r="Q695" i="2" s="1"/>
  <c r="M695" i="2"/>
  <c r="R694" i="2"/>
  <c r="O694" i="2"/>
  <c r="N694" i="2"/>
  <c r="Q694" i="2" s="1"/>
  <c r="M694" i="2"/>
  <c r="P694" i="2" s="1"/>
  <c r="S694" i="2" s="1"/>
  <c r="T694" i="2" s="1"/>
  <c r="O693" i="2"/>
  <c r="R693" i="2" s="1"/>
  <c r="N693" i="2"/>
  <c r="Q693" i="2" s="1"/>
  <c r="M693" i="2"/>
  <c r="P693" i="2" s="1"/>
  <c r="P692" i="2"/>
  <c r="O692" i="2"/>
  <c r="R692" i="2" s="1"/>
  <c r="N692" i="2"/>
  <c r="Q692" i="2" s="1"/>
  <c r="M692" i="2"/>
  <c r="O691" i="2"/>
  <c r="R691" i="2" s="1"/>
  <c r="N691" i="2"/>
  <c r="Q691" i="2" s="1"/>
  <c r="M691" i="2"/>
  <c r="P691" i="2" s="1"/>
  <c r="S691" i="2" s="1"/>
  <c r="T691" i="2" s="1"/>
  <c r="O690" i="2"/>
  <c r="R690" i="2" s="1"/>
  <c r="N690" i="2"/>
  <c r="Q690" i="2" s="1"/>
  <c r="M690" i="2"/>
  <c r="P690" i="2" s="1"/>
  <c r="S690" i="2" s="1"/>
  <c r="T690" i="2" s="1"/>
  <c r="Q689" i="2"/>
  <c r="P689" i="2"/>
  <c r="O689" i="2"/>
  <c r="R689" i="2" s="1"/>
  <c r="N689" i="2"/>
  <c r="M689" i="2"/>
  <c r="O688" i="2"/>
  <c r="R688" i="2" s="1"/>
  <c r="N688" i="2"/>
  <c r="Q688" i="2" s="1"/>
  <c r="M688" i="2"/>
  <c r="P688" i="2" s="1"/>
  <c r="S688" i="2" s="1"/>
  <c r="T688" i="2" s="1"/>
  <c r="O687" i="2"/>
  <c r="R687" i="2" s="1"/>
  <c r="N687" i="2"/>
  <c r="Q687" i="2" s="1"/>
  <c r="M687" i="2"/>
  <c r="P687" i="2" s="1"/>
  <c r="Q686" i="2"/>
  <c r="O686" i="2"/>
  <c r="R686" i="2" s="1"/>
  <c r="N686" i="2"/>
  <c r="M686" i="2"/>
  <c r="P686" i="2" s="1"/>
  <c r="S686" i="2" s="1"/>
  <c r="T686" i="2" s="1"/>
  <c r="O685" i="2"/>
  <c r="R685" i="2" s="1"/>
  <c r="N685" i="2"/>
  <c r="Q685" i="2" s="1"/>
  <c r="M685" i="2"/>
  <c r="P685" i="2" s="1"/>
  <c r="O684" i="2"/>
  <c r="R684" i="2" s="1"/>
  <c r="N684" i="2"/>
  <c r="Q684" i="2" s="1"/>
  <c r="M684" i="2"/>
  <c r="P684" i="2" s="1"/>
  <c r="O683" i="2"/>
  <c r="R683" i="2" s="1"/>
  <c r="N683" i="2"/>
  <c r="Q683" i="2" s="1"/>
  <c r="M683" i="2"/>
  <c r="P683" i="2" s="1"/>
  <c r="O682" i="2"/>
  <c r="R682" i="2" s="1"/>
  <c r="N682" i="2"/>
  <c r="Q682" i="2" s="1"/>
  <c r="M682" i="2"/>
  <c r="P682" i="2" s="1"/>
  <c r="S682" i="2" s="1"/>
  <c r="T682" i="2" s="1"/>
  <c r="O681" i="2"/>
  <c r="R681" i="2" s="1"/>
  <c r="N681" i="2"/>
  <c r="Q681" i="2" s="1"/>
  <c r="M681" i="2"/>
  <c r="P681" i="2" s="1"/>
  <c r="S681" i="2" s="1"/>
  <c r="T681" i="2" s="1"/>
  <c r="O680" i="2"/>
  <c r="R680" i="2" s="1"/>
  <c r="N680" i="2"/>
  <c r="Q680" i="2" s="1"/>
  <c r="M680" i="2"/>
  <c r="P680" i="2" s="1"/>
  <c r="S680" i="2" s="1"/>
  <c r="T680" i="2" s="1"/>
  <c r="O679" i="2"/>
  <c r="R679" i="2" s="1"/>
  <c r="N679" i="2"/>
  <c r="Q679" i="2" s="1"/>
  <c r="M679" i="2"/>
  <c r="P679" i="2" s="1"/>
  <c r="O678" i="2"/>
  <c r="R678" i="2" s="1"/>
  <c r="N678" i="2"/>
  <c r="Q678" i="2" s="1"/>
  <c r="M678" i="2"/>
  <c r="P678" i="2" s="1"/>
  <c r="S678" i="2" s="1"/>
  <c r="T678" i="2" s="1"/>
  <c r="O677" i="2"/>
  <c r="R677" i="2" s="1"/>
  <c r="N677" i="2"/>
  <c r="Q677" i="2" s="1"/>
  <c r="M677" i="2"/>
  <c r="P677" i="2" s="1"/>
  <c r="O676" i="2"/>
  <c r="R676" i="2" s="1"/>
  <c r="N676" i="2"/>
  <c r="Q676" i="2" s="1"/>
  <c r="M676" i="2"/>
  <c r="P676" i="2" s="1"/>
  <c r="S676" i="2" s="1"/>
  <c r="T676" i="2" s="1"/>
  <c r="O675" i="2"/>
  <c r="R675" i="2" s="1"/>
  <c r="N675" i="2"/>
  <c r="Q675" i="2" s="1"/>
  <c r="M675" i="2"/>
  <c r="P675" i="2" s="1"/>
  <c r="O674" i="2"/>
  <c r="R674" i="2" s="1"/>
  <c r="N674" i="2"/>
  <c r="Q674" i="2" s="1"/>
  <c r="M674" i="2"/>
  <c r="P674" i="2" s="1"/>
  <c r="Q673" i="2"/>
  <c r="O673" i="2"/>
  <c r="R673" i="2" s="1"/>
  <c r="N673" i="2"/>
  <c r="M673" i="2"/>
  <c r="P673" i="2" s="1"/>
  <c r="S673" i="2" s="1"/>
  <c r="T673" i="2" s="1"/>
  <c r="Q672" i="2"/>
  <c r="O672" i="2"/>
  <c r="R672" i="2" s="1"/>
  <c r="N672" i="2"/>
  <c r="M672" i="2"/>
  <c r="P672" i="2" s="1"/>
  <c r="S672" i="2" s="1"/>
  <c r="T672" i="2" s="1"/>
  <c r="O671" i="2"/>
  <c r="R671" i="2" s="1"/>
  <c r="N671" i="2"/>
  <c r="Q671" i="2" s="1"/>
  <c r="M671" i="2"/>
  <c r="P671" i="2" s="1"/>
  <c r="R670" i="2"/>
  <c r="O670" i="2"/>
  <c r="N670" i="2"/>
  <c r="Q670" i="2" s="1"/>
  <c r="M670" i="2"/>
  <c r="P670" i="2" s="1"/>
  <c r="O669" i="2"/>
  <c r="R669" i="2" s="1"/>
  <c r="N669" i="2"/>
  <c r="Q669" i="2" s="1"/>
  <c r="M669" i="2"/>
  <c r="P669" i="2" s="1"/>
  <c r="O668" i="2"/>
  <c r="R668" i="2" s="1"/>
  <c r="N668" i="2"/>
  <c r="Q668" i="2" s="1"/>
  <c r="M668" i="2"/>
  <c r="P668" i="2" s="1"/>
  <c r="Q667" i="2"/>
  <c r="O667" i="2"/>
  <c r="R667" i="2" s="1"/>
  <c r="N667" i="2"/>
  <c r="M667" i="2"/>
  <c r="P667" i="2" s="1"/>
  <c r="S667" i="2" s="1"/>
  <c r="T667" i="2" s="1"/>
  <c r="O666" i="2"/>
  <c r="R666" i="2" s="1"/>
  <c r="N666" i="2"/>
  <c r="Q666" i="2" s="1"/>
  <c r="M666" i="2"/>
  <c r="P666" i="2" s="1"/>
  <c r="S666" i="2" s="1"/>
  <c r="T666" i="2" s="1"/>
  <c r="O665" i="2"/>
  <c r="R665" i="2" s="1"/>
  <c r="N665" i="2"/>
  <c r="Q665" i="2" s="1"/>
  <c r="M665" i="2"/>
  <c r="P665" i="2" s="1"/>
  <c r="R664" i="2"/>
  <c r="O664" i="2"/>
  <c r="N664" i="2"/>
  <c r="Q664" i="2" s="1"/>
  <c r="M664" i="2"/>
  <c r="P664" i="2" s="1"/>
  <c r="O663" i="2"/>
  <c r="R663" i="2" s="1"/>
  <c r="N663" i="2"/>
  <c r="Q663" i="2" s="1"/>
  <c r="M663" i="2"/>
  <c r="P663" i="2" s="1"/>
  <c r="P662" i="2"/>
  <c r="O662" i="2"/>
  <c r="R662" i="2" s="1"/>
  <c r="N662" i="2"/>
  <c r="Q662" i="2" s="1"/>
  <c r="M662" i="2"/>
  <c r="O661" i="2"/>
  <c r="R661" i="2" s="1"/>
  <c r="N661" i="2"/>
  <c r="Q661" i="2" s="1"/>
  <c r="M661" i="2"/>
  <c r="P661" i="2" s="1"/>
  <c r="O660" i="2"/>
  <c r="R660" i="2" s="1"/>
  <c r="N660" i="2"/>
  <c r="Q660" i="2" s="1"/>
  <c r="M660" i="2"/>
  <c r="P660" i="2" s="1"/>
  <c r="S660" i="2" s="1"/>
  <c r="T660" i="2" s="1"/>
  <c r="O659" i="2"/>
  <c r="R659" i="2" s="1"/>
  <c r="N659" i="2"/>
  <c r="Q659" i="2" s="1"/>
  <c r="M659" i="2"/>
  <c r="P659" i="2" s="1"/>
  <c r="R658" i="2"/>
  <c r="O658" i="2"/>
  <c r="N658" i="2"/>
  <c r="Q658" i="2" s="1"/>
  <c r="M658" i="2"/>
  <c r="P658" i="2" s="1"/>
  <c r="O657" i="2"/>
  <c r="R657" i="2" s="1"/>
  <c r="N657" i="2"/>
  <c r="Q657" i="2" s="1"/>
  <c r="M657" i="2"/>
  <c r="P657" i="2" s="1"/>
  <c r="P656" i="2"/>
  <c r="O656" i="2"/>
  <c r="R656" i="2" s="1"/>
  <c r="N656" i="2"/>
  <c r="Q656" i="2" s="1"/>
  <c r="M656" i="2"/>
  <c r="O655" i="2"/>
  <c r="R655" i="2" s="1"/>
  <c r="N655" i="2"/>
  <c r="Q655" i="2" s="1"/>
  <c r="M655" i="2"/>
  <c r="P655" i="2" s="1"/>
  <c r="O654" i="2"/>
  <c r="R654" i="2" s="1"/>
  <c r="N654" i="2"/>
  <c r="Q654" i="2" s="1"/>
  <c r="M654" i="2"/>
  <c r="P654" i="2" s="1"/>
  <c r="S654" i="2" s="1"/>
  <c r="T654" i="2" s="1"/>
  <c r="O653" i="2"/>
  <c r="R653" i="2" s="1"/>
  <c r="N653" i="2"/>
  <c r="Q653" i="2" s="1"/>
  <c r="M653" i="2"/>
  <c r="P653" i="2" s="1"/>
  <c r="R652" i="2"/>
  <c r="O652" i="2"/>
  <c r="N652" i="2"/>
  <c r="Q652" i="2" s="1"/>
  <c r="M652" i="2"/>
  <c r="P652" i="2" s="1"/>
  <c r="O651" i="2"/>
  <c r="R651" i="2" s="1"/>
  <c r="N651" i="2"/>
  <c r="Q651" i="2" s="1"/>
  <c r="M651" i="2"/>
  <c r="P651" i="2" s="1"/>
  <c r="P650" i="2"/>
  <c r="O650" i="2"/>
  <c r="R650" i="2" s="1"/>
  <c r="N650" i="2"/>
  <c r="Q650" i="2" s="1"/>
  <c r="M650" i="2"/>
  <c r="O649" i="2"/>
  <c r="R649" i="2" s="1"/>
  <c r="N649" i="2"/>
  <c r="Q649" i="2" s="1"/>
  <c r="M649" i="2"/>
  <c r="P649" i="2" s="1"/>
  <c r="O648" i="2"/>
  <c r="R648" i="2" s="1"/>
  <c r="N648" i="2"/>
  <c r="Q648" i="2" s="1"/>
  <c r="M648" i="2"/>
  <c r="P648" i="2" s="1"/>
  <c r="S648" i="2" s="1"/>
  <c r="T648" i="2" s="1"/>
  <c r="O647" i="2"/>
  <c r="R647" i="2" s="1"/>
  <c r="N647" i="2"/>
  <c r="Q647" i="2" s="1"/>
  <c r="M647" i="2"/>
  <c r="P647" i="2" s="1"/>
  <c r="R646" i="2"/>
  <c r="O646" i="2"/>
  <c r="N646" i="2"/>
  <c r="Q646" i="2" s="1"/>
  <c r="M646" i="2"/>
  <c r="P646" i="2" s="1"/>
  <c r="O645" i="2"/>
  <c r="R645" i="2" s="1"/>
  <c r="N645" i="2"/>
  <c r="Q645" i="2" s="1"/>
  <c r="M645" i="2"/>
  <c r="P645" i="2" s="1"/>
  <c r="P644" i="2"/>
  <c r="O644" i="2"/>
  <c r="R644" i="2" s="1"/>
  <c r="N644" i="2"/>
  <c r="Q644" i="2" s="1"/>
  <c r="M644" i="2"/>
  <c r="O643" i="2"/>
  <c r="R643" i="2" s="1"/>
  <c r="N643" i="2"/>
  <c r="Q643" i="2" s="1"/>
  <c r="M643" i="2"/>
  <c r="P643" i="2" s="1"/>
  <c r="O642" i="2"/>
  <c r="R642" i="2" s="1"/>
  <c r="N642" i="2"/>
  <c r="Q642" i="2" s="1"/>
  <c r="M642" i="2"/>
  <c r="P642" i="2" s="1"/>
  <c r="S642" i="2" s="1"/>
  <c r="T642" i="2" s="1"/>
  <c r="O641" i="2"/>
  <c r="R641" i="2" s="1"/>
  <c r="N641" i="2"/>
  <c r="Q641" i="2" s="1"/>
  <c r="M641" i="2"/>
  <c r="P641" i="2" s="1"/>
  <c r="R640" i="2"/>
  <c r="O640" i="2"/>
  <c r="N640" i="2"/>
  <c r="Q640" i="2" s="1"/>
  <c r="M640" i="2"/>
  <c r="P640" i="2" s="1"/>
  <c r="O639" i="2"/>
  <c r="R639" i="2" s="1"/>
  <c r="N639" i="2"/>
  <c r="Q639" i="2" s="1"/>
  <c r="M639" i="2"/>
  <c r="P639" i="2" s="1"/>
  <c r="P638" i="2"/>
  <c r="O638" i="2"/>
  <c r="R638" i="2" s="1"/>
  <c r="N638" i="2"/>
  <c r="Q638" i="2" s="1"/>
  <c r="M638" i="2"/>
  <c r="O637" i="2"/>
  <c r="R637" i="2" s="1"/>
  <c r="N637" i="2"/>
  <c r="Q637" i="2" s="1"/>
  <c r="M637" i="2"/>
  <c r="P637" i="2" s="1"/>
  <c r="O636" i="2"/>
  <c r="R636" i="2" s="1"/>
  <c r="N636" i="2"/>
  <c r="Q636" i="2" s="1"/>
  <c r="M636" i="2"/>
  <c r="P636" i="2" s="1"/>
  <c r="S636" i="2" s="1"/>
  <c r="T636" i="2" s="1"/>
  <c r="O579" i="2"/>
  <c r="R579" i="2" s="1"/>
  <c r="N579" i="2"/>
  <c r="Q579" i="2" s="1"/>
  <c r="M579" i="2"/>
  <c r="P579" i="2" s="1"/>
  <c r="R578" i="2"/>
  <c r="O578" i="2"/>
  <c r="N578" i="2"/>
  <c r="Q578" i="2" s="1"/>
  <c r="M578" i="2"/>
  <c r="P578" i="2" s="1"/>
  <c r="O577" i="2"/>
  <c r="R577" i="2" s="1"/>
  <c r="N577" i="2"/>
  <c r="Q577" i="2" s="1"/>
  <c r="M577" i="2"/>
  <c r="P577" i="2" s="1"/>
  <c r="O576" i="2"/>
  <c r="R576" i="2" s="1"/>
  <c r="N576" i="2"/>
  <c r="Q576" i="2" s="1"/>
  <c r="M576" i="2"/>
  <c r="P576" i="2" s="1"/>
  <c r="O575" i="2"/>
  <c r="R575" i="2" s="1"/>
  <c r="N575" i="2"/>
  <c r="Q575" i="2" s="1"/>
  <c r="S575" i="2" s="1"/>
  <c r="T575" i="2" s="1"/>
  <c r="M575" i="2"/>
  <c r="P575" i="2" s="1"/>
  <c r="O574" i="2"/>
  <c r="R574" i="2" s="1"/>
  <c r="N574" i="2"/>
  <c r="Q574" i="2" s="1"/>
  <c r="M574" i="2"/>
  <c r="P574" i="2" s="1"/>
  <c r="S574" i="2" s="1"/>
  <c r="T574" i="2" s="1"/>
  <c r="O573" i="2"/>
  <c r="R573" i="2" s="1"/>
  <c r="N573" i="2"/>
  <c r="Q573" i="2" s="1"/>
  <c r="M573" i="2"/>
  <c r="P573" i="2" s="1"/>
  <c r="O572" i="2"/>
  <c r="R572" i="2" s="1"/>
  <c r="N572" i="2"/>
  <c r="Q572" i="2" s="1"/>
  <c r="M572" i="2"/>
  <c r="P572" i="2" s="1"/>
  <c r="O571" i="2"/>
  <c r="R571" i="2" s="1"/>
  <c r="N571" i="2"/>
  <c r="Q571" i="2" s="1"/>
  <c r="M571" i="2"/>
  <c r="P571" i="2" s="1"/>
  <c r="P570" i="2"/>
  <c r="O570" i="2"/>
  <c r="R570" i="2" s="1"/>
  <c r="N570" i="2"/>
  <c r="Q570" i="2" s="1"/>
  <c r="M570" i="2"/>
  <c r="Q569" i="2"/>
  <c r="P569" i="2"/>
  <c r="O569" i="2"/>
  <c r="R569" i="2" s="1"/>
  <c r="N569" i="2"/>
  <c r="M569" i="2"/>
  <c r="O568" i="2"/>
  <c r="R568" i="2" s="1"/>
  <c r="N568" i="2"/>
  <c r="Q568" i="2" s="1"/>
  <c r="M568" i="2"/>
  <c r="P568" i="2" s="1"/>
  <c r="S568" i="2" s="1"/>
  <c r="T568" i="2" s="1"/>
  <c r="O567" i="2"/>
  <c r="R567" i="2" s="1"/>
  <c r="N567" i="2"/>
  <c r="Q567" i="2" s="1"/>
  <c r="M567" i="2"/>
  <c r="P567" i="2" s="1"/>
  <c r="R566" i="2"/>
  <c r="O566" i="2"/>
  <c r="N566" i="2"/>
  <c r="Q566" i="2" s="1"/>
  <c r="M566" i="2"/>
  <c r="P566" i="2" s="1"/>
  <c r="O565" i="2"/>
  <c r="R565" i="2" s="1"/>
  <c r="N565" i="2"/>
  <c r="Q565" i="2" s="1"/>
  <c r="M565" i="2"/>
  <c r="P565" i="2" s="1"/>
  <c r="S565" i="2" s="1"/>
  <c r="T565" i="2" s="1"/>
  <c r="Q564" i="2"/>
  <c r="O564" i="2"/>
  <c r="R564" i="2" s="1"/>
  <c r="N564" i="2"/>
  <c r="M564" i="2"/>
  <c r="P564" i="2" s="1"/>
  <c r="S564" i="2" s="1"/>
  <c r="T564" i="2" s="1"/>
  <c r="R563" i="2"/>
  <c r="Q563" i="2"/>
  <c r="O563" i="2"/>
  <c r="N563" i="2"/>
  <c r="M563" i="2"/>
  <c r="P563" i="2" s="1"/>
  <c r="S562" i="2"/>
  <c r="T562" i="2" s="1"/>
  <c r="O562" i="2"/>
  <c r="R562" i="2" s="1"/>
  <c r="N562" i="2"/>
  <c r="Q562" i="2" s="1"/>
  <c r="M562" i="2"/>
  <c r="P562" i="2" s="1"/>
  <c r="O561" i="2"/>
  <c r="R561" i="2" s="1"/>
  <c r="N561" i="2"/>
  <c r="Q561" i="2" s="1"/>
  <c r="M561" i="2"/>
  <c r="P561" i="2" s="1"/>
  <c r="O560" i="2"/>
  <c r="R560" i="2" s="1"/>
  <c r="N560" i="2"/>
  <c r="Q560" i="2" s="1"/>
  <c r="M560" i="2"/>
  <c r="P560" i="2" s="1"/>
  <c r="T559" i="2"/>
  <c r="O559" i="2"/>
  <c r="R559" i="2" s="1"/>
  <c r="N559" i="2"/>
  <c r="Q559" i="2" s="1"/>
  <c r="M559" i="2"/>
  <c r="P559" i="2" s="1"/>
  <c r="S559" i="2" s="1"/>
  <c r="P558" i="2"/>
  <c r="O558" i="2"/>
  <c r="R558" i="2" s="1"/>
  <c r="N558" i="2"/>
  <c r="Q558" i="2" s="1"/>
  <c r="M558" i="2"/>
  <c r="Q557" i="2"/>
  <c r="O557" i="2"/>
  <c r="R557" i="2" s="1"/>
  <c r="N557" i="2"/>
  <c r="M557" i="2"/>
  <c r="P557" i="2" s="1"/>
  <c r="S557" i="2" s="1"/>
  <c r="T557" i="2" s="1"/>
  <c r="O556" i="2"/>
  <c r="R556" i="2" s="1"/>
  <c r="N556" i="2"/>
  <c r="Q556" i="2" s="1"/>
  <c r="M556" i="2"/>
  <c r="P556" i="2" s="1"/>
  <c r="S556" i="2" s="1"/>
  <c r="T556" i="2" s="1"/>
  <c r="P555" i="2"/>
  <c r="O555" i="2"/>
  <c r="R555" i="2" s="1"/>
  <c r="N555" i="2"/>
  <c r="Q555" i="2" s="1"/>
  <c r="M555" i="2"/>
  <c r="Q554" i="2"/>
  <c r="P554" i="2"/>
  <c r="O554" i="2"/>
  <c r="R554" i="2" s="1"/>
  <c r="N554" i="2"/>
  <c r="M554" i="2"/>
  <c r="O553" i="2"/>
  <c r="R553" i="2" s="1"/>
  <c r="N553" i="2"/>
  <c r="Q553" i="2" s="1"/>
  <c r="M553" i="2"/>
  <c r="P553" i="2" s="1"/>
  <c r="O552" i="2"/>
  <c r="R552" i="2" s="1"/>
  <c r="N552" i="2"/>
  <c r="Q552" i="2" s="1"/>
  <c r="M552" i="2"/>
  <c r="P552" i="2" s="1"/>
  <c r="R551" i="2"/>
  <c r="Q551" i="2"/>
  <c r="O551" i="2"/>
  <c r="N551" i="2"/>
  <c r="M551" i="2"/>
  <c r="P551" i="2" s="1"/>
  <c r="S551" i="2" s="1"/>
  <c r="T551" i="2" s="1"/>
  <c r="S550" i="2"/>
  <c r="T550" i="2" s="1"/>
  <c r="O550" i="2"/>
  <c r="R550" i="2" s="1"/>
  <c r="N550" i="2"/>
  <c r="Q550" i="2" s="1"/>
  <c r="M550" i="2"/>
  <c r="P550" i="2" s="1"/>
  <c r="P549" i="2"/>
  <c r="O549" i="2"/>
  <c r="R549" i="2" s="1"/>
  <c r="N549" i="2"/>
  <c r="Q549" i="2" s="1"/>
  <c r="M549" i="2"/>
  <c r="P548" i="2"/>
  <c r="O548" i="2"/>
  <c r="R548" i="2" s="1"/>
  <c r="N548" i="2"/>
  <c r="Q548" i="2" s="1"/>
  <c r="M548" i="2"/>
  <c r="R547" i="2"/>
  <c r="O547" i="2"/>
  <c r="N547" i="2"/>
  <c r="Q547" i="2" s="1"/>
  <c r="S547" i="2" s="1"/>
  <c r="T547" i="2" s="1"/>
  <c r="M547" i="2"/>
  <c r="P547" i="2" s="1"/>
  <c r="O546" i="2"/>
  <c r="R546" i="2" s="1"/>
  <c r="N546" i="2"/>
  <c r="Q546" i="2" s="1"/>
  <c r="M546" i="2"/>
  <c r="P546" i="2" s="1"/>
  <c r="O545" i="2"/>
  <c r="R545" i="2" s="1"/>
  <c r="N545" i="2"/>
  <c r="Q545" i="2" s="1"/>
  <c r="M545" i="2"/>
  <c r="P545" i="2" s="1"/>
  <c r="S544" i="2"/>
  <c r="T544" i="2" s="1"/>
  <c r="O544" i="2"/>
  <c r="R544" i="2" s="1"/>
  <c r="N544" i="2"/>
  <c r="Q544" i="2" s="1"/>
  <c r="M544" i="2"/>
  <c r="P544" i="2" s="1"/>
  <c r="Q543" i="2"/>
  <c r="P543" i="2"/>
  <c r="O543" i="2"/>
  <c r="R543" i="2" s="1"/>
  <c r="N543" i="2"/>
  <c r="M543" i="2"/>
  <c r="O542" i="2"/>
  <c r="R542" i="2" s="1"/>
  <c r="N542" i="2"/>
  <c r="Q542" i="2" s="1"/>
  <c r="M542" i="2"/>
  <c r="P542" i="2" s="1"/>
  <c r="O541" i="2"/>
  <c r="R541" i="2" s="1"/>
  <c r="N541" i="2"/>
  <c r="Q541" i="2" s="1"/>
  <c r="M541" i="2"/>
  <c r="P541" i="2" s="1"/>
  <c r="S541" i="2" s="1"/>
  <c r="T541" i="2" s="1"/>
  <c r="P540" i="2"/>
  <c r="O540" i="2"/>
  <c r="R540" i="2" s="1"/>
  <c r="N540" i="2"/>
  <c r="Q540" i="2" s="1"/>
  <c r="M540" i="2"/>
  <c r="Q539" i="2"/>
  <c r="S539" i="2" s="1"/>
  <c r="T539" i="2" s="1"/>
  <c r="O539" i="2"/>
  <c r="R539" i="2" s="1"/>
  <c r="N539" i="2"/>
  <c r="M539" i="2"/>
  <c r="P539" i="2" s="1"/>
  <c r="O538" i="2"/>
  <c r="R538" i="2" s="1"/>
  <c r="N538" i="2"/>
  <c r="Q538" i="2" s="1"/>
  <c r="M538" i="2"/>
  <c r="P538" i="2" s="1"/>
  <c r="P537" i="2"/>
  <c r="O537" i="2"/>
  <c r="R537" i="2" s="1"/>
  <c r="N537" i="2"/>
  <c r="Q537" i="2" s="1"/>
  <c r="M537" i="2"/>
  <c r="R536" i="2"/>
  <c r="Q536" i="2"/>
  <c r="P536" i="2"/>
  <c r="S536" i="2" s="1"/>
  <c r="T536" i="2" s="1"/>
  <c r="O536" i="2"/>
  <c r="N536" i="2"/>
  <c r="M536" i="2"/>
  <c r="R535" i="2"/>
  <c r="O535" i="2"/>
  <c r="N535" i="2"/>
  <c r="Q535" i="2" s="1"/>
  <c r="S535" i="2" s="1"/>
  <c r="T535" i="2" s="1"/>
  <c r="M535" i="2"/>
  <c r="P535" i="2" s="1"/>
  <c r="O534" i="2"/>
  <c r="R534" i="2" s="1"/>
  <c r="N534" i="2"/>
  <c r="Q534" i="2" s="1"/>
  <c r="M534" i="2"/>
  <c r="P534" i="2" s="1"/>
  <c r="R533" i="2"/>
  <c r="O533" i="2"/>
  <c r="N533" i="2"/>
  <c r="Q533" i="2" s="1"/>
  <c r="M533" i="2"/>
  <c r="P533" i="2" s="1"/>
  <c r="S532" i="2"/>
  <c r="T532" i="2" s="1"/>
  <c r="O532" i="2"/>
  <c r="R532" i="2" s="1"/>
  <c r="N532" i="2"/>
  <c r="Q532" i="2" s="1"/>
  <c r="M532" i="2"/>
  <c r="P532" i="2" s="1"/>
  <c r="Q531" i="2"/>
  <c r="P531" i="2"/>
  <c r="O531" i="2"/>
  <c r="R531" i="2" s="1"/>
  <c r="N531" i="2"/>
  <c r="M531" i="2"/>
  <c r="Q530" i="2"/>
  <c r="P530" i="2"/>
  <c r="O530" i="2"/>
  <c r="R530" i="2" s="1"/>
  <c r="N530" i="2"/>
  <c r="M530" i="2"/>
  <c r="O529" i="2"/>
  <c r="R529" i="2" s="1"/>
  <c r="N529" i="2"/>
  <c r="Q529" i="2" s="1"/>
  <c r="M529" i="2"/>
  <c r="P529" i="2" s="1"/>
  <c r="S529" i="2" s="1"/>
  <c r="T529" i="2" s="1"/>
  <c r="O528" i="2"/>
  <c r="R528" i="2" s="1"/>
  <c r="N528" i="2"/>
  <c r="Q528" i="2" s="1"/>
  <c r="M528" i="2"/>
  <c r="P528" i="2" s="1"/>
  <c r="O527" i="2"/>
  <c r="R527" i="2" s="1"/>
  <c r="N527" i="2"/>
  <c r="Q527" i="2" s="1"/>
  <c r="M527" i="2"/>
  <c r="P527" i="2" s="1"/>
  <c r="O526" i="2"/>
  <c r="R526" i="2" s="1"/>
  <c r="N526" i="2"/>
  <c r="Q526" i="2" s="1"/>
  <c r="M526" i="2"/>
  <c r="P526" i="2" s="1"/>
  <c r="Q525" i="2"/>
  <c r="P525" i="2"/>
  <c r="S525" i="2" s="1"/>
  <c r="T525" i="2" s="1"/>
  <c r="O525" i="2"/>
  <c r="R525" i="2" s="1"/>
  <c r="N525" i="2"/>
  <c r="M525" i="2"/>
  <c r="R524" i="2"/>
  <c r="Q524" i="2"/>
  <c r="P524" i="2"/>
  <c r="S524" i="2" s="1"/>
  <c r="T524" i="2" s="1"/>
  <c r="O524" i="2"/>
  <c r="N524" i="2"/>
  <c r="M524" i="2"/>
  <c r="R523" i="2"/>
  <c r="O523" i="2"/>
  <c r="N523" i="2"/>
  <c r="Q523" i="2" s="1"/>
  <c r="M523" i="2"/>
  <c r="P523" i="2" s="1"/>
  <c r="O522" i="2"/>
  <c r="R522" i="2" s="1"/>
  <c r="N522" i="2"/>
  <c r="Q522" i="2" s="1"/>
  <c r="M522" i="2"/>
  <c r="P522" i="2" s="1"/>
  <c r="S522" i="2" s="1"/>
  <c r="T522" i="2" s="1"/>
  <c r="O521" i="2"/>
  <c r="R521" i="2" s="1"/>
  <c r="N521" i="2"/>
  <c r="Q521" i="2" s="1"/>
  <c r="M521" i="2"/>
  <c r="P521" i="2" s="1"/>
  <c r="O520" i="2"/>
  <c r="R520" i="2" s="1"/>
  <c r="N520" i="2"/>
  <c r="Q520" i="2" s="1"/>
  <c r="S520" i="2" s="1"/>
  <c r="T520" i="2" s="1"/>
  <c r="M520" i="2"/>
  <c r="P520" i="2" s="1"/>
  <c r="Q519" i="2"/>
  <c r="O519" i="2"/>
  <c r="R519" i="2" s="1"/>
  <c r="N519" i="2"/>
  <c r="M519" i="2"/>
  <c r="P519" i="2" s="1"/>
  <c r="S519" i="2" s="1"/>
  <c r="T519" i="2" s="1"/>
  <c r="Q518" i="2"/>
  <c r="O518" i="2"/>
  <c r="R518" i="2" s="1"/>
  <c r="N518" i="2"/>
  <c r="M518" i="2"/>
  <c r="P518" i="2" s="1"/>
  <c r="S518" i="2" s="1"/>
  <c r="T518" i="2" s="1"/>
  <c r="O517" i="2"/>
  <c r="R517" i="2" s="1"/>
  <c r="N517" i="2"/>
  <c r="Q517" i="2" s="1"/>
  <c r="M517" i="2"/>
  <c r="P517" i="2" s="1"/>
  <c r="S517" i="2" s="1"/>
  <c r="T517" i="2" s="1"/>
  <c r="O516" i="2"/>
  <c r="R516" i="2" s="1"/>
  <c r="N516" i="2"/>
  <c r="Q516" i="2" s="1"/>
  <c r="M516" i="2"/>
  <c r="P516" i="2" s="1"/>
  <c r="S516" i="2" s="1"/>
  <c r="T516" i="2" s="1"/>
  <c r="O515" i="2"/>
  <c r="R515" i="2" s="1"/>
  <c r="N515" i="2"/>
  <c r="Q515" i="2" s="1"/>
  <c r="M515" i="2"/>
  <c r="P515" i="2" s="1"/>
  <c r="S515" i="2" s="1"/>
  <c r="T515" i="2" s="1"/>
  <c r="Q514" i="2"/>
  <c r="O514" i="2"/>
  <c r="R514" i="2" s="1"/>
  <c r="N514" i="2"/>
  <c r="M514" i="2"/>
  <c r="P514" i="2" s="1"/>
  <c r="S514" i="2" s="1"/>
  <c r="T514" i="2" s="1"/>
  <c r="O513" i="2"/>
  <c r="R513" i="2" s="1"/>
  <c r="N513" i="2"/>
  <c r="Q513" i="2" s="1"/>
  <c r="M513" i="2"/>
  <c r="P513" i="2" s="1"/>
  <c r="O512" i="2"/>
  <c r="R512" i="2" s="1"/>
  <c r="N512" i="2"/>
  <c r="Q512" i="2" s="1"/>
  <c r="M512" i="2"/>
  <c r="P512" i="2" s="1"/>
  <c r="S512" i="2" s="1"/>
  <c r="T512" i="2" s="1"/>
  <c r="Q511" i="2"/>
  <c r="O511" i="2"/>
  <c r="R511" i="2" s="1"/>
  <c r="N511" i="2"/>
  <c r="M511" i="2"/>
  <c r="P511" i="2" s="1"/>
  <c r="S511" i="2" s="1"/>
  <c r="T511" i="2" s="1"/>
  <c r="O510" i="2"/>
  <c r="R510" i="2" s="1"/>
  <c r="N510" i="2"/>
  <c r="Q510" i="2" s="1"/>
  <c r="M510" i="2"/>
  <c r="P510" i="2" s="1"/>
  <c r="S510" i="2" s="1"/>
  <c r="T510" i="2" s="1"/>
  <c r="O509" i="2"/>
  <c r="R509" i="2" s="1"/>
  <c r="N509" i="2"/>
  <c r="Q509" i="2" s="1"/>
  <c r="M509" i="2"/>
  <c r="P509" i="2" s="1"/>
  <c r="Q508" i="2"/>
  <c r="O508" i="2"/>
  <c r="R508" i="2" s="1"/>
  <c r="N508" i="2"/>
  <c r="M508" i="2"/>
  <c r="P508" i="2" s="1"/>
  <c r="R507" i="2"/>
  <c r="O507" i="2"/>
  <c r="N507" i="2"/>
  <c r="Q507" i="2" s="1"/>
  <c r="M507" i="2"/>
  <c r="P507" i="2" s="1"/>
  <c r="S507" i="2" s="1"/>
  <c r="T507" i="2" s="1"/>
  <c r="P506" i="2"/>
  <c r="O506" i="2"/>
  <c r="R506" i="2" s="1"/>
  <c r="N506" i="2"/>
  <c r="Q506" i="2" s="1"/>
  <c r="M506" i="2"/>
  <c r="R505" i="2"/>
  <c r="P505" i="2"/>
  <c r="O505" i="2"/>
  <c r="N505" i="2"/>
  <c r="Q505" i="2" s="1"/>
  <c r="M505" i="2"/>
  <c r="R504" i="2"/>
  <c r="O504" i="2"/>
  <c r="N504" i="2"/>
  <c r="Q504" i="2" s="1"/>
  <c r="M504" i="2"/>
  <c r="P504" i="2" s="1"/>
  <c r="P503" i="2"/>
  <c r="S503" i="2" s="1"/>
  <c r="T503" i="2" s="1"/>
  <c r="O503" i="2"/>
  <c r="R503" i="2" s="1"/>
  <c r="N503" i="2"/>
  <c r="Q503" i="2" s="1"/>
  <c r="M503" i="2"/>
  <c r="R502" i="2"/>
  <c r="P502" i="2"/>
  <c r="S502" i="2" s="1"/>
  <c r="T502" i="2" s="1"/>
  <c r="O502" i="2"/>
  <c r="N502" i="2"/>
  <c r="Q502" i="2" s="1"/>
  <c r="M502" i="2"/>
  <c r="R501" i="2"/>
  <c r="O501" i="2"/>
  <c r="N501" i="2"/>
  <c r="Q501" i="2" s="1"/>
  <c r="M501" i="2"/>
  <c r="P501" i="2" s="1"/>
  <c r="S501" i="2" s="1"/>
  <c r="T501" i="2" s="1"/>
  <c r="P500" i="2"/>
  <c r="O500" i="2"/>
  <c r="R500" i="2" s="1"/>
  <c r="N500" i="2"/>
  <c r="Q500" i="2" s="1"/>
  <c r="M500" i="2"/>
  <c r="R499" i="2"/>
  <c r="P499" i="2"/>
  <c r="O499" i="2"/>
  <c r="N499" i="2"/>
  <c r="Q499" i="2" s="1"/>
  <c r="M499" i="2"/>
  <c r="O498" i="2"/>
  <c r="R498" i="2" s="1"/>
  <c r="N498" i="2"/>
  <c r="Q498" i="2" s="1"/>
  <c r="M498" i="2"/>
  <c r="P498" i="2" s="1"/>
  <c r="O497" i="2"/>
  <c r="R497" i="2" s="1"/>
  <c r="N497" i="2"/>
  <c r="Q497" i="2" s="1"/>
  <c r="M497" i="2"/>
  <c r="P497" i="2" s="1"/>
  <c r="Q496" i="2"/>
  <c r="O496" i="2"/>
  <c r="R496" i="2" s="1"/>
  <c r="N496" i="2"/>
  <c r="M496" i="2"/>
  <c r="P496" i="2" s="1"/>
  <c r="O495" i="2"/>
  <c r="R495" i="2" s="1"/>
  <c r="N495" i="2"/>
  <c r="Q495" i="2" s="1"/>
  <c r="M495" i="2"/>
  <c r="P495" i="2" s="1"/>
  <c r="S495" i="2" s="1"/>
  <c r="T495" i="2" s="1"/>
  <c r="O494" i="2"/>
  <c r="R494" i="2" s="1"/>
  <c r="N494" i="2"/>
  <c r="Q494" i="2" s="1"/>
  <c r="M494" i="2"/>
  <c r="P494" i="2" s="1"/>
  <c r="R493" i="2"/>
  <c r="O493" i="2"/>
  <c r="N493" i="2"/>
  <c r="Q493" i="2" s="1"/>
  <c r="M493" i="2"/>
  <c r="P493" i="2" s="1"/>
  <c r="R492" i="2"/>
  <c r="O492" i="2"/>
  <c r="N492" i="2"/>
  <c r="Q492" i="2" s="1"/>
  <c r="M492" i="2"/>
  <c r="P492" i="2" s="1"/>
  <c r="Q491" i="2"/>
  <c r="P491" i="2"/>
  <c r="O491" i="2"/>
  <c r="R491" i="2" s="1"/>
  <c r="N491" i="2"/>
  <c r="M491" i="2"/>
  <c r="O490" i="2"/>
  <c r="R490" i="2" s="1"/>
  <c r="N490" i="2"/>
  <c r="Q490" i="2" s="1"/>
  <c r="M490" i="2"/>
  <c r="P490" i="2" s="1"/>
  <c r="O489" i="2"/>
  <c r="R489" i="2" s="1"/>
  <c r="N489" i="2"/>
  <c r="Q489" i="2" s="1"/>
  <c r="M489" i="2"/>
  <c r="P489" i="2" s="1"/>
  <c r="S489" i="2" s="1"/>
  <c r="T489" i="2" s="1"/>
  <c r="O488" i="2"/>
  <c r="R488" i="2" s="1"/>
  <c r="N488" i="2"/>
  <c r="Q488" i="2" s="1"/>
  <c r="M488" i="2"/>
  <c r="P488" i="2" s="1"/>
  <c r="R487" i="2"/>
  <c r="Q487" i="2"/>
  <c r="O487" i="2"/>
  <c r="N487" i="2"/>
  <c r="M487" i="2"/>
  <c r="P487" i="2" s="1"/>
  <c r="S487" i="2" s="1"/>
  <c r="T487" i="2" s="1"/>
  <c r="O486" i="2"/>
  <c r="R486" i="2" s="1"/>
  <c r="N486" i="2"/>
  <c r="Q486" i="2" s="1"/>
  <c r="M486" i="2"/>
  <c r="P486" i="2" s="1"/>
  <c r="O485" i="2"/>
  <c r="R485" i="2" s="1"/>
  <c r="N485" i="2"/>
  <c r="Q485" i="2" s="1"/>
  <c r="M485" i="2"/>
  <c r="P485" i="2" s="1"/>
  <c r="R484" i="2"/>
  <c r="O484" i="2"/>
  <c r="N484" i="2"/>
  <c r="Q484" i="2" s="1"/>
  <c r="S484" i="2" s="1"/>
  <c r="T484" i="2" s="1"/>
  <c r="M484" i="2"/>
  <c r="P484" i="2" s="1"/>
  <c r="R483" i="2"/>
  <c r="O483" i="2"/>
  <c r="N483" i="2"/>
  <c r="Q483" i="2" s="1"/>
  <c r="M483" i="2"/>
  <c r="P483" i="2" s="1"/>
  <c r="P482" i="2"/>
  <c r="O482" i="2"/>
  <c r="R482" i="2" s="1"/>
  <c r="N482" i="2"/>
  <c r="Q482" i="2" s="1"/>
  <c r="M482" i="2"/>
  <c r="P481" i="2"/>
  <c r="O481" i="2"/>
  <c r="R481" i="2" s="1"/>
  <c r="N481" i="2"/>
  <c r="Q481" i="2" s="1"/>
  <c r="M481" i="2"/>
  <c r="O480" i="2"/>
  <c r="R480" i="2" s="1"/>
  <c r="N480" i="2"/>
  <c r="Q480" i="2" s="1"/>
  <c r="M480" i="2"/>
  <c r="P480" i="2" s="1"/>
  <c r="P479" i="2"/>
  <c r="O479" i="2"/>
  <c r="R479" i="2" s="1"/>
  <c r="N479" i="2"/>
  <c r="Q479" i="2" s="1"/>
  <c r="M479" i="2"/>
  <c r="Q478" i="2"/>
  <c r="P478" i="2"/>
  <c r="O478" i="2"/>
  <c r="R478" i="2" s="1"/>
  <c r="N478" i="2"/>
  <c r="M478" i="2"/>
  <c r="O477" i="2"/>
  <c r="R477" i="2" s="1"/>
  <c r="N477" i="2"/>
  <c r="Q477" i="2" s="1"/>
  <c r="S477" i="2" s="1"/>
  <c r="T477" i="2" s="1"/>
  <c r="M477" i="2"/>
  <c r="P477" i="2" s="1"/>
  <c r="P476" i="2"/>
  <c r="O476" i="2"/>
  <c r="R476" i="2" s="1"/>
  <c r="N476" i="2"/>
  <c r="Q476" i="2" s="1"/>
  <c r="M476" i="2"/>
  <c r="P475" i="2"/>
  <c r="O475" i="2"/>
  <c r="R475" i="2" s="1"/>
  <c r="N475" i="2"/>
  <c r="Q475" i="2" s="1"/>
  <c r="M475" i="2"/>
  <c r="R474" i="2"/>
  <c r="O474" i="2"/>
  <c r="N474" i="2"/>
  <c r="Q474" i="2" s="1"/>
  <c r="M474" i="2"/>
  <c r="P474" i="2" s="1"/>
  <c r="Q473" i="2"/>
  <c r="O473" i="2"/>
  <c r="R473" i="2" s="1"/>
  <c r="N473" i="2"/>
  <c r="M473" i="2"/>
  <c r="P473" i="2" s="1"/>
  <c r="S473" i="2" s="1"/>
  <c r="T473" i="2" s="1"/>
  <c r="R472" i="2"/>
  <c r="Q472" i="2"/>
  <c r="O472" i="2"/>
  <c r="N472" i="2"/>
  <c r="M472" i="2"/>
  <c r="P472" i="2" s="1"/>
  <c r="S471" i="2"/>
  <c r="T471" i="2" s="1"/>
  <c r="O471" i="2"/>
  <c r="R471" i="2" s="1"/>
  <c r="N471" i="2"/>
  <c r="Q471" i="2" s="1"/>
  <c r="M471" i="2"/>
  <c r="P471" i="2" s="1"/>
  <c r="P470" i="2"/>
  <c r="O470" i="2"/>
  <c r="R470" i="2" s="1"/>
  <c r="N470" i="2"/>
  <c r="Q470" i="2" s="1"/>
  <c r="M470" i="2"/>
  <c r="O469" i="2"/>
  <c r="R469" i="2" s="1"/>
  <c r="N469" i="2"/>
  <c r="Q469" i="2" s="1"/>
  <c r="M469" i="2"/>
  <c r="P469" i="2" s="1"/>
  <c r="O468" i="2"/>
  <c r="R468" i="2" s="1"/>
  <c r="N468" i="2"/>
  <c r="Q468" i="2" s="1"/>
  <c r="M468" i="2"/>
  <c r="P468" i="2" s="1"/>
  <c r="S468" i="2" s="1"/>
  <c r="T468" i="2" s="1"/>
  <c r="P467" i="2"/>
  <c r="O467" i="2"/>
  <c r="R467" i="2" s="1"/>
  <c r="N467" i="2"/>
  <c r="Q467" i="2" s="1"/>
  <c r="M467" i="2"/>
  <c r="O466" i="2"/>
  <c r="R466" i="2" s="1"/>
  <c r="N466" i="2"/>
  <c r="Q466" i="2" s="1"/>
  <c r="M466" i="2"/>
  <c r="P466" i="2" s="1"/>
  <c r="O465" i="2"/>
  <c r="R465" i="2" s="1"/>
  <c r="N465" i="2"/>
  <c r="Q465" i="2" s="1"/>
  <c r="M465" i="2"/>
  <c r="P465" i="2" s="1"/>
  <c r="P464" i="2"/>
  <c r="O464" i="2"/>
  <c r="R464" i="2" s="1"/>
  <c r="N464" i="2"/>
  <c r="Q464" i="2" s="1"/>
  <c r="M464" i="2"/>
  <c r="R463" i="2"/>
  <c r="Q463" i="2"/>
  <c r="P463" i="2"/>
  <c r="S463" i="2" s="1"/>
  <c r="T463" i="2" s="1"/>
  <c r="O463" i="2"/>
  <c r="N463" i="2"/>
  <c r="M463" i="2"/>
  <c r="O462" i="2"/>
  <c r="R462" i="2" s="1"/>
  <c r="N462" i="2"/>
  <c r="Q462" i="2" s="1"/>
  <c r="M462" i="2"/>
  <c r="P462" i="2" s="1"/>
  <c r="O461" i="2"/>
  <c r="R461" i="2" s="1"/>
  <c r="N461" i="2"/>
  <c r="Q461" i="2" s="1"/>
  <c r="M461" i="2"/>
  <c r="P461" i="2" s="1"/>
  <c r="R460" i="2"/>
  <c r="Q460" i="2"/>
  <c r="O460" i="2"/>
  <c r="N460" i="2"/>
  <c r="M460" i="2"/>
  <c r="P460" i="2" s="1"/>
  <c r="S460" i="2" s="1"/>
  <c r="T460" i="2" s="1"/>
  <c r="S459" i="2"/>
  <c r="T459" i="2" s="1"/>
  <c r="O459" i="2"/>
  <c r="R459" i="2" s="1"/>
  <c r="N459" i="2"/>
  <c r="Q459" i="2" s="1"/>
  <c r="M459" i="2"/>
  <c r="P459" i="2" s="1"/>
  <c r="Q458" i="2"/>
  <c r="P458" i="2"/>
  <c r="S458" i="2" s="1"/>
  <c r="T458" i="2" s="1"/>
  <c r="O458" i="2"/>
  <c r="R458" i="2" s="1"/>
  <c r="N458" i="2"/>
  <c r="M458" i="2"/>
  <c r="R457" i="2"/>
  <c r="Q457" i="2"/>
  <c r="P457" i="2"/>
  <c r="S457" i="2" s="1"/>
  <c r="T457" i="2" s="1"/>
  <c r="O457" i="2"/>
  <c r="N457" i="2"/>
  <c r="M457" i="2"/>
  <c r="R456" i="2"/>
  <c r="O456" i="2"/>
  <c r="N456" i="2"/>
  <c r="Q456" i="2" s="1"/>
  <c r="M456" i="2"/>
  <c r="P456" i="2" s="1"/>
  <c r="O455" i="2"/>
  <c r="R455" i="2" s="1"/>
  <c r="N455" i="2"/>
  <c r="Q455" i="2" s="1"/>
  <c r="M455" i="2"/>
  <c r="P455" i="2" s="1"/>
  <c r="R454" i="2"/>
  <c r="O454" i="2"/>
  <c r="N454" i="2"/>
  <c r="Q454" i="2" s="1"/>
  <c r="M454" i="2"/>
  <c r="P454" i="2" s="1"/>
  <c r="S453" i="2"/>
  <c r="T453" i="2" s="1"/>
  <c r="R453" i="2"/>
  <c r="O453" i="2"/>
  <c r="N453" i="2"/>
  <c r="Q453" i="2" s="1"/>
  <c r="M453" i="2"/>
  <c r="P453" i="2" s="1"/>
  <c r="Q452" i="2"/>
  <c r="P452" i="2"/>
  <c r="O452" i="2"/>
  <c r="R452" i="2" s="1"/>
  <c r="N452" i="2"/>
  <c r="M452" i="2"/>
  <c r="Q451" i="2"/>
  <c r="O451" i="2"/>
  <c r="R451" i="2" s="1"/>
  <c r="N451" i="2"/>
  <c r="M451" i="2"/>
  <c r="P451" i="2" s="1"/>
  <c r="O450" i="2"/>
  <c r="R450" i="2" s="1"/>
  <c r="N450" i="2"/>
  <c r="Q450" i="2" s="1"/>
  <c r="M450" i="2"/>
  <c r="P450" i="2" s="1"/>
  <c r="S450" i="2" s="1"/>
  <c r="T450" i="2" s="1"/>
  <c r="O449" i="2"/>
  <c r="R449" i="2" s="1"/>
  <c r="N449" i="2"/>
  <c r="Q449" i="2" s="1"/>
  <c r="M449" i="2"/>
  <c r="P449" i="2" s="1"/>
  <c r="R448" i="2"/>
  <c r="O448" i="2"/>
  <c r="N448" i="2"/>
  <c r="Q448" i="2" s="1"/>
  <c r="M448" i="2"/>
  <c r="P448" i="2" s="1"/>
  <c r="O447" i="2"/>
  <c r="R447" i="2" s="1"/>
  <c r="N447" i="2"/>
  <c r="Q447" i="2" s="1"/>
  <c r="M447" i="2"/>
  <c r="P447" i="2" s="1"/>
  <c r="S447" i="2" s="1"/>
  <c r="T447" i="2" s="1"/>
  <c r="O446" i="2"/>
  <c r="R446" i="2" s="1"/>
  <c r="N446" i="2"/>
  <c r="Q446" i="2" s="1"/>
  <c r="M446" i="2"/>
  <c r="P446" i="2" s="1"/>
  <c r="O445" i="2"/>
  <c r="R445" i="2" s="1"/>
  <c r="N445" i="2"/>
  <c r="Q445" i="2" s="1"/>
  <c r="M445" i="2"/>
  <c r="P445" i="2" s="1"/>
  <c r="S445" i="2" s="1"/>
  <c r="T445" i="2" s="1"/>
  <c r="O444" i="2"/>
  <c r="R444" i="2" s="1"/>
  <c r="N444" i="2"/>
  <c r="Q444" i="2" s="1"/>
  <c r="S444" i="2" s="1"/>
  <c r="T444" i="2" s="1"/>
  <c r="M444" i="2"/>
  <c r="P444" i="2" s="1"/>
  <c r="P443" i="2"/>
  <c r="O443" i="2"/>
  <c r="R443" i="2" s="1"/>
  <c r="N443" i="2"/>
  <c r="Q443" i="2" s="1"/>
  <c r="M443" i="2"/>
  <c r="P442" i="2"/>
  <c r="O442" i="2"/>
  <c r="R442" i="2" s="1"/>
  <c r="N442" i="2"/>
  <c r="Q442" i="2" s="1"/>
  <c r="M442" i="2"/>
  <c r="O441" i="2"/>
  <c r="R441" i="2" s="1"/>
  <c r="N441" i="2"/>
  <c r="Q441" i="2" s="1"/>
  <c r="M441" i="2"/>
  <c r="P441" i="2" s="1"/>
  <c r="S441" i="2" s="1"/>
  <c r="T441" i="2" s="1"/>
  <c r="O440" i="2"/>
  <c r="R440" i="2" s="1"/>
  <c r="N440" i="2"/>
  <c r="Q440" i="2" s="1"/>
  <c r="M440" i="2"/>
  <c r="P440" i="2" s="1"/>
  <c r="O439" i="2"/>
  <c r="R439" i="2" s="1"/>
  <c r="N439" i="2"/>
  <c r="Q439" i="2" s="1"/>
  <c r="M439" i="2"/>
  <c r="P439" i="2" s="1"/>
  <c r="S439" i="2" s="1"/>
  <c r="T439" i="2" s="1"/>
  <c r="O438" i="2"/>
  <c r="R438" i="2" s="1"/>
  <c r="N438" i="2"/>
  <c r="Q438" i="2" s="1"/>
  <c r="M438" i="2"/>
  <c r="P438" i="2" s="1"/>
  <c r="S438" i="2" s="1"/>
  <c r="T438" i="2" s="1"/>
  <c r="Q437" i="2"/>
  <c r="P437" i="2"/>
  <c r="S437" i="2" s="1"/>
  <c r="T437" i="2" s="1"/>
  <c r="O437" i="2"/>
  <c r="R437" i="2" s="1"/>
  <c r="N437" i="2"/>
  <c r="M437" i="2"/>
  <c r="Q436" i="2"/>
  <c r="O436" i="2"/>
  <c r="R436" i="2" s="1"/>
  <c r="N436" i="2"/>
  <c r="M436" i="2"/>
  <c r="P436" i="2" s="1"/>
  <c r="R435" i="2"/>
  <c r="O435" i="2"/>
  <c r="N435" i="2"/>
  <c r="Q435" i="2" s="1"/>
  <c r="M435" i="2"/>
  <c r="P435" i="2" s="1"/>
  <c r="O434" i="2"/>
  <c r="R434" i="2" s="1"/>
  <c r="N434" i="2"/>
  <c r="Q434" i="2" s="1"/>
  <c r="M434" i="2"/>
  <c r="P434" i="2" s="1"/>
  <c r="R433" i="2"/>
  <c r="O433" i="2"/>
  <c r="N433" i="2"/>
  <c r="Q433" i="2" s="1"/>
  <c r="M433" i="2"/>
  <c r="P433" i="2" s="1"/>
  <c r="O432" i="2"/>
  <c r="R432" i="2" s="1"/>
  <c r="N432" i="2"/>
  <c r="Q432" i="2" s="1"/>
  <c r="M432" i="2"/>
  <c r="P432" i="2" s="1"/>
  <c r="O431" i="2"/>
  <c r="R431" i="2" s="1"/>
  <c r="N431" i="2"/>
  <c r="Q431" i="2" s="1"/>
  <c r="M431" i="2"/>
  <c r="P431" i="2" s="1"/>
  <c r="O430" i="2"/>
  <c r="R430" i="2" s="1"/>
  <c r="N430" i="2"/>
  <c r="Q430" i="2" s="1"/>
  <c r="M430" i="2"/>
  <c r="P430" i="2" s="1"/>
  <c r="O429" i="2"/>
  <c r="R429" i="2" s="1"/>
  <c r="N429" i="2"/>
  <c r="Q429" i="2" s="1"/>
  <c r="M429" i="2"/>
  <c r="P429" i="2" s="1"/>
  <c r="S429" i="2" s="1"/>
  <c r="T429" i="2" s="1"/>
  <c r="P428" i="2"/>
  <c r="O428" i="2"/>
  <c r="R428" i="2" s="1"/>
  <c r="N428" i="2"/>
  <c r="Q428" i="2" s="1"/>
  <c r="M428" i="2"/>
  <c r="Q427" i="2"/>
  <c r="P427" i="2"/>
  <c r="S427" i="2" s="1"/>
  <c r="T427" i="2" s="1"/>
  <c r="O427" i="2"/>
  <c r="R427" i="2" s="1"/>
  <c r="N427" i="2"/>
  <c r="M427" i="2"/>
  <c r="O426" i="2"/>
  <c r="R426" i="2" s="1"/>
  <c r="N426" i="2"/>
  <c r="Q426" i="2" s="1"/>
  <c r="M426" i="2"/>
  <c r="P426" i="2" s="1"/>
  <c r="P425" i="2"/>
  <c r="O425" i="2"/>
  <c r="R425" i="2" s="1"/>
  <c r="N425" i="2"/>
  <c r="Q425" i="2" s="1"/>
  <c r="M425" i="2"/>
  <c r="R424" i="2"/>
  <c r="Q424" i="2"/>
  <c r="P424" i="2"/>
  <c r="O424" i="2"/>
  <c r="N424" i="2"/>
  <c r="M424" i="2"/>
  <c r="S423" i="2"/>
  <c r="T423" i="2" s="1"/>
  <c r="O423" i="2"/>
  <c r="R423" i="2" s="1"/>
  <c r="N423" i="2"/>
  <c r="Q423" i="2" s="1"/>
  <c r="M423" i="2"/>
  <c r="P423" i="2" s="1"/>
  <c r="Q422" i="2"/>
  <c r="P422" i="2"/>
  <c r="O422" i="2"/>
  <c r="R422" i="2" s="1"/>
  <c r="N422" i="2"/>
  <c r="M422" i="2"/>
  <c r="Q421" i="2"/>
  <c r="P421" i="2"/>
  <c r="S421" i="2" s="1"/>
  <c r="T421" i="2" s="1"/>
  <c r="O421" i="2"/>
  <c r="R421" i="2" s="1"/>
  <c r="N421" i="2"/>
  <c r="M421" i="2"/>
  <c r="O420" i="2"/>
  <c r="R420" i="2" s="1"/>
  <c r="N420" i="2"/>
  <c r="Q420" i="2" s="1"/>
  <c r="M420" i="2"/>
  <c r="P420" i="2" s="1"/>
  <c r="S420" i="2" s="1"/>
  <c r="T420" i="2" s="1"/>
  <c r="O419" i="2"/>
  <c r="R419" i="2" s="1"/>
  <c r="N419" i="2"/>
  <c r="Q419" i="2" s="1"/>
  <c r="M419" i="2"/>
  <c r="P419" i="2" s="1"/>
  <c r="R418" i="2"/>
  <c r="O418" i="2"/>
  <c r="N418" i="2"/>
  <c r="Q418" i="2" s="1"/>
  <c r="M418" i="2"/>
  <c r="P418" i="2" s="1"/>
  <c r="S417" i="2"/>
  <c r="T417" i="2" s="1"/>
  <c r="R417" i="2"/>
  <c r="O417" i="2"/>
  <c r="N417" i="2"/>
  <c r="Q417" i="2" s="1"/>
  <c r="M417" i="2"/>
  <c r="P417" i="2" s="1"/>
  <c r="Q416" i="2"/>
  <c r="P416" i="2"/>
  <c r="O416" i="2"/>
  <c r="R416" i="2" s="1"/>
  <c r="N416" i="2"/>
  <c r="M416" i="2"/>
  <c r="O415" i="2"/>
  <c r="R415" i="2" s="1"/>
  <c r="N415" i="2"/>
  <c r="Q415" i="2" s="1"/>
  <c r="M415" i="2"/>
  <c r="P415" i="2" s="1"/>
  <c r="O414" i="2"/>
  <c r="R414" i="2" s="1"/>
  <c r="N414" i="2"/>
  <c r="Q414" i="2" s="1"/>
  <c r="M414" i="2"/>
  <c r="P414" i="2" s="1"/>
  <c r="S414" i="2" s="1"/>
  <c r="T414" i="2" s="1"/>
  <c r="P413" i="2"/>
  <c r="O413" i="2"/>
  <c r="R413" i="2" s="1"/>
  <c r="N413" i="2"/>
  <c r="Q413" i="2" s="1"/>
  <c r="M413" i="2"/>
  <c r="Q412" i="2"/>
  <c r="O412" i="2"/>
  <c r="R412" i="2" s="1"/>
  <c r="N412" i="2"/>
  <c r="M412" i="2"/>
  <c r="P412" i="2" s="1"/>
  <c r="O411" i="2"/>
  <c r="R411" i="2" s="1"/>
  <c r="N411" i="2"/>
  <c r="Q411" i="2" s="1"/>
  <c r="M411" i="2"/>
  <c r="P411" i="2" s="1"/>
  <c r="S411" i="2" s="1"/>
  <c r="T411" i="2" s="1"/>
  <c r="O410" i="2"/>
  <c r="R410" i="2" s="1"/>
  <c r="N410" i="2"/>
  <c r="Q410" i="2" s="1"/>
  <c r="M410" i="2"/>
  <c r="P410" i="2" s="1"/>
  <c r="R409" i="2"/>
  <c r="Q409" i="2"/>
  <c r="O409" i="2"/>
  <c r="N409" i="2"/>
  <c r="M409" i="2"/>
  <c r="P409" i="2" s="1"/>
  <c r="S409" i="2" s="1"/>
  <c r="T409" i="2" s="1"/>
  <c r="O408" i="2"/>
  <c r="R408" i="2" s="1"/>
  <c r="N408" i="2"/>
  <c r="Q408" i="2" s="1"/>
  <c r="S408" i="2" s="1"/>
  <c r="T408" i="2" s="1"/>
  <c r="M408" i="2"/>
  <c r="P408" i="2" s="1"/>
  <c r="O407" i="2"/>
  <c r="R407" i="2" s="1"/>
  <c r="N407" i="2"/>
  <c r="Q407" i="2" s="1"/>
  <c r="M407" i="2"/>
  <c r="P407" i="2" s="1"/>
  <c r="R406" i="2"/>
  <c r="O406" i="2"/>
  <c r="N406" i="2"/>
  <c r="Q406" i="2" s="1"/>
  <c r="M406" i="2"/>
  <c r="P406" i="2" s="1"/>
  <c r="S406" i="2" s="1"/>
  <c r="T406" i="2" s="1"/>
  <c r="T405" i="2"/>
  <c r="O405" i="2"/>
  <c r="R405" i="2" s="1"/>
  <c r="N405" i="2"/>
  <c r="Q405" i="2" s="1"/>
  <c r="M405" i="2"/>
  <c r="P405" i="2" s="1"/>
  <c r="S405" i="2" s="1"/>
  <c r="Q404" i="2"/>
  <c r="O404" i="2"/>
  <c r="R404" i="2" s="1"/>
  <c r="N404" i="2"/>
  <c r="M404" i="2"/>
  <c r="P404" i="2" s="1"/>
  <c r="R403" i="2"/>
  <c r="Q403" i="2"/>
  <c r="O403" i="2"/>
  <c r="N403" i="2"/>
  <c r="M403" i="2"/>
  <c r="P403" i="2" s="1"/>
  <c r="S403" i="2" s="1"/>
  <c r="T403" i="2" s="1"/>
  <c r="O402" i="2"/>
  <c r="R402" i="2" s="1"/>
  <c r="N402" i="2"/>
  <c r="Q402" i="2" s="1"/>
  <c r="M402" i="2"/>
  <c r="P402" i="2" s="1"/>
  <c r="S402" i="2" s="1"/>
  <c r="T402" i="2" s="1"/>
  <c r="P401" i="2"/>
  <c r="S401" i="2" s="1"/>
  <c r="T401" i="2" s="1"/>
  <c r="O401" i="2"/>
  <c r="R401" i="2" s="1"/>
  <c r="N401" i="2"/>
  <c r="Q401" i="2" s="1"/>
  <c r="M401" i="2"/>
  <c r="O400" i="2"/>
  <c r="R400" i="2" s="1"/>
  <c r="N400" i="2"/>
  <c r="Q400" i="2" s="1"/>
  <c r="M400" i="2"/>
  <c r="P400" i="2" s="1"/>
  <c r="R399" i="2"/>
  <c r="O399" i="2"/>
  <c r="N399" i="2"/>
  <c r="Q399" i="2" s="1"/>
  <c r="M399" i="2"/>
  <c r="P399" i="2" s="1"/>
  <c r="Q398" i="2"/>
  <c r="O398" i="2"/>
  <c r="R398" i="2" s="1"/>
  <c r="N398" i="2"/>
  <c r="M398" i="2"/>
  <c r="P398" i="2" s="1"/>
  <c r="R397" i="2"/>
  <c r="Q397" i="2"/>
  <c r="O397" i="2"/>
  <c r="N397" i="2"/>
  <c r="M397" i="2"/>
  <c r="P397" i="2" s="1"/>
  <c r="O396" i="2"/>
  <c r="R396" i="2" s="1"/>
  <c r="N396" i="2"/>
  <c r="Q396" i="2" s="1"/>
  <c r="M396" i="2"/>
  <c r="P396" i="2" s="1"/>
  <c r="O395" i="2"/>
  <c r="R395" i="2" s="1"/>
  <c r="N395" i="2"/>
  <c r="Q395" i="2" s="1"/>
  <c r="M395" i="2"/>
  <c r="P395" i="2" s="1"/>
  <c r="O394" i="2"/>
  <c r="R394" i="2" s="1"/>
  <c r="N394" i="2"/>
  <c r="Q394" i="2" s="1"/>
  <c r="M394" i="2"/>
  <c r="P394" i="2" s="1"/>
  <c r="S394" i="2" s="1"/>
  <c r="T394" i="2" s="1"/>
  <c r="R393" i="2"/>
  <c r="O393" i="2"/>
  <c r="N393" i="2"/>
  <c r="Q393" i="2" s="1"/>
  <c r="M393" i="2"/>
  <c r="P393" i="2" s="1"/>
  <c r="P392" i="2"/>
  <c r="O392" i="2"/>
  <c r="R392" i="2" s="1"/>
  <c r="N392" i="2"/>
  <c r="Q392" i="2" s="1"/>
  <c r="M392" i="2"/>
  <c r="P391" i="2"/>
  <c r="O391" i="2"/>
  <c r="R391" i="2" s="1"/>
  <c r="N391" i="2"/>
  <c r="Q391" i="2" s="1"/>
  <c r="M391" i="2"/>
  <c r="O390" i="2"/>
  <c r="R390" i="2" s="1"/>
  <c r="N390" i="2"/>
  <c r="Q390" i="2" s="1"/>
  <c r="M390" i="2"/>
  <c r="P390" i="2" s="1"/>
  <c r="P389" i="2"/>
  <c r="O389" i="2"/>
  <c r="R389" i="2" s="1"/>
  <c r="N389" i="2"/>
  <c r="Q389" i="2" s="1"/>
  <c r="M389" i="2"/>
  <c r="Q388" i="2"/>
  <c r="P388" i="2"/>
  <c r="S388" i="2" s="1"/>
  <c r="T388" i="2" s="1"/>
  <c r="O388" i="2"/>
  <c r="R388" i="2" s="1"/>
  <c r="N388" i="2"/>
  <c r="M388" i="2"/>
  <c r="S387" i="2"/>
  <c r="T387" i="2" s="1"/>
  <c r="O387" i="2"/>
  <c r="R387" i="2" s="1"/>
  <c r="N387" i="2"/>
  <c r="Q387" i="2" s="1"/>
  <c r="M387" i="2"/>
  <c r="P387" i="2" s="1"/>
  <c r="P386" i="2"/>
  <c r="O386" i="2"/>
  <c r="R386" i="2" s="1"/>
  <c r="N386" i="2"/>
  <c r="Q386" i="2" s="1"/>
  <c r="M386" i="2"/>
  <c r="P385" i="2"/>
  <c r="O385" i="2"/>
  <c r="R385" i="2" s="1"/>
  <c r="N385" i="2"/>
  <c r="Q385" i="2" s="1"/>
  <c r="M385" i="2"/>
  <c r="O384" i="2"/>
  <c r="R384" i="2" s="1"/>
  <c r="N384" i="2"/>
  <c r="Q384" i="2" s="1"/>
  <c r="M384" i="2"/>
  <c r="P384" i="2" s="1"/>
  <c r="S384" i="2" s="1"/>
  <c r="T384" i="2" s="1"/>
  <c r="R383" i="2"/>
  <c r="O383" i="2"/>
  <c r="N383" i="2"/>
  <c r="Q383" i="2" s="1"/>
  <c r="M383" i="2"/>
  <c r="P383" i="2" s="1"/>
  <c r="R382" i="2"/>
  <c r="P382" i="2"/>
  <c r="O382" i="2"/>
  <c r="N382" i="2"/>
  <c r="Q382" i="2" s="1"/>
  <c r="M382" i="2"/>
  <c r="S381" i="2"/>
  <c r="T381" i="2" s="1"/>
  <c r="P381" i="2"/>
  <c r="O381" i="2"/>
  <c r="R381" i="2" s="1"/>
  <c r="N381" i="2"/>
  <c r="Q381" i="2" s="1"/>
  <c r="M381" i="2"/>
  <c r="Q380" i="2"/>
  <c r="P380" i="2"/>
  <c r="S380" i="2" s="1"/>
  <c r="T380" i="2" s="1"/>
  <c r="O380" i="2"/>
  <c r="R380" i="2" s="1"/>
  <c r="N380" i="2"/>
  <c r="M380" i="2"/>
  <c r="O379" i="2"/>
  <c r="R379" i="2" s="1"/>
  <c r="N379" i="2"/>
  <c r="Q379" i="2" s="1"/>
  <c r="M379" i="2"/>
  <c r="P379" i="2" s="1"/>
  <c r="S379" i="2" s="1"/>
  <c r="T379" i="2" s="1"/>
  <c r="O378" i="2"/>
  <c r="R378" i="2" s="1"/>
  <c r="N378" i="2"/>
  <c r="Q378" i="2" s="1"/>
  <c r="M378" i="2"/>
  <c r="P378" i="2" s="1"/>
  <c r="S378" i="2" s="1"/>
  <c r="T378" i="2" s="1"/>
  <c r="P377" i="2"/>
  <c r="O377" i="2"/>
  <c r="R377" i="2" s="1"/>
  <c r="N377" i="2"/>
  <c r="Q377" i="2" s="1"/>
  <c r="M377" i="2"/>
  <c r="Q376" i="2"/>
  <c r="P376" i="2"/>
  <c r="O376" i="2"/>
  <c r="R376" i="2" s="1"/>
  <c r="N376" i="2"/>
  <c r="M376" i="2"/>
  <c r="O375" i="2"/>
  <c r="R375" i="2" s="1"/>
  <c r="N375" i="2"/>
  <c r="Q375" i="2" s="1"/>
  <c r="M375" i="2"/>
  <c r="P375" i="2" s="1"/>
  <c r="O374" i="2"/>
  <c r="R374" i="2" s="1"/>
  <c r="N374" i="2"/>
  <c r="Q374" i="2" s="1"/>
  <c r="M374" i="2"/>
  <c r="P374" i="2" s="1"/>
  <c r="S374" i="2" s="1"/>
  <c r="T374" i="2" s="1"/>
  <c r="R373" i="2"/>
  <c r="Q373" i="2"/>
  <c r="O373" i="2"/>
  <c r="N373" i="2"/>
  <c r="M373" i="2"/>
  <c r="P373" i="2" s="1"/>
  <c r="S373" i="2" s="1"/>
  <c r="T373" i="2" s="1"/>
  <c r="R372" i="2"/>
  <c r="O372" i="2"/>
  <c r="N372" i="2"/>
  <c r="Q372" i="2" s="1"/>
  <c r="M372" i="2"/>
  <c r="P372" i="2" s="1"/>
  <c r="S372" i="2" s="1"/>
  <c r="T372" i="2" s="1"/>
  <c r="O371" i="2"/>
  <c r="R371" i="2" s="1"/>
  <c r="N371" i="2"/>
  <c r="Q371" i="2" s="1"/>
  <c r="M371" i="2"/>
  <c r="P371" i="2" s="1"/>
  <c r="O370" i="2"/>
  <c r="R370" i="2" s="1"/>
  <c r="N370" i="2"/>
  <c r="Q370" i="2" s="1"/>
  <c r="M370" i="2"/>
  <c r="P370" i="2" s="1"/>
  <c r="O369" i="2"/>
  <c r="R369" i="2" s="1"/>
  <c r="N369" i="2"/>
  <c r="Q369" i="2" s="1"/>
  <c r="M369" i="2"/>
  <c r="P369" i="2" s="1"/>
  <c r="S369" i="2" s="1"/>
  <c r="T369" i="2" s="1"/>
  <c r="P368" i="2"/>
  <c r="S368" i="2" s="1"/>
  <c r="T368" i="2" s="1"/>
  <c r="O368" i="2"/>
  <c r="R368" i="2" s="1"/>
  <c r="N368" i="2"/>
  <c r="Q368" i="2" s="1"/>
  <c r="M368" i="2"/>
  <c r="Q367" i="2"/>
  <c r="P367" i="2"/>
  <c r="S367" i="2" s="1"/>
  <c r="T367" i="2" s="1"/>
  <c r="O367" i="2"/>
  <c r="R367" i="2" s="1"/>
  <c r="N367" i="2"/>
  <c r="M367" i="2"/>
  <c r="O366" i="2"/>
  <c r="R366" i="2" s="1"/>
  <c r="N366" i="2"/>
  <c r="Q366" i="2" s="1"/>
  <c r="M366" i="2"/>
  <c r="P366" i="2" s="1"/>
  <c r="S366" i="2" s="1"/>
  <c r="T366" i="2" s="1"/>
  <c r="O365" i="2"/>
  <c r="R365" i="2" s="1"/>
  <c r="N365" i="2"/>
  <c r="Q365" i="2" s="1"/>
  <c r="M365" i="2"/>
  <c r="P365" i="2" s="1"/>
  <c r="R364" i="2"/>
  <c r="Q364" i="2"/>
  <c r="O364" i="2"/>
  <c r="N364" i="2"/>
  <c r="M364" i="2"/>
  <c r="P364" i="2" s="1"/>
  <c r="O363" i="2"/>
  <c r="R363" i="2" s="1"/>
  <c r="N363" i="2"/>
  <c r="Q363" i="2" s="1"/>
  <c r="M363" i="2"/>
  <c r="P363" i="2" s="1"/>
  <c r="S363" i="2" s="1"/>
  <c r="T363" i="2" s="1"/>
  <c r="O362" i="2"/>
  <c r="R362" i="2" s="1"/>
  <c r="N362" i="2"/>
  <c r="Q362" i="2" s="1"/>
  <c r="M362" i="2"/>
  <c r="P362" i="2" s="1"/>
  <c r="O361" i="2"/>
  <c r="R361" i="2" s="1"/>
  <c r="N361" i="2"/>
  <c r="Q361" i="2" s="1"/>
  <c r="M361" i="2"/>
  <c r="P361" i="2" s="1"/>
  <c r="S361" i="2" s="1"/>
  <c r="T361" i="2" s="1"/>
  <c r="O360" i="2"/>
  <c r="R360" i="2" s="1"/>
  <c r="N360" i="2"/>
  <c r="Q360" i="2" s="1"/>
  <c r="M360" i="2"/>
  <c r="P360" i="2" s="1"/>
  <c r="S360" i="2" s="1"/>
  <c r="T360" i="2" s="1"/>
  <c r="P359" i="2"/>
  <c r="O359" i="2"/>
  <c r="R359" i="2" s="1"/>
  <c r="N359" i="2"/>
  <c r="Q359" i="2" s="1"/>
  <c r="M359" i="2"/>
  <c r="Q358" i="2"/>
  <c r="P358" i="2"/>
  <c r="O358" i="2"/>
  <c r="R358" i="2" s="1"/>
  <c r="N358" i="2"/>
  <c r="M358" i="2"/>
  <c r="O357" i="2"/>
  <c r="R357" i="2" s="1"/>
  <c r="N357" i="2"/>
  <c r="Q357" i="2" s="1"/>
  <c r="M357" i="2"/>
  <c r="P357" i="2" s="1"/>
  <c r="O356" i="2"/>
  <c r="R356" i="2" s="1"/>
  <c r="N356" i="2"/>
  <c r="Q356" i="2" s="1"/>
  <c r="M356" i="2"/>
  <c r="P356" i="2" s="1"/>
  <c r="S356" i="2" s="1"/>
  <c r="T356" i="2" s="1"/>
  <c r="R355" i="2"/>
  <c r="Q355" i="2"/>
  <c r="O355" i="2"/>
  <c r="N355" i="2"/>
  <c r="M355" i="2"/>
  <c r="P355" i="2" s="1"/>
  <c r="S355" i="2" s="1"/>
  <c r="T355" i="2" s="1"/>
  <c r="R354" i="2"/>
  <c r="O354" i="2"/>
  <c r="N354" i="2"/>
  <c r="Q354" i="2" s="1"/>
  <c r="M354" i="2"/>
  <c r="P354" i="2" s="1"/>
  <c r="S354" i="2" s="1"/>
  <c r="T354" i="2" s="1"/>
  <c r="O353" i="2"/>
  <c r="R353" i="2" s="1"/>
  <c r="N353" i="2"/>
  <c r="Q353" i="2" s="1"/>
  <c r="M353" i="2"/>
  <c r="P353" i="2" s="1"/>
  <c r="O352" i="2"/>
  <c r="R352" i="2" s="1"/>
  <c r="N352" i="2"/>
  <c r="Q352" i="2" s="1"/>
  <c r="M352" i="2"/>
  <c r="P352" i="2" s="1"/>
  <c r="O351" i="2"/>
  <c r="R351" i="2" s="1"/>
  <c r="N351" i="2"/>
  <c r="Q351" i="2" s="1"/>
  <c r="M351" i="2"/>
  <c r="P351" i="2" s="1"/>
  <c r="S351" i="2" s="1"/>
  <c r="T351" i="2" s="1"/>
  <c r="P350" i="2"/>
  <c r="S350" i="2" s="1"/>
  <c r="T350" i="2" s="1"/>
  <c r="O350" i="2"/>
  <c r="R350" i="2" s="1"/>
  <c r="N350" i="2"/>
  <c r="Q350" i="2" s="1"/>
  <c r="M350" i="2"/>
  <c r="Q349" i="2"/>
  <c r="P349" i="2"/>
  <c r="S349" i="2" s="1"/>
  <c r="T349" i="2" s="1"/>
  <c r="O349" i="2"/>
  <c r="R349" i="2" s="1"/>
  <c r="N349" i="2"/>
  <c r="M349" i="2"/>
  <c r="O348" i="2"/>
  <c r="R348" i="2" s="1"/>
  <c r="N348" i="2"/>
  <c r="Q348" i="2" s="1"/>
  <c r="M348" i="2"/>
  <c r="P348" i="2" s="1"/>
  <c r="S348" i="2" s="1"/>
  <c r="T348" i="2" s="1"/>
  <c r="O347" i="2"/>
  <c r="R347" i="2" s="1"/>
  <c r="N347" i="2"/>
  <c r="Q347" i="2" s="1"/>
  <c r="M347" i="2"/>
  <c r="P347" i="2" s="1"/>
  <c r="R346" i="2"/>
  <c r="Q346" i="2"/>
  <c r="O346" i="2"/>
  <c r="N346" i="2"/>
  <c r="M346" i="2"/>
  <c r="P346" i="2" s="1"/>
  <c r="O345" i="2"/>
  <c r="R345" i="2" s="1"/>
  <c r="N345" i="2"/>
  <c r="Q345" i="2" s="1"/>
  <c r="M345" i="2"/>
  <c r="P345" i="2" s="1"/>
  <c r="S345" i="2" s="1"/>
  <c r="T345" i="2" s="1"/>
  <c r="O344" i="2"/>
  <c r="R344" i="2" s="1"/>
  <c r="N344" i="2"/>
  <c r="Q344" i="2" s="1"/>
  <c r="M344" i="2"/>
  <c r="P344" i="2" s="1"/>
  <c r="O343" i="2"/>
  <c r="R343" i="2" s="1"/>
  <c r="N343" i="2"/>
  <c r="Q343" i="2" s="1"/>
  <c r="M343" i="2"/>
  <c r="P343" i="2" s="1"/>
  <c r="S343" i="2" s="1"/>
  <c r="T343" i="2" s="1"/>
  <c r="O342" i="2"/>
  <c r="R342" i="2" s="1"/>
  <c r="N342" i="2"/>
  <c r="Q342" i="2" s="1"/>
  <c r="M342" i="2"/>
  <c r="P342" i="2" s="1"/>
  <c r="S342" i="2" s="1"/>
  <c r="T342" i="2" s="1"/>
  <c r="P341" i="2"/>
  <c r="O341" i="2"/>
  <c r="R341" i="2" s="1"/>
  <c r="N341" i="2"/>
  <c r="Q341" i="2" s="1"/>
  <c r="M341" i="2"/>
  <c r="Q340" i="2"/>
  <c r="P340" i="2"/>
  <c r="O340" i="2"/>
  <c r="R340" i="2" s="1"/>
  <c r="N340" i="2"/>
  <c r="M340" i="2"/>
  <c r="O339" i="2"/>
  <c r="R339" i="2" s="1"/>
  <c r="N339" i="2"/>
  <c r="Q339" i="2" s="1"/>
  <c r="M339" i="2"/>
  <c r="P339" i="2" s="1"/>
  <c r="O338" i="2"/>
  <c r="R338" i="2" s="1"/>
  <c r="N338" i="2"/>
  <c r="Q338" i="2" s="1"/>
  <c r="M338" i="2"/>
  <c r="P338" i="2" s="1"/>
  <c r="S338" i="2" s="1"/>
  <c r="T338" i="2" s="1"/>
  <c r="R337" i="2"/>
  <c r="Q337" i="2"/>
  <c r="O337" i="2"/>
  <c r="N337" i="2"/>
  <c r="M337" i="2"/>
  <c r="P337" i="2" s="1"/>
  <c r="S337" i="2" s="1"/>
  <c r="T337" i="2" s="1"/>
  <c r="R336" i="2"/>
  <c r="O336" i="2"/>
  <c r="N336" i="2"/>
  <c r="Q336" i="2" s="1"/>
  <c r="M336" i="2"/>
  <c r="P336" i="2" s="1"/>
  <c r="S336" i="2" s="1"/>
  <c r="T336" i="2" s="1"/>
  <c r="O335" i="2"/>
  <c r="R335" i="2" s="1"/>
  <c r="N335" i="2"/>
  <c r="Q335" i="2" s="1"/>
  <c r="M335" i="2"/>
  <c r="P335" i="2" s="1"/>
  <c r="O334" i="2"/>
  <c r="R334" i="2" s="1"/>
  <c r="N334" i="2"/>
  <c r="Q334" i="2" s="1"/>
  <c r="M334" i="2"/>
  <c r="P334" i="2" s="1"/>
  <c r="O333" i="2"/>
  <c r="R333" i="2" s="1"/>
  <c r="N333" i="2"/>
  <c r="Q333" i="2" s="1"/>
  <c r="M333" i="2"/>
  <c r="P333" i="2" s="1"/>
  <c r="S333" i="2" s="1"/>
  <c r="T333" i="2" s="1"/>
  <c r="P332" i="2"/>
  <c r="S332" i="2" s="1"/>
  <c r="T332" i="2" s="1"/>
  <c r="O332" i="2"/>
  <c r="R332" i="2" s="1"/>
  <c r="N332" i="2"/>
  <c r="Q332" i="2" s="1"/>
  <c r="M332" i="2"/>
  <c r="Q331" i="2"/>
  <c r="P331" i="2"/>
  <c r="S331" i="2" s="1"/>
  <c r="T331" i="2" s="1"/>
  <c r="O331" i="2"/>
  <c r="R331" i="2" s="1"/>
  <c r="N331" i="2"/>
  <c r="M331" i="2"/>
  <c r="O330" i="2"/>
  <c r="R330" i="2" s="1"/>
  <c r="N330" i="2"/>
  <c r="Q330" i="2" s="1"/>
  <c r="M330" i="2"/>
  <c r="P330" i="2" s="1"/>
  <c r="S330" i="2" s="1"/>
  <c r="T330" i="2" s="1"/>
  <c r="O329" i="2"/>
  <c r="R329" i="2" s="1"/>
  <c r="N329" i="2"/>
  <c r="Q329" i="2" s="1"/>
  <c r="M329" i="2"/>
  <c r="P329" i="2" s="1"/>
  <c r="R328" i="2"/>
  <c r="Q328" i="2"/>
  <c r="O328" i="2"/>
  <c r="N328" i="2"/>
  <c r="M328" i="2"/>
  <c r="P328" i="2" s="1"/>
  <c r="O327" i="2"/>
  <c r="R327" i="2" s="1"/>
  <c r="N327" i="2"/>
  <c r="Q327" i="2" s="1"/>
  <c r="M327" i="2"/>
  <c r="P327" i="2" s="1"/>
  <c r="S327" i="2" s="1"/>
  <c r="T327" i="2" s="1"/>
  <c r="O326" i="2"/>
  <c r="R326" i="2" s="1"/>
  <c r="N326" i="2"/>
  <c r="Q326" i="2" s="1"/>
  <c r="M326" i="2"/>
  <c r="P326" i="2" s="1"/>
  <c r="O325" i="2"/>
  <c r="R325" i="2" s="1"/>
  <c r="N325" i="2"/>
  <c r="Q325" i="2" s="1"/>
  <c r="M325" i="2"/>
  <c r="P325" i="2" s="1"/>
  <c r="S325" i="2" s="1"/>
  <c r="T325" i="2" s="1"/>
  <c r="O324" i="2"/>
  <c r="R324" i="2" s="1"/>
  <c r="N324" i="2"/>
  <c r="Q324" i="2" s="1"/>
  <c r="M324" i="2"/>
  <c r="P324" i="2" s="1"/>
  <c r="S324" i="2" s="1"/>
  <c r="T324" i="2" s="1"/>
  <c r="P323" i="2"/>
  <c r="O323" i="2"/>
  <c r="R323" i="2" s="1"/>
  <c r="N323" i="2"/>
  <c r="Q323" i="2" s="1"/>
  <c r="M323" i="2"/>
  <c r="Q322" i="2"/>
  <c r="P322" i="2"/>
  <c r="O322" i="2"/>
  <c r="R322" i="2" s="1"/>
  <c r="N322" i="2"/>
  <c r="M322" i="2"/>
  <c r="O321" i="2"/>
  <c r="R321" i="2" s="1"/>
  <c r="N321" i="2"/>
  <c r="Q321" i="2" s="1"/>
  <c r="M321" i="2"/>
  <c r="P321" i="2" s="1"/>
  <c r="O320" i="2"/>
  <c r="R320" i="2" s="1"/>
  <c r="N320" i="2"/>
  <c r="Q320" i="2" s="1"/>
  <c r="M320" i="2"/>
  <c r="P320" i="2" s="1"/>
  <c r="S320" i="2" s="1"/>
  <c r="T320" i="2" s="1"/>
  <c r="R319" i="2"/>
  <c r="Q319" i="2"/>
  <c r="O319" i="2"/>
  <c r="N319" i="2"/>
  <c r="M319" i="2"/>
  <c r="P319" i="2" s="1"/>
  <c r="S319" i="2" s="1"/>
  <c r="T319" i="2" s="1"/>
  <c r="R318" i="2"/>
  <c r="O318" i="2"/>
  <c r="N318" i="2"/>
  <c r="Q318" i="2" s="1"/>
  <c r="M318" i="2"/>
  <c r="P318" i="2" s="1"/>
  <c r="S318" i="2" s="1"/>
  <c r="T318" i="2" s="1"/>
  <c r="O317" i="2"/>
  <c r="R317" i="2" s="1"/>
  <c r="N317" i="2"/>
  <c r="Q317" i="2" s="1"/>
  <c r="M317" i="2"/>
  <c r="P317" i="2" s="1"/>
  <c r="O316" i="2"/>
  <c r="R316" i="2" s="1"/>
  <c r="N316" i="2"/>
  <c r="Q316" i="2" s="1"/>
  <c r="M316" i="2"/>
  <c r="P316" i="2" s="1"/>
  <c r="O315" i="2"/>
  <c r="R315" i="2" s="1"/>
  <c r="N315" i="2"/>
  <c r="Q315" i="2" s="1"/>
  <c r="M315" i="2"/>
  <c r="P315" i="2" s="1"/>
  <c r="S315" i="2" s="1"/>
  <c r="T315" i="2" s="1"/>
  <c r="P314" i="2"/>
  <c r="S314" i="2" s="1"/>
  <c r="T314" i="2" s="1"/>
  <c r="O314" i="2"/>
  <c r="R314" i="2" s="1"/>
  <c r="N314" i="2"/>
  <c r="Q314" i="2" s="1"/>
  <c r="M314" i="2"/>
  <c r="Q313" i="2"/>
  <c r="P313" i="2"/>
  <c r="S313" i="2" s="1"/>
  <c r="T313" i="2" s="1"/>
  <c r="O313" i="2"/>
  <c r="R313" i="2" s="1"/>
  <c r="N313" i="2"/>
  <c r="M313" i="2"/>
  <c r="O312" i="2"/>
  <c r="R312" i="2" s="1"/>
  <c r="N312" i="2"/>
  <c r="Q312" i="2" s="1"/>
  <c r="M312" i="2"/>
  <c r="P312" i="2" s="1"/>
  <c r="S312" i="2" s="1"/>
  <c r="T312" i="2" s="1"/>
  <c r="O311" i="2"/>
  <c r="R311" i="2" s="1"/>
  <c r="N311" i="2"/>
  <c r="Q311" i="2" s="1"/>
  <c r="M311" i="2"/>
  <c r="P311" i="2" s="1"/>
  <c r="R310" i="2"/>
  <c r="Q310" i="2"/>
  <c r="O310" i="2"/>
  <c r="N310" i="2"/>
  <c r="M310" i="2"/>
  <c r="P310" i="2" s="1"/>
  <c r="O309" i="2"/>
  <c r="R309" i="2" s="1"/>
  <c r="N309" i="2"/>
  <c r="Q309" i="2" s="1"/>
  <c r="M309" i="2"/>
  <c r="P309" i="2" s="1"/>
  <c r="O308" i="2"/>
  <c r="R308" i="2" s="1"/>
  <c r="N308" i="2"/>
  <c r="Q308" i="2" s="1"/>
  <c r="M308" i="2"/>
  <c r="P308" i="2" s="1"/>
  <c r="O307" i="2"/>
  <c r="R307" i="2" s="1"/>
  <c r="N307" i="2"/>
  <c r="Q307" i="2" s="1"/>
  <c r="M307" i="2"/>
  <c r="P307" i="2" s="1"/>
  <c r="S307" i="2" s="1"/>
  <c r="T307" i="2" s="1"/>
  <c r="O306" i="2"/>
  <c r="R306" i="2" s="1"/>
  <c r="N306" i="2"/>
  <c r="Q306" i="2" s="1"/>
  <c r="M306" i="2"/>
  <c r="P306" i="2" s="1"/>
  <c r="S306" i="2" s="1"/>
  <c r="T306" i="2" s="1"/>
  <c r="P305" i="2"/>
  <c r="O305" i="2"/>
  <c r="R305" i="2" s="1"/>
  <c r="N305" i="2"/>
  <c r="Q305" i="2" s="1"/>
  <c r="M305" i="2"/>
  <c r="P304" i="2"/>
  <c r="O304" i="2"/>
  <c r="R304" i="2" s="1"/>
  <c r="N304" i="2"/>
  <c r="Q304" i="2" s="1"/>
  <c r="M304" i="2"/>
  <c r="O303" i="2"/>
  <c r="R303" i="2" s="1"/>
  <c r="N303" i="2"/>
  <c r="Q303" i="2" s="1"/>
  <c r="M303" i="2"/>
  <c r="P303" i="2" s="1"/>
  <c r="P302" i="2"/>
  <c r="O302" i="2"/>
  <c r="R302" i="2" s="1"/>
  <c r="N302" i="2"/>
  <c r="Q302" i="2" s="1"/>
  <c r="M302" i="2"/>
  <c r="Q301" i="2"/>
  <c r="O301" i="2"/>
  <c r="R301" i="2" s="1"/>
  <c r="N301" i="2"/>
  <c r="M301" i="2"/>
  <c r="P301" i="2" s="1"/>
  <c r="S301" i="2" s="1"/>
  <c r="T301" i="2" s="1"/>
  <c r="O300" i="2"/>
  <c r="R300" i="2" s="1"/>
  <c r="N300" i="2"/>
  <c r="Q300" i="2" s="1"/>
  <c r="M300" i="2"/>
  <c r="P300" i="2" s="1"/>
  <c r="P299" i="2"/>
  <c r="O299" i="2"/>
  <c r="R299" i="2" s="1"/>
  <c r="N299" i="2"/>
  <c r="Q299" i="2" s="1"/>
  <c r="M299" i="2"/>
  <c r="R298" i="2"/>
  <c r="P298" i="2"/>
  <c r="O298" i="2"/>
  <c r="N298" i="2"/>
  <c r="Q298" i="2" s="1"/>
  <c r="M298" i="2"/>
  <c r="O297" i="2"/>
  <c r="R297" i="2" s="1"/>
  <c r="N297" i="2"/>
  <c r="Q297" i="2" s="1"/>
  <c r="M297" i="2"/>
  <c r="P297" i="2" s="1"/>
  <c r="S297" i="2" s="1"/>
  <c r="T297" i="2" s="1"/>
  <c r="O296" i="2"/>
  <c r="R296" i="2" s="1"/>
  <c r="N296" i="2"/>
  <c r="Q296" i="2" s="1"/>
  <c r="M296" i="2"/>
  <c r="P296" i="2" s="1"/>
  <c r="Q295" i="2"/>
  <c r="O295" i="2"/>
  <c r="R295" i="2" s="1"/>
  <c r="N295" i="2"/>
  <c r="M295" i="2"/>
  <c r="P295" i="2" s="1"/>
  <c r="S295" i="2" s="1"/>
  <c r="T295" i="2" s="1"/>
  <c r="O294" i="2"/>
  <c r="R294" i="2" s="1"/>
  <c r="N294" i="2"/>
  <c r="Q294" i="2" s="1"/>
  <c r="S294" i="2" s="1"/>
  <c r="T294" i="2" s="1"/>
  <c r="M294" i="2"/>
  <c r="P294" i="2" s="1"/>
  <c r="P293" i="2"/>
  <c r="O293" i="2"/>
  <c r="R293" i="2" s="1"/>
  <c r="N293" i="2"/>
  <c r="Q293" i="2" s="1"/>
  <c r="M293" i="2"/>
  <c r="R292" i="2"/>
  <c r="O292" i="2"/>
  <c r="N292" i="2"/>
  <c r="Q292" i="2" s="1"/>
  <c r="M292" i="2"/>
  <c r="P292" i="2" s="1"/>
  <c r="S292" i="2" s="1"/>
  <c r="T292" i="2" s="1"/>
  <c r="S291" i="2"/>
  <c r="T291" i="2" s="1"/>
  <c r="O291" i="2"/>
  <c r="R291" i="2" s="1"/>
  <c r="N291" i="2"/>
  <c r="Q291" i="2" s="1"/>
  <c r="M291" i="2"/>
  <c r="P291" i="2" s="1"/>
  <c r="Q290" i="2"/>
  <c r="P290" i="2"/>
  <c r="S290" i="2" s="1"/>
  <c r="T290" i="2" s="1"/>
  <c r="O290" i="2"/>
  <c r="R290" i="2" s="1"/>
  <c r="N290" i="2"/>
  <c r="M290" i="2"/>
  <c r="Q289" i="2"/>
  <c r="P289" i="2"/>
  <c r="O289" i="2"/>
  <c r="R289" i="2" s="1"/>
  <c r="N289" i="2"/>
  <c r="M289" i="2"/>
  <c r="O288" i="2"/>
  <c r="R288" i="2" s="1"/>
  <c r="N288" i="2"/>
  <c r="Q288" i="2" s="1"/>
  <c r="S288" i="2" s="1"/>
  <c r="T288" i="2" s="1"/>
  <c r="M288" i="2"/>
  <c r="P288" i="2" s="1"/>
  <c r="Q287" i="2"/>
  <c r="O287" i="2"/>
  <c r="R287" i="2" s="1"/>
  <c r="N287" i="2"/>
  <c r="M287" i="2"/>
  <c r="P287" i="2" s="1"/>
  <c r="S287" i="2" s="1"/>
  <c r="T287" i="2" s="1"/>
  <c r="Q286" i="2"/>
  <c r="O286" i="2"/>
  <c r="R286" i="2" s="1"/>
  <c r="N286" i="2"/>
  <c r="M286" i="2"/>
  <c r="P286" i="2" s="1"/>
  <c r="O285" i="2"/>
  <c r="R285" i="2" s="1"/>
  <c r="N285" i="2"/>
  <c r="Q285" i="2" s="1"/>
  <c r="M285" i="2"/>
  <c r="P285" i="2" s="1"/>
  <c r="S285" i="2" s="1"/>
  <c r="T285" i="2" s="1"/>
  <c r="Q284" i="2"/>
  <c r="O284" i="2"/>
  <c r="R284" i="2" s="1"/>
  <c r="N284" i="2"/>
  <c r="M284" i="2"/>
  <c r="P284" i="2" s="1"/>
  <c r="R283" i="2"/>
  <c r="Q283" i="2"/>
  <c r="O283" i="2"/>
  <c r="N283" i="2"/>
  <c r="M283" i="2"/>
  <c r="P283" i="2" s="1"/>
  <c r="T282" i="2"/>
  <c r="O282" i="2"/>
  <c r="R282" i="2" s="1"/>
  <c r="N282" i="2"/>
  <c r="Q282" i="2" s="1"/>
  <c r="M282" i="2"/>
  <c r="P282" i="2" s="1"/>
  <c r="S282" i="2" s="1"/>
  <c r="O281" i="2"/>
  <c r="R281" i="2" s="1"/>
  <c r="N281" i="2"/>
  <c r="Q281" i="2" s="1"/>
  <c r="M281" i="2"/>
  <c r="P281" i="2" s="1"/>
  <c r="R280" i="2"/>
  <c r="O280" i="2"/>
  <c r="N280" i="2"/>
  <c r="Q280" i="2" s="1"/>
  <c r="M280" i="2"/>
  <c r="P280" i="2" s="1"/>
  <c r="O279" i="2"/>
  <c r="R279" i="2" s="1"/>
  <c r="N279" i="2"/>
  <c r="Q279" i="2" s="1"/>
  <c r="M279" i="2"/>
  <c r="P279" i="2" s="1"/>
  <c r="S279" i="2" s="1"/>
  <c r="T279" i="2" s="1"/>
  <c r="O278" i="2"/>
  <c r="R278" i="2" s="1"/>
  <c r="N278" i="2"/>
  <c r="Q278" i="2" s="1"/>
  <c r="M278" i="2"/>
  <c r="P278" i="2" s="1"/>
  <c r="O277" i="2"/>
  <c r="R277" i="2" s="1"/>
  <c r="N277" i="2"/>
  <c r="Q277" i="2" s="1"/>
  <c r="M277" i="2"/>
  <c r="P277" i="2" s="1"/>
  <c r="S277" i="2" s="1"/>
  <c r="T277" i="2" s="1"/>
  <c r="O276" i="2"/>
  <c r="R276" i="2" s="1"/>
  <c r="N276" i="2"/>
  <c r="Q276" i="2" s="1"/>
  <c r="S276" i="2" s="1"/>
  <c r="T276" i="2" s="1"/>
  <c r="M276" i="2"/>
  <c r="P276" i="2" s="1"/>
  <c r="P275" i="2"/>
  <c r="O275" i="2"/>
  <c r="R275" i="2" s="1"/>
  <c r="N275" i="2"/>
  <c r="Q275" i="2" s="1"/>
  <c r="M275" i="2"/>
  <c r="P274" i="2"/>
  <c r="O274" i="2"/>
  <c r="R274" i="2" s="1"/>
  <c r="N274" i="2"/>
  <c r="Q274" i="2" s="1"/>
  <c r="M274" i="2"/>
  <c r="O273" i="2"/>
  <c r="R273" i="2" s="1"/>
  <c r="N273" i="2"/>
  <c r="Q273" i="2" s="1"/>
  <c r="M273" i="2"/>
  <c r="P273" i="2" s="1"/>
  <c r="S273" i="2" s="1"/>
  <c r="T273" i="2" s="1"/>
  <c r="Q272" i="2"/>
  <c r="O272" i="2"/>
  <c r="R272" i="2" s="1"/>
  <c r="N272" i="2"/>
  <c r="M272" i="2"/>
  <c r="P272" i="2" s="1"/>
  <c r="S272" i="2" s="1"/>
  <c r="T272" i="2" s="1"/>
  <c r="R271" i="2"/>
  <c r="Q271" i="2"/>
  <c r="O271" i="2"/>
  <c r="N271" i="2"/>
  <c r="M271" i="2"/>
  <c r="P271" i="2" s="1"/>
  <c r="S271" i="2" s="1"/>
  <c r="T271" i="2" s="1"/>
  <c r="S270" i="2"/>
  <c r="T270" i="2" s="1"/>
  <c r="R270" i="2"/>
  <c r="O270" i="2"/>
  <c r="N270" i="2"/>
  <c r="Q270" i="2" s="1"/>
  <c r="M270" i="2"/>
  <c r="P270" i="2" s="1"/>
  <c r="Q269" i="2"/>
  <c r="P269" i="2"/>
  <c r="O269" i="2"/>
  <c r="R269" i="2" s="1"/>
  <c r="N269" i="2"/>
  <c r="M269" i="2"/>
  <c r="O268" i="2"/>
  <c r="R268" i="2" s="1"/>
  <c r="N268" i="2"/>
  <c r="Q268" i="2" s="1"/>
  <c r="M268" i="2"/>
  <c r="P268" i="2" s="1"/>
  <c r="O267" i="2"/>
  <c r="R267" i="2" s="1"/>
  <c r="N267" i="2"/>
  <c r="Q267" i="2" s="1"/>
  <c r="M267" i="2"/>
  <c r="P267" i="2" s="1"/>
  <c r="S267" i="2" s="1"/>
  <c r="T267" i="2" s="1"/>
  <c r="Q266" i="2"/>
  <c r="O266" i="2"/>
  <c r="R266" i="2" s="1"/>
  <c r="N266" i="2"/>
  <c r="M266" i="2"/>
  <c r="P266" i="2" s="1"/>
  <c r="R265" i="2"/>
  <c r="Q265" i="2"/>
  <c r="O265" i="2"/>
  <c r="N265" i="2"/>
  <c r="M265" i="2"/>
  <c r="P265" i="2" s="1"/>
  <c r="O264" i="2"/>
  <c r="R264" i="2" s="1"/>
  <c r="N264" i="2"/>
  <c r="Q264" i="2" s="1"/>
  <c r="M264" i="2"/>
  <c r="P264" i="2" s="1"/>
  <c r="O263" i="2"/>
  <c r="R263" i="2" s="1"/>
  <c r="N263" i="2"/>
  <c r="Q263" i="2" s="1"/>
  <c r="M263" i="2"/>
  <c r="P263" i="2" s="1"/>
  <c r="O262" i="2"/>
  <c r="R262" i="2" s="1"/>
  <c r="N262" i="2"/>
  <c r="Q262" i="2" s="1"/>
  <c r="S262" i="2" s="1"/>
  <c r="T262" i="2" s="1"/>
  <c r="M262" i="2"/>
  <c r="P262" i="2" s="1"/>
  <c r="O261" i="2"/>
  <c r="R261" i="2" s="1"/>
  <c r="N261" i="2"/>
  <c r="Q261" i="2" s="1"/>
  <c r="M261" i="2"/>
  <c r="P261" i="2" s="1"/>
  <c r="S261" i="2" s="1"/>
  <c r="T261" i="2" s="1"/>
  <c r="O260" i="2"/>
  <c r="R260" i="2" s="1"/>
  <c r="N260" i="2"/>
  <c r="Q260" i="2" s="1"/>
  <c r="M260" i="2"/>
  <c r="P260" i="2" s="1"/>
  <c r="O259" i="2"/>
  <c r="R259" i="2" s="1"/>
  <c r="N259" i="2"/>
  <c r="Q259" i="2" s="1"/>
  <c r="M259" i="2"/>
  <c r="P259" i="2" s="1"/>
  <c r="S259" i="2" s="1"/>
  <c r="T259" i="2" s="1"/>
  <c r="O258" i="2"/>
  <c r="R258" i="2" s="1"/>
  <c r="N258" i="2"/>
  <c r="Q258" i="2" s="1"/>
  <c r="S258" i="2" s="1"/>
  <c r="T258" i="2" s="1"/>
  <c r="M258" i="2"/>
  <c r="P258" i="2" s="1"/>
  <c r="P257" i="2"/>
  <c r="O257" i="2"/>
  <c r="R257" i="2" s="1"/>
  <c r="N257" i="2"/>
  <c r="Q257" i="2" s="1"/>
  <c r="M257" i="2"/>
  <c r="P256" i="2"/>
  <c r="O256" i="2"/>
  <c r="R256" i="2" s="1"/>
  <c r="N256" i="2"/>
  <c r="Q256" i="2" s="1"/>
  <c r="M256" i="2"/>
  <c r="O255" i="2"/>
  <c r="N255" i="2"/>
  <c r="Q255" i="2" s="1"/>
  <c r="M255" i="2"/>
  <c r="P255" i="2" s="1"/>
  <c r="S255" i="2" s="1"/>
  <c r="Q254" i="2"/>
  <c r="O254" i="2"/>
  <c r="R254" i="2" s="1"/>
  <c r="N254" i="2"/>
  <c r="M254" i="2"/>
  <c r="P254" i="2" s="1"/>
  <c r="S254" i="2" s="1"/>
  <c r="T254" i="2" s="1"/>
  <c r="R253" i="2"/>
  <c r="Q253" i="2"/>
  <c r="O253" i="2"/>
  <c r="N253" i="2"/>
  <c r="M253" i="2"/>
  <c r="P253" i="2" s="1"/>
  <c r="S253" i="2" s="1"/>
  <c r="T253" i="2" s="1"/>
  <c r="S252" i="2"/>
  <c r="T252" i="2" s="1"/>
  <c r="R252" i="2"/>
  <c r="O252" i="2"/>
  <c r="N252" i="2"/>
  <c r="Q252" i="2" s="1"/>
  <c r="M252" i="2"/>
  <c r="P252" i="2" s="1"/>
  <c r="Q251" i="2"/>
  <c r="P251" i="2"/>
  <c r="O251" i="2"/>
  <c r="R251" i="2" s="1"/>
  <c r="N251" i="2"/>
  <c r="M251" i="2"/>
  <c r="O250" i="2"/>
  <c r="R250" i="2" s="1"/>
  <c r="N250" i="2"/>
  <c r="Q250" i="2" s="1"/>
  <c r="M250" i="2"/>
  <c r="P250" i="2" s="1"/>
  <c r="O249" i="2"/>
  <c r="R249" i="2" s="1"/>
  <c r="N249" i="2"/>
  <c r="Q249" i="2" s="1"/>
  <c r="M249" i="2"/>
  <c r="P249" i="2" s="1"/>
  <c r="S249" i="2" s="1"/>
  <c r="T249" i="2" s="1"/>
  <c r="Q248" i="2"/>
  <c r="O248" i="2"/>
  <c r="R248" i="2" s="1"/>
  <c r="N248" i="2"/>
  <c r="M248" i="2"/>
  <c r="P248" i="2" s="1"/>
  <c r="R247" i="2"/>
  <c r="Q247" i="2"/>
  <c r="O247" i="2"/>
  <c r="N247" i="2"/>
  <c r="M247" i="2"/>
  <c r="P247" i="2" s="1"/>
  <c r="O246" i="2"/>
  <c r="R246" i="2" s="1"/>
  <c r="N246" i="2"/>
  <c r="Q246" i="2" s="1"/>
  <c r="M246" i="2"/>
  <c r="P246" i="2" s="1"/>
  <c r="S246" i="2" s="1"/>
  <c r="T246" i="2" s="1"/>
  <c r="O245" i="2"/>
  <c r="R245" i="2" s="1"/>
  <c r="N245" i="2"/>
  <c r="Q245" i="2" s="1"/>
  <c r="M245" i="2"/>
  <c r="P245" i="2" s="1"/>
  <c r="R244" i="2"/>
  <c r="O244" i="2"/>
  <c r="N244" i="2"/>
  <c r="Q244" i="2" s="1"/>
  <c r="M244" i="2"/>
  <c r="P244" i="2" s="1"/>
  <c r="S244" i="2" s="1"/>
  <c r="T244" i="2" s="1"/>
  <c r="O243" i="2"/>
  <c r="R243" i="2" s="1"/>
  <c r="N243" i="2"/>
  <c r="Q243" i="2" s="1"/>
  <c r="M243" i="2"/>
  <c r="P243" i="2" s="1"/>
  <c r="O242" i="2"/>
  <c r="R242" i="2" s="1"/>
  <c r="N242" i="2"/>
  <c r="Q242" i="2" s="1"/>
  <c r="M242" i="2"/>
  <c r="P242" i="2" s="1"/>
  <c r="R241" i="2"/>
  <c r="O241" i="2"/>
  <c r="N241" i="2"/>
  <c r="Q241" i="2" s="1"/>
  <c r="M241" i="2"/>
  <c r="P241" i="2" s="1"/>
  <c r="S241" i="2" s="1"/>
  <c r="T241" i="2" s="1"/>
  <c r="O240" i="2"/>
  <c r="R240" i="2" s="1"/>
  <c r="N240" i="2"/>
  <c r="Q240" i="2" s="1"/>
  <c r="M240" i="2"/>
  <c r="P240" i="2" s="1"/>
  <c r="O239" i="2"/>
  <c r="R239" i="2" s="1"/>
  <c r="N239" i="2"/>
  <c r="Q239" i="2" s="1"/>
  <c r="M239" i="2"/>
  <c r="P239" i="2" s="1"/>
  <c r="O238" i="2"/>
  <c r="R238" i="2" s="1"/>
  <c r="N238" i="2"/>
  <c r="Q238" i="2" s="1"/>
  <c r="M238" i="2"/>
  <c r="P238" i="2" s="1"/>
  <c r="O237" i="2"/>
  <c r="R237" i="2" s="1"/>
  <c r="N237" i="2"/>
  <c r="Q237" i="2" s="1"/>
  <c r="M237" i="2"/>
  <c r="P237" i="2" s="1"/>
  <c r="S237" i="2" s="1"/>
  <c r="T237" i="2" s="1"/>
  <c r="Q236" i="2"/>
  <c r="P236" i="2"/>
  <c r="S236" i="2" s="1"/>
  <c r="T236" i="2" s="1"/>
  <c r="O236" i="2"/>
  <c r="R236" i="2" s="1"/>
  <c r="N236" i="2"/>
  <c r="M236" i="2"/>
  <c r="R235" i="2"/>
  <c r="Q235" i="2"/>
  <c r="P235" i="2"/>
  <c r="S235" i="2" s="1"/>
  <c r="T235" i="2" s="1"/>
  <c r="O235" i="2"/>
  <c r="N235" i="2"/>
  <c r="M235" i="2"/>
  <c r="S234" i="2"/>
  <c r="T234" i="2" s="1"/>
  <c r="O234" i="2"/>
  <c r="R234" i="2" s="1"/>
  <c r="N234" i="2"/>
  <c r="Q234" i="2" s="1"/>
  <c r="M234" i="2"/>
  <c r="P234" i="2" s="1"/>
  <c r="P233" i="2"/>
  <c r="O233" i="2"/>
  <c r="R233" i="2" s="1"/>
  <c r="N233" i="2"/>
  <c r="Q233" i="2" s="1"/>
  <c r="M233" i="2"/>
  <c r="O232" i="2"/>
  <c r="R232" i="2" s="1"/>
  <c r="N232" i="2"/>
  <c r="Q232" i="2" s="1"/>
  <c r="M232" i="2"/>
  <c r="P232" i="2" s="1"/>
  <c r="O231" i="2"/>
  <c r="R231" i="2" s="1"/>
  <c r="N231" i="2"/>
  <c r="Q231" i="2" s="1"/>
  <c r="M231" i="2"/>
  <c r="P231" i="2" s="1"/>
  <c r="S231" i="2" s="1"/>
  <c r="T231" i="2" s="1"/>
  <c r="Q230" i="2"/>
  <c r="P230" i="2"/>
  <c r="O230" i="2"/>
  <c r="R230" i="2" s="1"/>
  <c r="N230" i="2"/>
  <c r="M230" i="2"/>
  <c r="Q229" i="2"/>
  <c r="O229" i="2"/>
  <c r="R229" i="2" s="1"/>
  <c r="N229" i="2"/>
  <c r="M229" i="2"/>
  <c r="P229" i="2" s="1"/>
  <c r="O228" i="2"/>
  <c r="R228" i="2" s="1"/>
  <c r="N228" i="2"/>
  <c r="Q228" i="2" s="1"/>
  <c r="M228" i="2"/>
  <c r="P228" i="2" s="1"/>
  <c r="P227" i="2"/>
  <c r="O227" i="2"/>
  <c r="R227" i="2" s="1"/>
  <c r="N227" i="2"/>
  <c r="Q227" i="2" s="1"/>
  <c r="M227" i="2"/>
  <c r="Q226" i="2"/>
  <c r="O226" i="2"/>
  <c r="R226" i="2" s="1"/>
  <c r="N226" i="2"/>
  <c r="M226" i="2"/>
  <c r="P226" i="2" s="1"/>
  <c r="O225" i="2"/>
  <c r="R225" i="2" s="1"/>
  <c r="N225" i="2"/>
  <c r="Q225" i="2" s="1"/>
  <c r="M225" i="2"/>
  <c r="P225" i="2" s="1"/>
  <c r="P224" i="2"/>
  <c r="O224" i="2"/>
  <c r="R224" i="2" s="1"/>
  <c r="N224" i="2"/>
  <c r="Q224" i="2" s="1"/>
  <c r="M224" i="2"/>
  <c r="R223" i="2"/>
  <c r="Q223" i="2"/>
  <c r="P223" i="2"/>
  <c r="S223" i="2" s="1"/>
  <c r="T223" i="2" s="1"/>
  <c r="O223" i="2"/>
  <c r="N223" i="2"/>
  <c r="M223" i="2"/>
  <c r="O222" i="2"/>
  <c r="R222" i="2" s="1"/>
  <c r="N222" i="2"/>
  <c r="Q222" i="2" s="1"/>
  <c r="M222" i="2"/>
  <c r="P222" i="2" s="1"/>
  <c r="O221" i="2"/>
  <c r="R221" i="2" s="1"/>
  <c r="N221" i="2"/>
  <c r="Q221" i="2" s="1"/>
  <c r="M221" i="2"/>
  <c r="P221" i="2" s="1"/>
  <c r="R220" i="2"/>
  <c r="Q220" i="2"/>
  <c r="O220" i="2"/>
  <c r="N220" i="2"/>
  <c r="M220" i="2"/>
  <c r="P220" i="2" s="1"/>
  <c r="S220" i="2" s="1"/>
  <c r="T220" i="2" s="1"/>
  <c r="S219" i="2"/>
  <c r="T219" i="2" s="1"/>
  <c r="O219" i="2"/>
  <c r="R219" i="2" s="1"/>
  <c r="N219" i="2"/>
  <c r="Q219" i="2" s="1"/>
  <c r="M219" i="2"/>
  <c r="P219" i="2" s="1"/>
  <c r="P218" i="2"/>
  <c r="O218" i="2"/>
  <c r="R218" i="2" s="1"/>
  <c r="N218" i="2"/>
  <c r="Q218" i="2" s="1"/>
  <c r="M218" i="2"/>
  <c r="P217" i="2"/>
  <c r="O217" i="2"/>
  <c r="R217" i="2" s="1"/>
  <c r="N217" i="2"/>
  <c r="Q217" i="2" s="1"/>
  <c r="M217" i="2"/>
  <c r="O216" i="2"/>
  <c r="R216" i="2" s="1"/>
  <c r="N216" i="2"/>
  <c r="Q216" i="2" s="1"/>
  <c r="M216" i="2"/>
  <c r="P216" i="2" s="1"/>
  <c r="S216" i="2" s="1"/>
  <c r="T216" i="2" s="1"/>
  <c r="O215" i="2"/>
  <c r="R215" i="2" s="1"/>
  <c r="N215" i="2"/>
  <c r="Q215" i="2" s="1"/>
  <c r="M215" i="2"/>
  <c r="P215" i="2" s="1"/>
  <c r="R214" i="2"/>
  <c r="O214" i="2"/>
  <c r="N214" i="2"/>
  <c r="Q214" i="2" s="1"/>
  <c r="M214" i="2"/>
  <c r="P214" i="2" s="1"/>
  <c r="S213" i="2"/>
  <c r="T213" i="2" s="1"/>
  <c r="O213" i="2"/>
  <c r="R213" i="2" s="1"/>
  <c r="N213" i="2"/>
  <c r="Q213" i="2" s="1"/>
  <c r="M213" i="2"/>
  <c r="P213" i="2" s="1"/>
  <c r="P212" i="2"/>
  <c r="O212" i="2"/>
  <c r="R212" i="2" s="1"/>
  <c r="N212" i="2"/>
  <c r="Q212" i="2" s="1"/>
  <c r="M212" i="2"/>
  <c r="O211" i="2"/>
  <c r="R211" i="2" s="1"/>
  <c r="N211" i="2"/>
  <c r="Q211" i="2" s="1"/>
  <c r="M211" i="2"/>
  <c r="P211" i="2" s="1"/>
  <c r="O210" i="2"/>
  <c r="R210" i="2" s="1"/>
  <c r="N210" i="2"/>
  <c r="Q210" i="2" s="1"/>
  <c r="M210" i="2"/>
  <c r="P210" i="2" s="1"/>
  <c r="P209" i="2"/>
  <c r="O209" i="2"/>
  <c r="R209" i="2" s="1"/>
  <c r="N209" i="2"/>
  <c r="Q209" i="2" s="1"/>
  <c r="M209" i="2"/>
  <c r="O208" i="2"/>
  <c r="R208" i="2" s="1"/>
  <c r="N208" i="2"/>
  <c r="Q208" i="2" s="1"/>
  <c r="S208" i="2" s="1"/>
  <c r="T208" i="2" s="1"/>
  <c r="M208" i="2"/>
  <c r="P208" i="2" s="1"/>
  <c r="O207" i="2"/>
  <c r="R207" i="2" s="1"/>
  <c r="N207" i="2"/>
  <c r="Q207" i="2" s="1"/>
  <c r="M207" i="2"/>
  <c r="P207" i="2" s="1"/>
  <c r="S207" i="2" s="1"/>
  <c r="T207" i="2" s="1"/>
  <c r="O206" i="2"/>
  <c r="R206" i="2" s="1"/>
  <c r="N206" i="2"/>
  <c r="Q206" i="2" s="1"/>
  <c r="M206" i="2"/>
  <c r="P206" i="2" s="1"/>
  <c r="O205" i="2"/>
  <c r="R205" i="2" s="1"/>
  <c r="N205" i="2"/>
  <c r="Q205" i="2" s="1"/>
  <c r="M205" i="2"/>
  <c r="P205" i="2" s="1"/>
  <c r="Q204" i="2"/>
  <c r="O204" i="2"/>
  <c r="R204" i="2" s="1"/>
  <c r="N204" i="2"/>
  <c r="M204" i="2"/>
  <c r="P204" i="2" s="1"/>
  <c r="Q203" i="2"/>
  <c r="P203" i="2"/>
  <c r="S203" i="2" s="1"/>
  <c r="T203" i="2" s="1"/>
  <c r="O203" i="2"/>
  <c r="R203" i="2" s="1"/>
  <c r="N203" i="2"/>
  <c r="M203" i="2"/>
  <c r="Q202" i="2"/>
  <c r="O202" i="2"/>
  <c r="R202" i="2" s="1"/>
  <c r="N202" i="2"/>
  <c r="M202" i="2"/>
  <c r="P202" i="2" s="1"/>
  <c r="O201" i="2"/>
  <c r="R201" i="2" s="1"/>
  <c r="N201" i="2"/>
  <c r="Q201" i="2" s="1"/>
  <c r="S201" i="2" s="1"/>
  <c r="T201" i="2" s="1"/>
  <c r="M201" i="2"/>
  <c r="P201" i="2" s="1"/>
  <c r="O200" i="2"/>
  <c r="R200" i="2" s="1"/>
  <c r="N200" i="2"/>
  <c r="Q200" i="2" s="1"/>
  <c r="M200" i="2"/>
  <c r="P200" i="2" s="1"/>
  <c r="P199" i="2"/>
  <c r="O199" i="2"/>
  <c r="R199" i="2" s="1"/>
  <c r="N199" i="2"/>
  <c r="Q199" i="2" s="1"/>
  <c r="M199" i="2"/>
  <c r="O198" i="2"/>
  <c r="R198" i="2" s="1"/>
  <c r="N198" i="2"/>
  <c r="Q198" i="2" s="1"/>
  <c r="S198" i="2" s="1"/>
  <c r="T198" i="2" s="1"/>
  <c r="M198" i="2"/>
  <c r="P198" i="2" s="1"/>
  <c r="Q197" i="2"/>
  <c r="O197" i="2"/>
  <c r="R197" i="2" s="1"/>
  <c r="N197" i="2"/>
  <c r="M197" i="2"/>
  <c r="P197" i="2" s="1"/>
  <c r="S197" i="2" s="1"/>
  <c r="T197" i="2" s="1"/>
  <c r="R196" i="2"/>
  <c r="Q196" i="2"/>
  <c r="O196" i="2"/>
  <c r="N196" i="2"/>
  <c r="M196" i="2"/>
  <c r="P196" i="2" s="1"/>
  <c r="O195" i="2"/>
  <c r="R195" i="2" s="1"/>
  <c r="N195" i="2"/>
  <c r="Q195" i="2" s="1"/>
  <c r="M195" i="2"/>
  <c r="P195" i="2" s="1"/>
  <c r="O194" i="2"/>
  <c r="R194" i="2" s="1"/>
  <c r="N194" i="2"/>
  <c r="Q194" i="2" s="1"/>
  <c r="M194" i="2"/>
  <c r="P194" i="2" s="1"/>
  <c r="Q193" i="2"/>
  <c r="P193" i="2"/>
  <c r="O193" i="2"/>
  <c r="R193" i="2" s="1"/>
  <c r="N193" i="2"/>
  <c r="M193" i="2"/>
  <c r="O192" i="2"/>
  <c r="R192" i="2" s="1"/>
  <c r="N192" i="2"/>
  <c r="Q192" i="2" s="1"/>
  <c r="S192" i="2" s="1"/>
  <c r="T192" i="2" s="1"/>
  <c r="M192" i="2"/>
  <c r="P192" i="2" s="1"/>
  <c r="O191" i="2"/>
  <c r="R191" i="2" s="1"/>
  <c r="N191" i="2"/>
  <c r="Q191" i="2" s="1"/>
  <c r="M191" i="2"/>
  <c r="P191" i="2" s="1"/>
  <c r="R190" i="2"/>
  <c r="O190" i="2"/>
  <c r="N190" i="2"/>
  <c r="Q190" i="2" s="1"/>
  <c r="M190" i="2"/>
  <c r="P190" i="2" s="1"/>
  <c r="O189" i="2"/>
  <c r="R189" i="2" s="1"/>
  <c r="N189" i="2"/>
  <c r="Q189" i="2" s="1"/>
  <c r="M189" i="2"/>
  <c r="P189" i="2" s="1"/>
  <c r="O188" i="2"/>
  <c r="R188" i="2" s="1"/>
  <c r="N188" i="2"/>
  <c r="Q188" i="2" s="1"/>
  <c r="M188" i="2"/>
  <c r="P188" i="2" s="1"/>
  <c r="O187" i="2"/>
  <c r="R187" i="2" s="1"/>
  <c r="N187" i="2"/>
  <c r="Q187" i="2" s="1"/>
  <c r="M187" i="2"/>
  <c r="P187" i="2" s="1"/>
  <c r="O186" i="2"/>
  <c r="R186" i="2" s="1"/>
  <c r="N186" i="2"/>
  <c r="Q186" i="2" s="1"/>
  <c r="M186" i="2"/>
  <c r="P186" i="2" s="1"/>
  <c r="S186" i="2" s="1"/>
  <c r="T186" i="2" s="1"/>
  <c r="P185" i="2"/>
  <c r="O185" i="2"/>
  <c r="R185" i="2" s="1"/>
  <c r="N185" i="2"/>
  <c r="Q185" i="2" s="1"/>
  <c r="M185" i="2"/>
  <c r="O184" i="2"/>
  <c r="R184" i="2" s="1"/>
  <c r="N184" i="2"/>
  <c r="Q184" i="2" s="1"/>
  <c r="M184" i="2"/>
  <c r="P184" i="2" s="1"/>
  <c r="O183" i="2"/>
  <c r="R183" i="2" s="1"/>
  <c r="N183" i="2"/>
  <c r="Q183" i="2" s="1"/>
  <c r="M183" i="2"/>
  <c r="P183" i="2" s="1"/>
  <c r="S183" i="2" s="1"/>
  <c r="T183" i="2" s="1"/>
  <c r="Q182" i="2"/>
  <c r="P182" i="2"/>
  <c r="S182" i="2" s="1"/>
  <c r="T182" i="2" s="1"/>
  <c r="O182" i="2"/>
  <c r="R182" i="2" s="1"/>
  <c r="N182" i="2"/>
  <c r="M182" i="2"/>
  <c r="Q181" i="2"/>
  <c r="O181" i="2"/>
  <c r="R181" i="2" s="1"/>
  <c r="N181" i="2"/>
  <c r="M181" i="2"/>
  <c r="P181" i="2" s="1"/>
  <c r="O180" i="2"/>
  <c r="R180" i="2" s="1"/>
  <c r="N180" i="2"/>
  <c r="Q180" i="2" s="1"/>
  <c r="M180" i="2"/>
  <c r="P180" i="2" s="1"/>
  <c r="Q179" i="2"/>
  <c r="O179" i="2"/>
  <c r="R179" i="2" s="1"/>
  <c r="N179" i="2"/>
  <c r="M179" i="2"/>
  <c r="P179" i="2" s="1"/>
  <c r="S179" i="2" s="1"/>
  <c r="T179" i="2" s="1"/>
  <c r="R178" i="2"/>
  <c r="Q178" i="2"/>
  <c r="O178" i="2"/>
  <c r="N178" i="2"/>
  <c r="M178" i="2"/>
  <c r="P178" i="2" s="1"/>
  <c r="O177" i="2"/>
  <c r="R177" i="2" s="1"/>
  <c r="N177" i="2"/>
  <c r="Q177" i="2" s="1"/>
  <c r="M177" i="2"/>
  <c r="P177" i="2" s="1"/>
  <c r="S177" i="2" s="1"/>
  <c r="T177" i="2" s="1"/>
  <c r="O176" i="2"/>
  <c r="R176" i="2" s="1"/>
  <c r="N176" i="2"/>
  <c r="Q176" i="2" s="1"/>
  <c r="M176" i="2"/>
  <c r="P176" i="2" s="1"/>
  <c r="S176" i="2" s="1"/>
  <c r="T176" i="2" s="1"/>
  <c r="R175" i="2"/>
  <c r="O175" i="2"/>
  <c r="N175" i="2"/>
  <c r="Q175" i="2" s="1"/>
  <c r="M175" i="2"/>
  <c r="P175" i="2" s="1"/>
  <c r="S174" i="2"/>
  <c r="T174" i="2" s="1"/>
  <c r="O174" i="2"/>
  <c r="R174" i="2" s="1"/>
  <c r="N174" i="2"/>
  <c r="Q174" i="2" s="1"/>
  <c r="M174" i="2"/>
  <c r="P174" i="2" s="1"/>
  <c r="P173" i="2"/>
  <c r="O173" i="2"/>
  <c r="R173" i="2" s="1"/>
  <c r="N173" i="2"/>
  <c r="Q173" i="2" s="1"/>
  <c r="M173" i="2"/>
  <c r="O172" i="2"/>
  <c r="R172" i="2" s="1"/>
  <c r="N172" i="2"/>
  <c r="Q172" i="2" s="1"/>
  <c r="M172" i="2"/>
  <c r="P172" i="2" s="1"/>
  <c r="O171" i="2"/>
  <c r="R171" i="2" s="1"/>
  <c r="N171" i="2"/>
  <c r="Q171" i="2" s="1"/>
  <c r="M171" i="2"/>
  <c r="P171" i="2" s="1"/>
  <c r="Q170" i="2"/>
  <c r="P170" i="2"/>
  <c r="O170" i="2"/>
  <c r="R170" i="2" s="1"/>
  <c r="N170" i="2"/>
  <c r="M170" i="2"/>
  <c r="O169" i="2"/>
  <c r="R169" i="2" s="1"/>
  <c r="N169" i="2"/>
  <c r="Q169" i="2" s="1"/>
  <c r="M169" i="2"/>
  <c r="P169" i="2" s="1"/>
  <c r="O168" i="2"/>
  <c r="R168" i="2" s="1"/>
  <c r="N168" i="2"/>
  <c r="Q168" i="2" s="1"/>
  <c r="M168" i="2"/>
  <c r="P168" i="2" s="1"/>
  <c r="S168" i="2" s="1"/>
  <c r="T168" i="2" s="1"/>
  <c r="Q167" i="2"/>
  <c r="P167" i="2"/>
  <c r="S167" i="2" s="1"/>
  <c r="T167" i="2" s="1"/>
  <c r="O167" i="2"/>
  <c r="R167" i="2" s="1"/>
  <c r="N167" i="2"/>
  <c r="M167" i="2"/>
  <c r="Q166" i="2"/>
  <c r="O166" i="2"/>
  <c r="R166" i="2" s="1"/>
  <c r="N166" i="2"/>
  <c r="M166" i="2"/>
  <c r="P166" i="2" s="1"/>
  <c r="O165" i="2"/>
  <c r="R165" i="2" s="1"/>
  <c r="N165" i="2"/>
  <c r="Q165" i="2" s="1"/>
  <c r="M165" i="2"/>
  <c r="P165" i="2" s="1"/>
  <c r="S165" i="2" s="1"/>
  <c r="T165" i="2" s="1"/>
  <c r="O164" i="2"/>
  <c r="R164" i="2" s="1"/>
  <c r="N164" i="2"/>
  <c r="Q164" i="2" s="1"/>
  <c r="M164" i="2"/>
  <c r="P164" i="2" s="1"/>
  <c r="S164" i="2" s="1"/>
  <c r="T164" i="2" s="1"/>
  <c r="R163" i="2"/>
  <c r="O163" i="2"/>
  <c r="N163" i="2"/>
  <c r="Q163" i="2" s="1"/>
  <c r="M163" i="2"/>
  <c r="P163" i="2" s="1"/>
  <c r="O162" i="2"/>
  <c r="R162" i="2" s="1"/>
  <c r="N162" i="2"/>
  <c r="Q162" i="2" s="1"/>
  <c r="M162" i="2"/>
  <c r="P162" i="2" s="1"/>
  <c r="O161" i="2"/>
  <c r="R161" i="2" s="1"/>
  <c r="N161" i="2"/>
  <c r="Q161" i="2" s="1"/>
  <c r="M161" i="2"/>
  <c r="P161" i="2" s="1"/>
  <c r="S161" i="2" s="1"/>
  <c r="T161" i="2" s="1"/>
  <c r="O160" i="2"/>
  <c r="R160" i="2" s="1"/>
  <c r="N160" i="2"/>
  <c r="Q160" i="2" s="1"/>
  <c r="M160" i="2"/>
  <c r="P160" i="2" s="1"/>
  <c r="O159" i="2"/>
  <c r="R159" i="2" s="1"/>
  <c r="N159" i="2"/>
  <c r="Q159" i="2" s="1"/>
  <c r="M159" i="2"/>
  <c r="P159" i="2" s="1"/>
  <c r="S159" i="2" s="1"/>
  <c r="T159" i="2" s="1"/>
  <c r="P158" i="2"/>
  <c r="O158" i="2"/>
  <c r="R158" i="2" s="1"/>
  <c r="N158" i="2"/>
  <c r="Q158" i="2" s="1"/>
  <c r="M158" i="2"/>
  <c r="O157" i="2"/>
  <c r="R157" i="2" s="1"/>
  <c r="N157" i="2"/>
  <c r="Q157" i="2" s="1"/>
  <c r="M157" i="2"/>
  <c r="P157" i="2" s="1"/>
  <c r="O156" i="2"/>
  <c r="R156" i="2" s="1"/>
  <c r="N156" i="2"/>
  <c r="Q156" i="2" s="1"/>
  <c r="M156" i="2"/>
  <c r="P156" i="2" s="1"/>
  <c r="S156" i="2" s="1"/>
  <c r="T156" i="2" s="1"/>
  <c r="Q155" i="2"/>
  <c r="P155" i="2"/>
  <c r="S155" i="2" s="1"/>
  <c r="T155" i="2" s="1"/>
  <c r="O155" i="2"/>
  <c r="R155" i="2" s="1"/>
  <c r="N155" i="2"/>
  <c r="M155" i="2"/>
  <c r="Q154" i="2"/>
  <c r="O154" i="2"/>
  <c r="R154" i="2" s="1"/>
  <c r="N154" i="2"/>
  <c r="M154" i="2"/>
  <c r="P154" i="2" s="1"/>
  <c r="O153" i="2"/>
  <c r="R153" i="2" s="1"/>
  <c r="N153" i="2"/>
  <c r="Q153" i="2" s="1"/>
  <c r="M153" i="2"/>
  <c r="P153" i="2" s="1"/>
  <c r="Q152" i="2"/>
  <c r="O152" i="2"/>
  <c r="R152" i="2" s="1"/>
  <c r="N152" i="2"/>
  <c r="M152" i="2"/>
  <c r="P152" i="2" s="1"/>
  <c r="S152" i="2" s="1"/>
  <c r="T152" i="2" s="1"/>
  <c r="R151" i="2"/>
  <c r="Q151" i="2"/>
  <c r="O151" i="2"/>
  <c r="N151" i="2"/>
  <c r="M151" i="2"/>
  <c r="P151" i="2" s="1"/>
  <c r="O150" i="2"/>
  <c r="R150" i="2" s="1"/>
  <c r="N150" i="2"/>
  <c r="Q150" i="2" s="1"/>
  <c r="M150" i="2"/>
  <c r="P150" i="2" s="1"/>
  <c r="S150" i="2" s="1"/>
  <c r="T150" i="2" s="1"/>
  <c r="O149" i="2"/>
  <c r="R149" i="2" s="1"/>
  <c r="N149" i="2"/>
  <c r="Q149" i="2" s="1"/>
  <c r="M149" i="2"/>
  <c r="P149" i="2" s="1"/>
  <c r="R148" i="2"/>
  <c r="O148" i="2"/>
  <c r="N148" i="2"/>
  <c r="Q148" i="2" s="1"/>
  <c r="M148" i="2"/>
  <c r="P148" i="2" s="1"/>
  <c r="S147" i="2"/>
  <c r="T147" i="2" s="1"/>
  <c r="O147" i="2"/>
  <c r="R147" i="2" s="1"/>
  <c r="N147" i="2"/>
  <c r="Q147" i="2" s="1"/>
  <c r="M147" i="2"/>
  <c r="P147" i="2" s="1"/>
  <c r="P146" i="2"/>
  <c r="O146" i="2"/>
  <c r="R146" i="2" s="1"/>
  <c r="N146" i="2"/>
  <c r="Q146" i="2" s="1"/>
  <c r="M146" i="2"/>
  <c r="O145" i="2"/>
  <c r="R145" i="2" s="1"/>
  <c r="N145" i="2"/>
  <c r="Q145" i="2" s="1"/>
  <c r="M145" i="2"/>
  <c r="P145" i="2" s="1"/>
  <c r="O144" i="2"/>
  <c r="R144" i="2" s="1"/>
  <c r="N144" i="2"/>
  <c r="Q144" i="2" s="1"/>
  <c r="M144" i="2"/>
  <c r="P144" i="2" s="1"/>
  <c r="Q143" i="2"/>
  <c r="P143" i="2"/>
  <c r="O143" i="2"/>
  <c r="R143" i="2" s="1"/>
  <c r="N143" i="2"/>
  <c r="M143" i="2"/>
  <c r="O142" i="2"/>
  <c r="R142" i="2" s="1"/>
  <c r="N142" i="2"/>
  <c r="Q142" i="2" s="1"/>
  <c r="M142" i="2"/>
  <c r="P142" i="2" s="1"/>
  <c r="O141" i="2"/>
  <c r="R141" i="2" s="1"/>
  <c r="N141" i="2"/>
  <c r="Q141" i="2" s="1"/>
  <c r="M141" i="2"/>
  <c r="P141" i="2" s="1"/>
  <c r="S141" i="2" s="1"/>
  <c r="T141" i="2" s="1"/>
  <c r="Q140" i="2"/>
  <c r="P140" i="2"/>
  <c r="S140" i="2" s="1"/>
  <c r="T140" i="2" s="1"/>
  <c r="O140" i="2"/>
  <c r="R140" i="2" s="1"/>
  <c r="N140" i="2"/>
  <c r="M140" i="2"/>
  <c r="Q139" i="2"/>
  <c r="O139" i="2"/>
  <c r="R139" i="2" s="1"/>
  <c r="N139" i="2"/>
  <c r="M139" i="2"/>
  <c r="P139" i="2" s="1"/>
  <c r="O138" i="2"/>
  <c r="R138" i="2" s="1"/>
  <c r="N138" i="2"/>
  <c r="Q138" i="2" s="1"/>
  <c r="M138" i="2"/>
  <c r="P138" i="2" s="1"/>
  <c r="S138" i="2" s="1"/>
  <c r="T138" i="2" s="1"/>
  <c r="O137" i="2"/>
  <c r="R137" i="2" s="1"/>
  <c r="N137" i="2"/>
  <c r="Q137" i="2" s="1"/>
  <c r="M137" i="2"/>
  <c r="P137" i="2" s="1"/>
  <c r="R136" i="2"/>
  <c r="O136" i="2"/>
  <c r="N136" i="2"/>
  <c r="Q136" i="2" s="1"/>
  <c r="M136" i="2"/>
  <c r="P136" i="2" s="1"/>
  <c r="O135" i="2"/>
  <c r="R135" i="2" s="1"/>
  <c r="N135" i="2"/>
  <c r="Q135" i="2" s="1"/>
  <c r="M135" i="2"/>
  <c r="P135" i="2" s="1"/>
  <c r="O134" i="2"/>
  <c r="R134" i="2" s="1"/>
  <c r="N134" i="2"/>
  <c r="Q134" i="2" s="1"/>
  <c r="M134" i="2"/>
  <c r="P134" i="2" s="1"/>
  <c r="O133" i="2"/>
  <c r="R133" i="2" s="1"/>
  <c r="N133" i="2"/>
  <c r="Q133" i="2" s="1"/>
  <c r="M133" i="2"/>
  <c r="P133" i="2" s="1"/>
  <c r="O132" i="2"/>
  <c r="R132" i="2" s="1"/>
  <c r="N132" i="2"/>
  <c r="Q132" i="2" s="1"/>
  <c r="M132" i="2"/>
  <c r="P132" i="2" s="1"/>
  <c r="S132" i="2" s="1"/>
  <c r="T132" i="2" s="1"/>
  <c r="P131" i="2"/>
  <c r="O131" i="2"/>
  <c r="R131" i="2" s="1"/>
  <c r="N131" i="2"/>
  <c r="Q131" i="2" s="1"/>
  <c r="M131" i="2"/>
  <c r="O130" i="2"/>
  <c r="R130" i="2" s="1"/>
  <c r="N130" i="2"/>
  <c r="Q130" i="2" s="1"/>
  <c r="M130" i="2"/>
  <c r="P130" i="2" s="1"/>
  <c r="O129" i="2"/>
  <c r="R129" i="2" s="1"/>
  <c r="N129" i="2"/>
  <c r="Q129" i="2" s="1"/>
  <c r="M129" i="2"/>
  <c r="P129" i="2" s="1"/>
  <c r="S129" i="2" s="1"/>
  <c r="T129" i="2" s="1"/>
  <c r="Q128" i="2"/>
  <c r="P128" i="2"/>
  <c r="S128" i="2" s="1"/>
  <c r="T128" i="2" s="1"/>
  <c r="O128" i="2"/>
  <c r="R128" i="2" s="1"/>
  <c r="N128" i="2"/>
  <c r="M128" i="2"/>
  <c r="Q127" i="2"/>
  <c r="O127" i="2"/>
  <c r="R127" i="2" s="1"/>
  <c r="N127" i="2"/>
  <c r="M127" i="2"/>
  <c r="P127" i="2" s="1"/>
  <c r="O126" i="2"/>
  <c r="R126" i="2" s="1"/>
  <c r="N126" i="2"/>
  <c r="Q126" i="2" s="1"/>
  <c r="M126" i="2"/>
  <c r="P126" i="2" s="1"/>
  <c r="Q125" i="2"/>
  <c r="O125" i="2"/>
  <c r="R125" i="2" s="1"/>
  <c r="N125" i="2"/>
  <c r="M125" i="2"/>
  <c r="P125" i="2" s="1"/>
  <c r="S125" i="2" s="1"/>
  <c r="T125" i="2" s="1"/>
  <c r="R124" i="2"/>
  <c r="Q124" i="2"/>
  <c r="S124" i="2" s="1"/>
  <c r="T124" i="2" s="1"/>
  <c r="O124" i="2"/>
  <c r="N124" i="2"/>
  <c r="M124" i="2"/>
  <c r="P124" i="2" s="1"/>
  <c r="O123" i="2"/>
  <c r="R123" i="2" s="1"/>
  <c r="N123" i="2"/>
  <c r="Q123" i="2" s="1"/>
  <c r="M123" i="2"/>
  <c r="P123" i="2" s="1"/>
  <c r="O122" i="2"/>
  <c r="R122" i="2" s="1"/>
  <c r="N122" i="2"/>
  <c r="Q122" i="2" s="1"/>
  <c r="M122" i="2"/>
  <c r="P122" i="2" s="1"/>
  <c r="S122" i="2" s="1"/>
  <c r="T122" i="2" s="1"/>
  <c r="R121" i="2"/>
  <c r="O121" i="2"/>
  <c r="N121" i="2"/>
  <c r="Q121" i="2" s="1"/>
  <c r="M121" i="2"/>
  <c r="P121" i="2" s="1"/>
  <c r="O120" i="2"/>
  <c r="R120" i="2" s="1"/>
  <c r="N120" i="2"/>
  <c r="Q120" i="2" s="1"/>
  <c r="M120" i="2"/>
  <c r="P120" i="2" s="1"/>
  <c r="O119" i="2"/>
  <c r="R119" i="2" s="1"/>
  <c r="N119" i="2"/>
  <c r="Q119" i="2" s="1"/>
  <c r="M119" i="2"/>
  <c r="P119" i="2" s="1"/>
  <c r="S119" i="2" s="1"/>
  <c r="T119" i="2" s="1"/>
  <c r="O118" i="2"/>
  <c r="R118" i="2" s="1"/>
  <c r="N118" i="2"/>
  <c r="Q118" i="2" s="1"/>
  <c r="S118" i="2" s="1"/>
  <c r="T118" i="2" s="1"/>
  <c r="M118" i="2"/>
  <c r="P118" i="2" s="1"/>
  <c r="O117" i="2"/>
  <c r="R117" i="2" s="1"/>
  <c r="N117" i="2"/>
  <c r="Q117" i="2" s="1"/>
  <c r="M117" i="2"/>
  <c r="P117" i="2" s="1"/>
  <c r="P116" i="2"/>
  <c r="O116" i="2"/>
  <c r="R116" i="2" s="1"/>
  <c r="N116" i="2"/>
  <c r="Q116" i="2" s="1"/>
  <c r="M116" i="2"/>
  <c r="O115" i="2"/>
  <c r="R115" i="2" s="1"/>
  <c r="N115" i="2"/>
  <c r="Q115" i="2" s="1"/>
  <c r="M115" i="2"/>
  <c r="P115" i="2" s="1"/>
  <c r="O114" i="2"/>
  <c r="R114" i="2" s="1"/>
  <c r="N114" i="2"/>
  <c r="Q114" i="2" s="1"/>
  <c r="M114" i="2"/>
  <c r="P114" i="2" s="1"/>
  <c r="Q113" i="2"/>
  <c r="P113" i="2"/>
  <c r="O113" i="2"/>
  <c r="R113" i="2" s="1"/>
  <c r="N113" i="2"/>
  <c r="M113" i="2"/>
  <c r="O112" i="2"/>
  <c r="R112" i="2" s="1"/>
  <c r="N112" i="2"/>
  <c r="Q112" i="2" s="1"/>
  <c r="M112" i="2"/>
  <c r="P112" i="2" s="1"/>
  <c r="O111" i="2"/>
  <c r="R111" i="2" s="1"/>
  <c r="N111" i="2"/>
  <c r="Q111" i="2" s="1"/>
  <c r="M111" i="2"/>
  <c r="P111" i="2" s="1"/>
  <c r="S111" i="2" s="1"/>
  <c r="T111" i="2" s="1"/>
  <c r="Q110" i="2"/>
  <c r="O110" i="2"/>
  <c r="R110" i="2" s="1"/>
  <c r="N110" i="2"/>
  <c r="M110" i="2"/>
  <c r="P110" i="2" s="1"/>
  <c r="R109" i="2"/>
  <c r="Q109" i="2"/>
  <c r="S109" i="2" s="1"/>
  <c r="T109" i="2" s="1"/>
  <c r="O109" i="2"/>
  <c r="N109" i="2"/>
  <c r="M109" i="2"/>
  <c r="P109" i="2" s="1"/>
  <c r="O108" i="2"/>
  <c r="R108" i="2" s="1"/>
  <c r="N108" i="2"/>
  <c r="Q108" i="2" s="1"/>
  <c r="M108" i="2"/>
  <c r="P108" i="2" s="1"/>
  <c r="O107" i="2"/>
  <c r="R107" i="2" s="1"/>
  <c r="N107" i="2"/>
  <c r="Q107" i="2" s="1"/>
  <c r="M107" i="2"/>
  <c r="P107" i="2" s="1"/>
  <c r="S107" i="2" s="1"/>
  <c r="T107" i="2" s="1"/>
  <c r="R106" i="2"/>
  <c r="O106" i="2"/>
  <c r="N106" i="2"/>
  <c r="Q106" i="2" s="1"/>
  <c r="M106" i="2"/>
  <c r="P106" i="2" s="1"/>
  <c r="O105" i="2"/>
  <c r="R105" i="2" s="1"/>
  <c r="N105" i="2"/>
  <c r="Q105" i="2" s="1"/>
  <c r="M105" i="2"/>
  <c r="P105" i="2" s="1"/>
  <c r="O104" i="2"/>
  <c r="R104" i="2" s="1"/>
  <c r="N104" i="2"/>
  <c r="Q104" i="2" s="1"/>
  <c r="M104" i="2"/>
  <c r="P104" i="2" s="1"/>
  <c r="O103" i="2"/>
  <c r="R103" i="2" s="1"/>
  <c r="N103" i="2"/>
  <c r="Q103" i="2" s="1"/>
  <c r="M103" i="2"/>
  <c r="P103" i="2" s="1"/>
  <c r="S102" i="2"/>
  <c r="T102" i="2" s="1"/>
  <c r="O102" i="2"/>
  <c r="R102" i="2" s="1"/>
  <c r="N102" i="2"/>
  <c r="Q102" i="2" s="1"/>
  <c r="M102" i="2"/>
  <c r="P102" i="2" s="1"/>
  <c r="Q101" i="2"/>
  <c r="P101" i="2"/>
  <c r="O101" i="2"/>
  <c r="R101" i="2" s="1"/>
  <c r="N101" i="2"/>
  <c r="M101" i="2"/>
  <c r="O100" i="2"/>
  <c r="R100" i="2" s="1"/>
  <c r="N100" i="2"/>
  <c r="Q100" i="2" s="1"/>
  <c r="S100" i="2" s="1"/>
  <c r="T100" i="2" s="1"/>
  <c r="M100" i="2"/>
  <c r="P100" i="2" s="1"/>
  <c r="O99" i="2"/>
  <c r="R99" i="2" s="1"/>
  <c r="N99" i="2"/>
  <c r="Q99" i="2" s="1"/>
  <c r="M99" i="2"/>
  <c r="P99" i="2" s="1"/>
  <c r="Q98" i="2"/>
  <c r="P98" i="2"/>
  <c r="S98" i="2" s="1"/>
  <c r="T98" i="2" s="1"/>
  <c r="O98" i="2"/>
  <c r="R98" i="2" s="1"/>
  <c r="N98" i="2"/>
  <c r="M98" i="2"/>
  <c r="Q97" i="2"/>
  <c r="O97" i="2"/>
  <c r="R97" i="2" s="1"/>
  <c r="N97" i="2"/>
  <c r="M97" i="2"/>
  <c r="P97" i="2" s="1"/>
  <c r="O96" i="2"/>
  <c r="R96" i="2" s="1"/>
  <c r="N96" i="2"/>
  <c r="Q96" i="2" s="1"/>
  <c r="M96" i="2"/>
  <c r="P96" i="2" s="1"/>
  <c r="Q95" i="2"/>
  <c r="O95" i="2"/>
  <c r="R95" i="2" s="1"/>
  <c r="N95" i="2"/>
  <c r="M95" i="2"/>
  <c r="P95" i="2" s="1"/>
  <c r="R94" i="2"/>
  <c r="Q94" i="2"/>
  <c r="O94" i="2"/>
  <c r="N94" i="2"/>
  <c r="M94" i="2"/>
  <c r="P94" i="2" s="1"/>
  <c r="O93" i="2"/>
  <c r="R93" i="2" s="1"/>
  <c r="N93" i="2"/>
  <c r="Q93" i="2" s="1"/>
  <c r="M93" i="2"/>
  <c r="P93" i="2" s="1"/>
  <c r="O92" i="2"/>
  <c r="R92" i="2" s="1"/>
  <c r="N92" i="2"/>
  <c r="Q92" i="2" s="1"/>
  <c r="M92" i="2"/>
  <c r="P92" i="2" s="1"/>
  <c r="R91" i="2"/>
  <c r="Q91" i="2"/>
  <c r="O91" i="2"/>
  <c r="N91" i="2"/>
  <c r="M91" i="2"/>
  <c r="P91" i="2" s="1"/>
  <c r="O90" i="2"/>
  <c r="R90" i="2" s="1"/>
  <c r="N90" i="2"/>
  <c r="Q90" i="2" s="1"/>
  <c r="M90" i="2"/>
  <c r="P90" i="2" s="1"/>
  <c r="O89" i="2"/>
  <c r="R89" i="2" s="1"/>
  <c r="N89" i="2"/>
  <c r="Q89" i="2" s="1"/>
  <c r="M89" i="2"/>
  <c r="P89" i="2" s="1"/>
  <c r="R88" i="2"/>
  <c r="Q88" i="2"/>
  <c r="O88" i="2"/>
  <c r="N88" i="2"/>
  <c r="M88" i="2"/>
  <c r="P88" i="2" s="1"/>
  <c r="O87" i="2"/>
  <c r="R87" i="2" s="1"/>
  <c r="N87" i="2"/>
  <c r="Q87" i="2" s="1"/>
  <c r="M87" i="2"/>
  <c r="P87" i="2" s="1"/>
  <c r="O86" i="2"/>
  <c r="N86" i="2"/>
  <c r="Q86" i="2" s="1"/>
  <c r="M86" i="2"/>
  <c r="P86" i="2" s="1"/>
  <c r="R85" i="2"/>
  <c r="Q85" i="2"/>
  <c r="O85" i="2"/>
  <c r="N85" i="2"/>
  <c r="M85" i="2"/>
  <c r="P85" i="2" s="1"/>
  <c r="O84" i="2"/>
  <c r="R84" i="2" s="1"/>
  <c r="N84" i="2"/>
  <c r="Q84" i="2" s="1"/>
  <c r="M84" i="2"/>
  <c r="P84" i="2" s="1"/>
  <c r="O83" i="2"/>
  <c r="R83" i="2" s="1"/>
  <c r="N83" i="2"/>
  <c r="Q83" i="2" s="1"/>
  <c r="M83" i="2"/>
  <c r="P83" i="2" s="1"/>
  <c r="O82" i="2"/>
  <c r="R82" i="2" s="1"/>
  <c r="N82" i="2"/>
  <c r="Q82" i="2" s="1"/>
  <c r="M82" i="2"/>
  <c r="P82" i="2" s="1"/>
  <c r="O81" i="2"/>
  <c r="R81" i="2" s="1"/>
  <c r="N81" i="2"/>
  <c r="Q81" i="2" s="1"/>
  <c r="M81" i="2"/>
  <c r="P81" i="2" s="1"/>
  <c r="Q80" i="2"/>
  <c r="O80" i="2"/>
  <c r="R80" i="2" s="1"/>
  <c r="N80" i="2"/>
  <c r="M80" i="2"/>
  <c r="P80" i="2" s="1"/>
  <c r="O79" i="2"/>
  <c r="R79" i="2" s="1"/>
  <c r="N79" i="2"/>
  <c r="Q79" i="2" s="1"/>
  <c r="M79" i="2"/>
  <c r="P79" i="2" s="1"/>
  <c r="S79" i="2" s="1"/>
  <c r="T79" i="2" s="1"/>
  <c r="O78" i="2"/>
  <c r="R78" i="2" s="1"/>
  <c r="N78" i="2"/>
  <c r="Q78" i="2" s="1"/>
  <c r="M78" i="2"/>
  <c r="P78" i="2" s="1"/>
  <c r="S78" i="2" s="1"/>
  <c r="T78" i="2" s="1"/>
  <c r="R77" i="2"/>
  <c r="O77" i="2"/>
  <c r="N77" i="2"/>
  <c r="Q77" i="2" s="1"/>
  <c r="M77" i="2"/>
  <c r="P77" i="2" s="1"/>
  <c r="S77" i="2" s="1"/>
  <c r="T77" i="2" s="1"/>
  <c r="R76" i="2"/>
  <c r="O76" i="2"/>
  <c r="N76" i="2"/>
  <c r="Q76" i="2" s="1"/>
  <c r="M76" i="2"/>
  <c r="P76" i="2" s="1"/>
  <c r="O75" i="2"/>
  <c r="R75" i="2" s="1"/>
  <c r="N75" i="2"/>
  <c r="Q75" i="2" s="1"/>
  <c r="M75" i="2"/>
  <c r="P75" i="2" s="1"/>
  <c r="S75" i="2" s="1"/>
  <c r="T75" i="2" s="1"/>
  <c r="O74" i="2"/>
  <c r="R74" i="2" s="1"/>
  <c r="N74" i="2"/>
  <c r="Q74" i="2" s="1"/>
  <c r="M74" i="2"/>
  <c r="P74" i="2" s="1"/>
  <c r="O73" i="2"/>
  <c r="R73" i="2" s="1"/>
  <c r="N73" i="2"/>
  <c r="Q73" i="2" s="1"/>
  <c r="M73" i="2"/>
  <c r="P73" i="2" s="1"/>
  <c r="O72" i="2"/>
  <c r="R72" i="2" s="1"/>
  <c r="N72" i="2"/>
  <c r="Q72" i="2" s="1"/>
  <c r="M72" i="2"/>
  <c r="P72" i="2" s="1"/>
  <c r="O71" i="2"/>
  <c r="R71" i="2" s="1"/>
  <c r="N71" i="2"/>
  <c r="Q71" i="2" s="1"/>
  <c r="M71" i="2"/>
  <c r="P71" i="2" s="1"/>
  <c r="O70" i="2"/>
  <c r="R70" i="2" s="1"/>
  <c r="N70" i="2"/>
  <c r="Q70" i="2" s="1"/>
  <c r="M70" i="2"/>
  <c r="P70" i="2" s="1"/>
  <c r="S70" i="2" s="1"/>
  <c r="T70" i="2" s="1"/>
  <c r="O69" i="2"/>
  <c r="R69" i="2" s="1"/>
  <c r="N69" i="2"/>
  <c r="Q69" i="2" s="1"/>
  <c r="M69" i="2"/>
  <c r="P69" i="2" s="1"/>
  <c r="O68" i="2"/>
  <c r="R68" i="2" s="1"/>
  <c r="N68" i="2"/>
  <c r="Q68" i="2" s="1"/>
  <c r="M68" i="2"/>
  <c r="P68" i="2" s="1"/>
  <c r="O67" i="2"/>
  <c r="R67" i="2" s="1"/>
  <c r="N67" i="2"/>
  <c r="Q67" i="2" s="1"/>
  <c r="M67" i="2"/>
  <c r="P67" i="2" s="1"/>
  <c r="P66" i="2"/>
  <c r="O66" i="2"/>
  <c r="R66" i="2" s="1"/>
  <c r="N66" i="2"/>
  <c r="Q66" i="2" s="1"/>
  <c r="M66" i="2"/>
  <c r="P65" i="2"/>
  <c r="O65" i="2"/>
  <c r="R65" i="2" s="1"/>
  <c r="N65" i="2"/>
  <c r="Q65" i="2" s="1"/>
  <c r="M65" i="2"/>
  <c r="R64" i="2"/>
  <c r="O64" i="2"/>
  <c r="N64" i="2"/>
  <c r="Q64" i="2" s="1"/>
  <c r="M64" i="2"/>
  <c r="P64" i="2" s="1"/>
  <c r="O63" i="2"/>
  <c r="R63" i="2" s="1"/>
  <c r="N63" i="2"/>
  <c r="Q63" i="2" s="1"/>
  <c r="M63" i="2"/>
  <c r="P63" i="2" s="1"/>
  <c r="O62" i="2"/>
  <c r="R62" i="2" s="1"/>
  <c r="N62" i="2"/>
  <c r="Q62" i="2" s="1"/>
  <c r="M62" i="2"/>
  <c r="P62" i="2" s="1"/>
  <c r="O61" i="2"/>
  <c r="R61" i="2" s="1"/>
  <c r="N61" i="2"/>
  <c r="Q61" i="2" s="1"/>
  <c r="M61" i="2"/>
  <c r="P61" i="2" s="1"/>
  <c r="Q60" i="2"/>
  <c r="P60" i="2"/>
  <c r="O60" i="2"/>
  <c r="R60" i="2" s="1"/>
  <c r="N60" i="2"/>
  <c r="M60" i="2"/>
  <c r="Q59" i="2"/>
  <c r="P59" i="2"/>
  <c r="O59" i="2"/>
  <c r="R59" i="2" s="1"/>
  <c r="N59" i="2"/>
  <c r="M59" i="2"/>
  <c r="O58" i="2"/>
  <c r="R58" i="2" s="1"/>
  <c r="N58" i="2"/>
  <c r="Q58" i="2" s="1"/>
  <c r="M58" i="2"/>
  <c r="P58" i="2" s="1"/>
  <c r="S58" i="2" s="1"/>
  <c r="T58" i="2" s="1"/>
  <c r="O57" i="2"/>
  <c r="R57" i="2" s="1"/>
  <c r="N57" i="2"/>
  <c r="Q57" i="2" s="1"/>
  <c r="M57" i="2"/>
  <c r="P57" i="2" s="1"/>
  <c r="O56" i="2"/>
  <c r="R56" i="2" s="1"/>
  <c r="N56" i="2"/>
  <c r="Q56" i="2" s="1"/>
  <c r="M56" i="2"/>
  <c r="P56" i="2" s="1"/>
  <c r="O55" i="2"/>
  <c r="R55" i="2" s="1"/>
  <c r="N55" i="2"/>
  <c r="Q55" i="2" s="1"/>
  <c r="M55" i="2"/>
  <c r="P55" i="2" s="1"/>
  <c r="S55" i="2" s="1"/>
  <c r="T55" i="2" s="1"/>
  <c r="Q54" i="2"/>
  <c r="P54" i="2"/>
  <c r="S54" i="2" s="1"/>
  <c r="T54" i="2" s="1"/>
  <c r="O54" i="2"/>
  <c r="R54" i="2" s="1"/>
  <c r="N54" i="2"/>
  <c r="M54" i="2"/>
  <c r="R53" i="2"/>
  <c r="Q53" i="2"/>
  <c r="P53" i="2"/>
  <c r="S53" i="2" s="1"/>
  <c r="T53" i="2" s="1"/>
  <c r="O53" i="2"/>
  <c r="N53" i="2"/>
  <c r="M53" i="2"/>
  <c r="R52" i="2"/>
  <c r="O52" i="2"/>
  <c r="N52" i="2"/>
  <c r="Q52" i="2" s="1"/>
  <c r="M52" i="2"/>
  <c r="P52" i="2" s="1"/>
  <c r="O51" i="2"/>
  <c r="R51" i="2" s="1"/>
  <c r="N51" i="2"/>
  <c r="Q51" i="2" s="1"/>
  <c r="M51" i="2"/>
  <c r="P51" i="2" s="1"/>
  <c r="S51" i="2" s="1"/>
  <c r="T51" i="2" s="1"/>
  <c r="Q50" i="2"/>
  <c r="O50" i="2"/>
  <c r="R50" i="2" s="1"/>
  <c r="N50" i="2"/>
  <c r="M50" i="2"/>
  <c r="P50" i="2" s="1"/>
  <c r="O49" i="2"/>
  <c r="R49" i="2" s="1"/>
  <c r="N49" i="2"/>
  <c r="Q49" i="2" s="1"/>
  <c r="M49" i="2"/>
  <c r="P49" i="2" s="1"/>
  <c r="Q48" i="2"/>
  <c r="O48" i="2"/>
  <c r="R48" i="2" s="1"/>
  <c r="N48" i="2"/>
  <c r="M48" i="2"/>
  <c r="P48" i="2" s="1"/>
  <c r="S48" i="2" s="1"/>
  <c r="T48" i="2" s="1"/>
  <c r="R47" i="2"/>
  <c r="Q47" i="2"/>
  <c r="O47" i="2"/>
  <c r="N47" i="2"/>
  <c r="M47" i="2"/>
  <c r="P47" i="2" s="1"/>
  <c r="S47" i="2" s="1"/>
  <c r="T47" i="2" s="1"/>
  <c r="O46" i="2"/>
  <c r="R46" i="2" s="1"/>
  <c r="N46" i="2"/>
  <c r="Q46" i="2" s="1"/>
  <c r="M46" i="2"/>
  <c r="P46" i="2" s="1"/>
  <c r="O45" i="2"/>
  <c r="R45" i="2" s="1"/>
  <c r="N45" i="2"/>
  <c r="Q45" i="2" s="1"/>
  <c r="M45" i="2"/>
  <c r="P45" i="2" s="1"/>
  <c r="Q44" i="2"/>
  <c r="O44" i="2"/>
  <c r="R44" i="2" s="1"/>
  <c r="N44" i="2"/>
  <c r="M44" i="2"/>
  <c r="P44" i="2" s="1"/>
  <c r="O43" i="2"/>
  <c r="R43" i="2" s="1"/>
  <c r="N43" i="2"/>
  <c r="Q43" i="2" s="1"/>
  <c r="M43" i="2"/>
  <c r="P43" i="2" s="1"/>
  <c r="S43" i="2" s="1"/>
  <c r="T43" i="2" s="1"/>
  <c r="O42" i="2"/>
  <c r="R42" i="2" s="1"/>
  <c r="N42" i="2"/>
  <c r="Q42" i="2" s="1"/>
  <c r="M42" i="2"/>
  <c r="P42" i="2" s="1"/>
  <c r="S42" i="2" s="1"/>
  <c r="T42" i="2" s="1"/>
  <c r="R41" i="2"/>
  <c r="O41" i="2"/>
  <c r="N41" i="2"/>
  <c r="Q41" i="2" s="1"/>
  <c r="M41" i="2"/>
  <c r="P41" i="2" s="1"/>
  <c r="S41" i="2" s="1"/>
  <c r="T41" i="2" s="1"/>
  <c r="R40" i="2"/>
  <c r="O40" i="2"/>
  <c r="N40" i="2"/>
  <c r="Q40" i="2" s="1"/>
  <c r="M40" i="2"/>
  <c r="P40" i="2" s="1"/>
  <c r="O39" i="2"/>
  <c r="R39" i="2" s="1"/>
  <c r="N39" i="2"/>
  <c r="Q39" i="2" s="1"/>
  <c r="M39" i="2"/>
  <c r="P39" i="2" s="1"/>
  <c r="S39" i="2" s="1"/>
  <c r="T39" i="2" s="1"/>
  <c r="O38" i="2"/>
  <c r="R38" i="2" s="1"/>
  <c r="N38" i="2"/>
  <c r="Q38" i="2" s="1"/>
  <c r="M38" i="2"/>
  <c r="P38" i="2" s="1"/>
  <c r="O37" i="2"/>
  <c r="R37" i="2" s="1"/>
  <c r="N37" i="2"/>
  <c r="Q37" i="2" s="1"/>
  <c r="M37" i="2"/>
  <c r="P37" i="2" s="1"/>
  <c r="O36" i="2"/>
  <c r="R36" i="2" s="1"/>
  <c r="N36" i="2"/>
  <c r="Q36" i="2" s="1"/>
  <c r="M36" i="2"/>
  <c r="P36" i="2" s="1"/>
  <c r="S36" i="2" s="1"/>
  <c r="T36" i="2" s="1"/>
  <c r="O35" i="2"/>
  <c r="R35" i="2" s="1"/>
  <c r="N35" i="2"/>
  <c r="Q35" i="2" s="1"/>
  <c r="M35" i="2"/>
  <c r="P35" i="2" s="1"/>
  <c r="O34" i="2"/>
  <c r="R34" i="2" s="1"/>
  <c r="N34" i="2"/>
  <c r="Q34" i="2" s="1"/>
  <c r="M34" i="2"/>
  <c r="P34" i="2" s="1"/>
  <c r="S34" i="2" s="1"/>
  <c r="T34" i="2" s="1"/>
  <c r="O33" i="2"/>
  <c r="R33" i="2" s="1"/>
  <c r="N33" i="2"/>
  <c r="Q33" i="2" s="1"/>
  <c r="M33" i="2"/>
  <c r="P33" i="2" s="1"/>
  <c r="O32" i="2"/>
  <c r="R32" i="2" s="1"/>
  <c r="N32" i="2"/>
  <c r="Q32" i="2" s="1"/>
  <c r="M32" i="2"/>
  <c r="P32" i="2" s="1"/>
  <c r="O31" i="2"/>
  <c r="R31" i="2" s="1"/>
  <c r="N31" i="2"/>
  <c r="Q31" i="2" s="1"/>
  <c r="M31" i="2"/>
  <c r="P31" i="2" s="1"/>
  <c r="P30" i="2"/>
  <c r="O30" i="2"/>
  <c r="R30" i="2" s="1"/>
  <c r="N30" i="2"/>
  <c r="Q30" i="2" s="1"/>
  <c r="M30" i="2"/>
  <c r="P29" i="2"/>
  <c r="O29" i="2"/>
  <c r="R29" i="2" s="1"/>
  <c r="N29" i="2"/>
  <c r="Q29" i="2" s="1"/>
  <c r="M29" i="2"/>
  <c r="R28" i="2"/>
  <c r="O28" i="2"/>
  <c r="N28" i="2"/>
  <c r="Q28" i="2" s="1"/>
  <c r="M28" i="2"/>
  <c r="P28" i="2" s="1"/>
  <c r="O27" i="2"/>
  <c r="R27" i="2" s="1"/>
  <c r="N27" i="2"/>
  <c r="Q27" i="2" s="1"/>
  <c r="M27" i="2"/>
  <c r="P27" i="2" s="1"/>
  <c r="O26" i="2"/>
  <c r="R26" i="2" s="1"/>
  <c r="N26" i="2"/>
  <c r="Q26" i="2" s="1"/>
  <c r="M26" i="2"/>
  <c r="P26" i="2" s="1"/>
  <c r="O25" i="2"/>
  <c r="R25" i="2" s="1"/>
  <c r="N25" i="2"/>
  <c r="Q25" i="2" s="1"/>
  <c r="M25" i="2"/>
  <c r="P25" i="2" s="1"/>
  <c r="Q24" i="2"/>
  <c r="P24" i="2"/>
  <c r="O24" i="2"/>
  <c r="R24" i="2" s="1"/>
  <c r="N24" i="2"/>
  <c r="M24" i="2"/>
  <c r="Q23" i="2"/>
  <c r="P23" i="2"/>
  <c r="O23" i="2"/>
  <c r="R23" i="2" s="1"/>
  <c r="N23" i="2"/>
  <c r="M23" i="2"/>
  <c r="O22" i="2"/>
  <c r="R22" i="2" s="1"/>
  <c r="N22" i="2"/>
  <c r="Q22" i="2" s="1"/>
  <c r="M22" i="2"/>
  <c r="P22" i="2" s="1"/>
  <c r="S22" i="2" s="1"/>
  <c r="T22" i="2" s="1"/>
  <c r="O21" i="2"/>
  <c r="R21" i="2" s="1"/>
  <c r="N21" i="2"/>
  <c r="Q21" i="2" s="1"/>
  <c r="M21" i="2"/>
  <c r="P21" i="2" s="1"/>
  <c r="O20" i="2"/>
  <c r="R20" i="2" s="1"/>
  <c r="N20" i="2"/>
  <c r="Q20" i="2" s="1"/>
  <c r="M20" i="2"/>
  <c r="P20" i="2" s="1"/>
  <c r="O19" i="2"/>
  <c r="R19" i="2" s="1"/>
  <c r="N19" i="2"/>
  <c r="Q19" i="2" s="1"/>
  <c r="M19" i="2"/>
  <c r="P19" i="2" s="1"/>
  <c r="S19" i="2" s="1"/>
  <c r="T19" i="2" s="1"/>
  <c r="Q18" i="2"/>
  <c r="P18" i="2"/>
  <c r="S18" i="2" s="1"/>
  <c r="T18" i="2" s="1"/>
  <c r="O18" i="2"/>
  <c r="R18" i="2" s="1"/>
  <c r="N18" i="2"/>
  <c r="M18" i="2"/>
  <c r="R17" i="2"/>
  <c r="Q17" i="2"/>
  <c r="P17" i="2"/>
  <c r="S17" i="2" s="1"/>
  <c r="T17" i="2" s="1"/>
  <c r="O17" i="2"/>
  <c r="N17" i="2"/>
  <c r="M17" i="2"/>
  <c r="Q16" i="2"/>
  <c r="P16" i="2"/>
  <c r="O16" i="2"/>
  <c r="N16" i="2"/>
  <c r="M16" i="2"/>
  <c r="P15" i="2"/>
  <c r="O15" i="2"/>
  <c r="R15" i="2" s="1"/>
  <c r="N15" i="2"/>
  <c r="Q15" i="2" s="1"/>
  <c r="M15" i="2"/>
  <c r="O14" i="2"/>
  <c r="R14" i="2" s="1"/>
  <c r="N14" i="2"/>
  <c r="Q14" i="2" s="1"/>
  <c r="M14" i="2"/>
  <c r="P14" i="2" s="1"/>
  <c r="R13" i="2"/>
  <c r="O13" i="2"/>
  <c r="N13" i="2"/>
  <c r="Q13" i="2" s="1"/>
  <c r="M13" i="2"/>
  <c r="P13" i="2" s="1"/>
  <c r="R12" i="2"/>
  <c r="Q12" i="2"/>
  <c r="O12" i="2"/>
  <c r="N12" i="2"/>
  <c r="M12" i="2"/>
  <c r="P12" i="2" s="1"/>
  <c r="R11" i="2"/>
  <c r="Q11" i="2"/>
  <c r="P11" i="2"/>
  <c r="S11" i="2" s="1"/>
  <c r="T11" i="2" s="1"/>
  <c r="O11" i="2"/>
  <c r="N11" i="2"/>
  <c r="M11" i="2"/>
  <c r="Q10" i="2"/>
  <c r="P10" i="2"/>
  <c r="O10" i="2"/>
  <c r="R10" i="2" s="1"/>
  <c r="N10" i="2"/>
  <c r="M10" i="2"/>
  <c r="P9" i="2"/>
  <c r="O9" i="2"/>
  <c r="R9" i="2" s="1"/>
  <c r="N9" i="2"/>
  <c r="Q9" i="2" s="1"/>
  <c r="M9" i="2"/>
  <c r="O8" i="2"/>
  <c r="N8" i="2"/>
  <c r="Q8" i="2" s="1"/>
  <c r="M8" i="2"/>
  <c r="P8" i="2" s="1"/>
  <c r="S8" i="2" s="1"/>
  <c r="O7" i="2"/>
  <c r="N7" i="2"/>
  <c r="Q7" i="2" s="1"/>
  <c r="M7" i="2"/>
  <c r="P7" i="2" s="1"/>
  <c r="O6" i="2"/>
  <c r="N6" i="2"/>
  <c r="Q6" i="2" s="1"/>
  <c r="M6" i="2"/>
  <c r="P6" i="2" s="1"/>
  <c r="S6" i="2" s="1"/>
  <c r="O5" i="2"/>
  <c r="N5" i="2"/>
  <c r="Q5" i="2" s="1"/>
  <c r="M5" i="2"/>
  <c r="P5" i="2" s="1"/>
  <c r="Q4" i="2"/>
  <c r="O4" i="2"/>
  <c r="N4" i="2"/>
  <c r="M4" i="2"/>
  <c r="P4" i="2" s="1"/>
  <c r="S4" i="2" s="1"/>
  <c r="O3" i="2"/>
  <c r="AB8" i="2" s="1"/>
  <c r="N3" i="2"/>
  <c r="Q3" i="2" s="1"/>
  <c r="M3" i="2"/>
  <c r="P3" i="2" s="1"/>
  <c r="O2" i="2"/>
  <c r="R2" i="2" s="1"/>
  <c r="N2" i="2"/>
  <c r="Q2" i="2" s="1"/>
  <c r="M2" i="2"/>
  <c r="P2" i="2" s="1"/>
  <c r="M739" i="1"/>
  <c r="N739" i="1"/>
  <c r="Q739" i="1" s="1"/>
  <c r="O739" i="1"/>
  <c r="R739" i="1" s="1"/>
  <c r="P739" i="1"/>
  <c r="M740" i="1"/>
  <c r="P740" i="1" s="1"/>
  <c r="N740" i="1"/>
  <c r="O740" i="1"/>
  <c r="R740" i="1" s="1"/>
  <c r="Q740" i="1"/>
  <c r="M741" i="1"/>
  <c r="P741" i="1" s="1"/>
  <c r="N741" i="1"/>
  <c r="Q741" i="1" s="1"/>
  <c r="O741" i="1"/>
  <c r="R741" i="1" s="1"/>
  <c r="M742" i="1"/>
  <c r="P742" i="1" s="1"/>
  <c r="N742" i="1"/>
  <c r="Q742" i="1" s="1"/>
  <c r="O742" i="1"/>
  <c r="R742" i="1" s="1"/>
  <c r="M743" i="1"/>
  <c r="P743" i="1" s="1"/>
  <c r="N743" i="1"/>
  <c r="Q743" i="1" s="1"/>
  <c r="O743" i="1"/>
  <c r="R743" i="1" s="1"/>
  <c r="M744" i="1"/>
  <c r="P744" i="1" s="1"/>
  <c r="N744" i="1"/>
  <c r="Q744" i="1" s="1"/>
  <c r="O744" i="1"/>
  <c r="R744" i="1" s="1"/>
  <c r="M745" i="1"/>
  <c r="P745" i="1" s="1"/>
  <c r="N745" i="1"/>
  <c r="Q745" i="1" s="1"/>
  <c r="O745" i="1"/>
  <c r="R745" i="1" s="1"/>
  <c r="M746" i="1"/>
  <c r="P746" i="1" s="1"/>
  <c r="N746" i="1"/>
  <c r="Q746" i="1" s="1"/>
  <c r="O746" i="1"/>
  <c r="R746" i="1" s="1"/>
  <c r="M747" i="1"/>
  <c r="P747" i="1" s="1"/>
  <c r="N747" i="1"/>
  <c r="Q747" i="1" s="1"/>
  <c r="O747" i="1"/>
  <c r="R747" i="1" s="1"/>
  <c r="M748" i="1"/>
  <c r="P748" i="1" s="1"/>
  <c r="N748" i="1"/>
  <c r="Q748" i="1" s="1"/>
  <c r="O748" i="1"/>
  <c r="R748" i="1" s="1"/>
  <c r="M749" i="1"/>
  <c r="P749" i="1" s="1"/>
  <c r="N749" i="1"/>
  <c r="Q749" i="1" s="1"/>
  <c r="O749" i="1"/>
  <c r="R749" i="1" s="1"/>
  <c r="M750" i="1"/>
  <c r="P750" i="1" s="1"/>
  <c r="N750" i="1"/>
  <c r="O750" i="1"/>
  <c r="R750" i="1" s="1"/>
  <c r="Q750" i="1"/>
  <c r="M751" i="1"/>
  <c r="P751" i="1" s="1"/>
  <c r="N751" i="1"/>
  <c r="Q751" i="1" s="1"/>
  <c r="O751" i="1"/>
  <c r="R751" i="1" s="1"/>
  <c r="M752" i="1"/>
  <c r="P752" i="1" s="1"/>
  <c r="N752" i="1"/>
  <c r="Q752" i="1" s="1"/>
  <c r="O752" i="1"/>
  <c r="R752" i="1" s="1"/>
  <c r="M753" i="1"/>
  <c r="P753" i="1" s="1"/>
  <c r="N753" i="1"/>
  <c r="Q753" i="1" s="1"/>
  <c r="O753" i="1"/>
  <c r="R753" i="1" s="1"/>
  <c r="M754" i="1"/>
  <c r="P754" i="1" s="1"/>
  <c r="N754" i="1"/>
  <c r="Q754" i="1" s="1"/>
  <c r="O754" i="1"/>
  <c r="R754" i="1" s="1"/>
  <c r="M755" i="1"/>
  <c r="P755" i="1" s="1"/>
  <c r="N755" i="1"/>
  <c r="Q755" i="1" s="1"/>
  <c r="O755" i="1"/>
  <c r="R755" i="1" s="1"/>
  <c r="M756" i="1"/>
  <c r="P756" i="1" s="1"/>
  <c r="N756" i="1"/>
  <c r="Q756" i="1" s="1"/>
  <c r="O756" i="1"/>
  <c r="R756" i="1" s="1"/>
  <c r="M757" i="1"/>
  <c r="P757" i="1" s="1"/>
  <c r="N757" i="1"/>
  <c r="Q757" i="1" s="1"/>
  <c r="O757" i="1"/>
  <c r="R757" i="1" s="1"/>
  <c r="M758" i="1"/>
  <c r="P758" i="1" s="1"/>
  <c r="N758" i="1"/>
  <c r="Q758" i="1" s="1"/>
  <c r="O758" i="1"/>
  <c r="R758" i="1" s="1"/>
  <c r="M759" i="1"/>
  <c r="P759" i="1" s="1"/>
  <c r="N759" i="1"/>
  <c r="Q759" i="1" s="1"/>
  <c r="O759" i="1"/>
  <c r="R759" i="1" s="1"/>
  <c r="M760" i="1"/>
  <c r="P760" i="1" s="1"/>
  <c r="N760" i="1"/>
  <c r="Q760" i="1" s="1"/>
  <c r="O760" i="1"/>
  <c r="R760" i="1" s="1"/>
  <c r="M761" i="1"/>
  <c r="P761" i="1" s="1"/>
  <c r="N761" i="1"/>
  <c r="Q761" i="1" s="1"/>
  <c r="O761" i="1"/>
  <c r="R761" i="1" s="1"/>
  <c r="M762" i="1"/>
  <c r="P762" i="1" s="1"/>
  <c r="N762" i="1"/>
  <c r="Q762" i="1" s="1"/>
  <c r="O762" i="1"/>
  <c r="R762" i="1" s="1"/>
  <c r="M763" i="1"/>
  <c r="N763" i="1"/>
  <c r="Q763" i="1" s="1"/>
  <c r="O763" i="1"/>
  <c r="R763" i="1" s="1"/>
  <c r="P763" i="1"/>
  <c r="M764" i="1"/>
  <c r="P764" i="1" s="1"/>
  <c r="N764" i="1"/>
  <c r="Q764" i="1" s="1"/>
  <c r="O764" i="1"/>
  <c r="R764" i="1" s="1"/>
  <c r="M765" i="1"/>
  <c r="P765" i="1" s="1"/>
  <c r="N765" i="1"/>
  <c r="Q765" i="1" s="1"/>
  <c r="O765" i="1"/>
  <c r="R765" i="1" s="1"/>
  <c r="M766" i="1"/>
  <c r="P766" i="1" s="1"/>
  <c r="N766" i="1"/>
  <c r="Q766" i="1" s="1"/>
  <c r="O766" i="1"/>
  <c r="R766" i="1" s="1"/>
  <c r="M767" i="1"/>
  <c r="P767" i="1" s="1"/>
  <c r="N767" i="1"/>
  <c r="Q767" i="1" s="1"/>
  <c r="O767" i="1"/>
  <c r="R767" i="1" s="1"/>
  <c r="M768" i="1"/>
  <c r="P768" i="1" s="1"/>
  <c r="N768" i="1"/>
  <c r="Q768" i="1" s="1"/>
  <c r="O768" i="1"/>
  <c r="R768" i="1" s="1"/>
  <c r="M769" i="1"/>
  <c r="P769" i="1" s="1"/>
  <c r="N769" i="1"/>
  <c r="Q769" i="1" s="1"/>
  <c r="O769" i="1"/>
  <c r="R769" i="1" s="1"/>
  <c r="M770" i="1"/>
  <c r="P770" i="1" s="1"/>
  <c r="N770" i="1"/>
  <c r="Q770" i="1" s="1"/>
  <c r="O770" i="1"/>
  <c r="R770" i="1" s="1"/>
  <c r="M771" i="1"/>
  <c r="P771" i="1" s="1"/>
  <c r="N771" i="1"/>
  <c r="Q771" i="1" s="1"/>
  <c r="O771" i="1"/>
  <c r="R771" i="1" s="1"/>
  <c r="M772" i="1"/>
  <c r="P772" i="1" s="1"/>
  <c r="N772" i="1"/>
  <c r="Q772" i="1" s="1"/>
  <c r="O772" i="1"/>
  <c r="R772" i="1" s="1"/>
  <c r="M773" i="1"/>
  <c r="P773" i="1" s="1"/>
  <c r="N773" i="1"/>
  <c r="O773" i="1"/>
  <c r="R773" i="1" s="1"/>
  <c r="Q773" i="1"/>
  <c r="M774" i="1"/>
  <c r="P774" i="1" s="1"/>
  <c r="N774" i="1"/>
  <c r="Q774" i="1" s="1"/>
  <c r="O774" i="1"/>
  <c r="R774" i="1" s="1"/>
  <c r="M775" i="1"/>
  <c r="P775" i="1" s="1"/>
  <c r="N775" i="1"/>
  <c r="Q775" i="1" s="1"/>
  <c r="O775" i="1"/>
  <c r="R775" i="1" s="1"/>
  <c r="M776" i="1"/>
  <c r="P776" i="1" s="1"/>
  <c r="N776" i="1"/>
  <c r="Q776" i="1" s="1"/>
  <c r="O776" i="1"/>
  <c r="R776" i="1" s="1"/>
  <c r="M777" i="1"/>
  <c r="P777" i="1" s="1"/>
  <c r="N777" i="1"/>
  <c r="Q777" i="1" s="1"/>
  <c r="O777" i="1"/>
  <c r="R777" i="1" s="1"/>
  <c r="M778" i="1"/>
  <c r="P778" i="1" s="1"/>
  <c r="N778" i="1"/>
  <c r="Q778" i="1" s="1"/>
  <c r="O778" i="1"/>
  <c r="R778" i="1" s="1"/>
  <c r="M779" i="1"/>
  <c r="P779" i="1" s="1"/>
  <c r="N779" i="1"/>
  <c r="Q779" i="1" s="1"/>
  <c r="O779" i="1"/>
  <c r="R779" i="1" s="1"/>
  <c r="M780" i="1"/>
  <c r="P780" i="1" s="1"/>
  <c r="N780" i="1"/>
  <c r="Q780" i="1" s="1"/>
  <c r="O780" i="1"/>
  <c r="R780" i="1" s="1"/>
  <c r="M781" i="1"/>
  <c r="P781" i="1" s="1"/>
  <c r="N781" i="1"/>
  <c r="Q781" i="1" s="1"/>
  <c r="O781" i="1"/>
  <c r="R781" i="1" s="1"/>
  <c r="M782" i="1"/>
  <c r="P782" i="1" s="1"/>
  <c r="N782" i="1"/>
  <c r="Q782" i="1" s="1"/>
  <c r="O782" i="1"/>
  <c r="R782" i="1" s="1"/>
  <c r="M783" i="1"/>
  <c r="P783" i="1" s="1"/>
  <c r="N783" i="1"/>
  <c r="Q783" i="1" s="1"/>
  <c r="O783" i="1"/>
  <c r="R783" i="1" s="1"/>
  <c r="M784" i="1"/>
  <c r="P784" i="1" s="1"/>
  <c r="N784" i="1"/>
  <c r="Q784" i="1" s="1"/>
  <c r="O784" i="1"/>
  <c r="R784" i="1" s="1"/>
  <c r="M785" i="1"/>
  <c r="P785" i="1" s="1"/>
  <c r="N785" i="1"/>
  <c r="O785" i="1"/>
  <c r="R785" i="1" s="1"/>
  <c r="Q785" i="1"/>
  <c r="M786" i="1"/>
  <c r="N786" i="1"/>
  <c r="Q786" i="1" s="1"/>
  <c r="O786" i="1"/>
  <c r="R786" i="1" s="1"/>
  <c r="P786" i="1"/>
  <c r="M787" i="1"/>
  <c r="N787" i="1"/>
  <c r="Q787" i="1" s="1"/>
  <c r="O787" i="1"/>
  <c r="R787" i="1" s="1"/>
  <c r="P787" i="1"/>
  <c r="M788" i="1"/>
  <c r="P788" i="1" s="1"/>
  <c r="N788" i="1"/>
  <c r="O788" i="1"/>
  <c r="R788" i="1" s="1"/>
  <c r="Q788" i="1"/>
  <c r="M789" i="1"/>
  <c r="P789" i="1" s="1"/>
  <c r="N789" i="1"/>
  <c r="Q789" i="1" s="1"/>
  <c r="O789" i="1"/>
  <c r="R789" i="1" s="1"/>
  <c r="M790" i="1"/>
  <c r="P790" i="1" s="1"/>
  <c r="N790" i="1"/>
  <c r="Q790" i="1" s="1"/>
  <c r="O790" i="1"/>
  <c r="R790" i="1" s="1"/>
  <c r="M791" i="1"/>
  <c r="P791" i="1" s="1"/>
  <c r="N791" i="1"/>
  <c r="Q791" i="1" s="1"/>
  <c r="O791" i="1"/>
  <c r="R791" i="1" s="1"/>
  <c r="M792" i="1"/>
  <c r="P792" i="1" s="1"/>
  <c r="N792" i="1"/>
  <c r="Q792" i="1" s="1"/>
  <c r="O792" i="1"/>
  <c r="R792" i="1" s="1"/>
  <c r="M793" i="1"/>
  <c r="P793" i="1" s="1"/>
  <c r="N793" i="1"/>
  <c r="Q793" i="1" s="1"/>
  <c r="O793" i="1"/>
  <c r="R793" i="1" s="1"/>
  <c r="M794" i="1"/>
  <c r="P794" i="1" s="1"/>
  <c r="N794" i="1"/>
  <c r="Q794" i="1" s="1"/>
  <c r="O794" i="1"/>
  <c r="R794" i="1" s="1"/>
  <c r="M795" i="1"/>
  <c r="P795" i="1" s="1"/>
  <c r="N795" i="1"/>
  <c r="Q795" i="1" s="1"/>
  <c r="O795" i="1"/>
  <c r="R795" i="1" s="1"/>
  <c r="M796" i="1"/>
  <c r="P796" i="1" s="1"/>
  <c r="N796" i="1"/>
  <c r="Q796" i="1" s="1"/>
  <c r="O796" i="1"/>
  <c r="R796" i="1" s="1"/>
  <c r="M797" i="1"/>
  <c r="P797" i="1" s="1"/>
  <c r="N797" i="1"/>
  <c r="Q797" i="1" s="1"/>
  <c r="O797" i="1"/>
  <c r="R797" i="1" s="1"/>
  <c r="M798" i="1"/>
  <c r="N798" i="1"/>
  <c r="Q798" i="1" s="1"/>
  <c r="O798" i="1"/>
  <c r="R798" i="1" s="1"/>
  <c r="P798" i="1"/>
  <c r="M799" i="1"/>
  <c r="P799" i="1" s="1"/>
  <c r="N799" i="1"/>
  <c r="Q799" i="1" s="1"/>
  <c r="O799" i="1"/>
  <c r="R799" i="1" s="1"/>
  <c r="M800" i="1"/>
  <c r="P800" i="1" s="1"/>
  <c r="N800" i="1"/>
  <c r="O800" i="1"/>
  <c r="R800" i="1" s="1"/>
  <c r="Q800" i="1"/>
  <c r="M801" i="1"/>
  <c r="P801" i="1" s="1"/>
  <c r="N801" i="1"/>
  <c r="Q801" i="1" s="1"/>
  <c r="O801" i="1"/>
  <c r="R801" i="1" s="1"/>
  <c r="M802" i="1"/>
  <c r="P802" i="1" s="1"/>
  <c r="N802" i="1"/>
  <c r="Q802" i="1" s="1"/>
  <c r="O802" i="1"/>
  <c r="R802" i="1" s="1"/>
  <c r="M803" i="1"/>
  <c r="P803" i="1" s="1"/>
  <c r="N803" i="1"/>
  <c r="Q803" i="1" s="1"/>
  <c r="O803" i="1"/>
  <c r="R803" i="1" s="1"/>
  <c r="M804" i="1"/>
  <c r="N804" i="1"/>
  <c r="Q804" i="1" s="1"/>
  <c r="O804" i="1"/>
  <c r="R804" i="1" s="1"/>
  <c r="P804" i="1"/>
  <c r="M805" i="1"/>
  <c r="N805" i="1"/>
  <c r="Q805" i="1" s="1"/>
  <c r="O805" i="1"/>
  <c r="R805" i="1" s="1"/>
  <c r="P805" i="1"/>
  <c r="M806" i="1"/>
  <c r="P806" i="1" s="1"/>
  <c r="N806" i="1"/>
  <c r="Q806" i="1" s="1"/>
  <c r="O806" i="1"/>
  <c r="R806" i="1" s="1"/>
  <c r="M807" i="1"/>
  <c r="P807" i="1" s="1"/>
  <c r="N807" i="1"/>
  <c r="Q807" i="1" s="1"/>
  <c r="O807" i="1"/>
  <c r="R807" i="1" s="1"/>
  <c r="M808" i="1"/>
  <c r="P808" i="1" s="1"/>
  <c r="N808" i="1"/>
  <c r="Q808" i="1" s="1"/>
  <c r="O808" i="1"/>
  <c r="R808" i="1" s="1"/>
  <c r="M809" i="1"/>
  <c r="P809" i="1" s="1"/>
  <c r="N809" i="1"/>
  <c r="Q809" i="1" s="1"/>
  <c r="O809" i="1"/>
  <c r="R809" i="1" s="1"/>
  <c r="M810" i="1"/>
  <c r="P810" i="1" s="1"/>
  <c r="S810" i="1" s="1"/>
  <c r="T810" i="1" s="1"/>
  <c r="N810" i="1"/>
  <c r="Q810" i="1" s="1"/>
  <c r="O810" i="1"/>
  <c r="R810" i="1" s="1"/>
  <c r="M811" i="1"/>
  <c r="P811" i="1" s="1"/>
  <c r="N811" i="1"/>
  <c r="Q811" i="1" s="1"/>
  <c r="O811" i="1"/>
  <c r="R811" i="1" s="1"/>
  <c r="M812" i="1"/>
  <c r="P812" i="1" s="1"/>
  <c r="N812" i="1"/>
  <c r="O812" i="1"/>
  <c r="R812" i="1" s="1"/>
  <c r="Q812" i="1"/>
  <c r="M813" i="1"/>
  <c r="P813" i="1" s="1"/>
  <c r="N813" i="1"/>
  <c r="Q813" i="1" s="1"/>
  <c r="O813" i="1"/>
  <c r="R813" i="1" s="1"/>
  <c r="M814" i="1"/>
  <c r="P814" i="1" s="1"/>
  <c r="N814" i="1"/>
  <c r="Q814" i="1" s="1"/>
  <c r="O814" i="1"/>
  <c r="R814" i="1" s="1"/>
  <c r="M815" i="1"/>
  <c r="P815" i="1" s="1"/>
  <c r="N815" i="1"/>
  <c r="Q815" i="1" s="1"/>
  <c r="O815" i="1"/>
  <c r="R815" i="1" s="1"/>
  <c r="M816" i="1"/>
  <c r="P816" i="1" s="1"/>
  <c r="N816" i="1"/>
  <c r="Q816" i="1" s="1"/>
  <c r="O816" i="1"/>
  <c r="R816" i="1" s="1"/>
  <c r="M817" i="1"/>
  <c r="P817" i="1" s="1"/>
  <c r="N817" i="1"/>
  <c r="Q817" i="1" s="1"/>
  <c r="O817" i="1"/>
  <c r="R817" i="1" s="1"/>
  <c r="M818" i="1"/>
  <c r="P818" i="1" s="1"/>
  <c r="N818" i="1"/>
  <c r="Q818" i="1" s="1"/>
  <c r="O818" i="1"/>
  <c r="R818" i="1" s="1"/>
  <c r="M819" i="1"/>
  <c r="P819" i="1" s="1"/>
  <c r="N819" i="1"/>
  <c r="Q819" i="1" s="1"/>
  <c r="O819" i="1"/>
  <c r="R819" i="1" s="1"/>
  <c r="M820" i="1"/>
  <c r="P820" i="1" s="1"/>
  <c r="N820" i="1"/>
  <c r="Q820" i="1" s="1"/>
  <c r="O820" i="1"/>
  <c r="R820" i="1" s="1"/>
  <c r="M821" i="1"/>
  <c r="P821" i="1" s="1"/>
  <c r="N821" i="1"/>
  <c r="Q821" i="1" s="1"/>
  <c r="O821" i="1"/>
  <c r="R821" i="1" s="1"/>
  <c r="M822" i="1"/>
  <c r="P822" i="1" s="1"/>
  <c r="N822" i="1"/>
  <c r="Q822" i="1" s="1"/>
  <c r="O822" i="1"/>
  <c r="R822" i="1" s="1"/>
  <c r="M823" i="1"/>
  <c r="P823" i="1" s="1"/>
  <c r="N823" i="1"/>
  <c r="Q823" i="1" s="1"/>
  <c r="O823" i="1"/>
  <c r="R823" i="1" s="1"/>
  <c r="M824" i="1"/>
  <c r="P824" i="1" s="1"/>
  <c r="N824" i="1"/>
  <c r="Q824" i="1" s="1"/>
  <c r="O824" i="1"/>
  <c r="R824" i="1" s="1"/>
  <c r="M825" i="1"/>
  <c r="P825" i="1" s="1"/>
  <c r="N825" i="1"/>
  <c r="Q825" i="1" s="1"/>
  <c r="O825" i="1"/>
  <c r="R825" i="1" s="1"/>
  <c r="M826" i="1"/>
  <c r="P826" i="1" s="1"/>
  <c r="N826" i="1"/>
  <c r="Q826" i="1" s="1"/>
  <c r="O826" i="1"/>
  <c r="R826" i="1" s="1"/>
  <c r="M827" i="1"/>
  <c r="P827" i="1" s="1"/>
  <c r="S827" i="1" s="1"/>
  <c r="T827" i="1" s="1"/>
  <c r="N827" i="1"/>
  <c r="Q827" i="1" s="1"/>
  <c r="O827" i="1"/>
  <c r="R827" i="1" s="1"/>
  <c r="M828" i="1"/>
  <c r="P828" i="1" s="1"/>
  <c r="N828" i="1"/>
  <c r="Q828" i="1" s="1"/>
  <c r="O828" i="1"/>
  <c r="R828" i="1" s="1"/>
  <c r="M829" i="1"/>
  <c r="P829" i="1" s="1"/>
  <c r="N829" i="1"/>
  <c r="Q829" i="1" s="1"/>
  <c r="O829" i="1"/>
  <c r="R829" i="1" s="1"/>
  <c r="M830" i="1"/>
  <c r="P830" i="1" s="1"/>
  <c r="S830" i="1" s="1"/>
  <c r="T830" i="1" s="1"/>
  <c r="N830" i="1"/>
  <c r="Q830" i="1" s="1"/>
  <c r="O830" i="1"/>
  <c r="R830" i="1" s="1"/>
  <c r="M831" i="1"/>
  <c r="P831" i="1" s="1"/>
  <c r="N831" i="1"/>
  <c r="Q831" i="1" s="1"/>
  <c r="O831" i="1"/>
  <c r="R831" i="1" s="1"/>
  <c r="M832" i="1"/>
  <c r="P832" i="1" s="1"/>
  <c r="N832" i="1"/>
  <c r="Q832" i="1" s="1"/>
  <c r="O832" i="1"/>
  <c r="R832" i="1" s="1"/>
  <c r="M833" i="1"/>
  <c r="N833" i="1"/>
  <c r="Q833" i="1" s="1"/>
  <c r="O833" i="1"/>
  <c r="R833" i="1" s="1"/>
  <c r="P833" i="1"/>
  <c r="M834" i="1"/>
  <c r="P834" i="1" s="1"/>
  <c r="N834" i="1"/>
  <c r="Q834" i="1" s="1"/>
  <c r="O834" i="1"/>
  <c r="R834" i="1" s="1"/>
  <c r="M835" i="1"/>
  <c r="P835" i="1" s="1"/>
  <c r="S835" i="1" s="1"/>
  <c r="T835" i="1" s="1"/>
  <c r="N835" i="1"/>
  <c r="Q835" i="1" s="1"/>
  <c r="O835" i="1"/>
  <c r="R835" i="1" s="1"/>
  <c r="M836" i="1"/>
  <c r="P836" i="1" s="1"/>
  <c r="N836" i="1"/>
  <c r="Q836" i="1" s="1"/>
  <c r="O836" i="1"/>
  <c r="R836" i="1" s="1"/>
  <c r="M837" i="1"/>
  <c r="P837" i="1" s="1"/>
  <c r="N837" i="1"/>
  <c r="Q837" i="1" s="1"/>
  <c r="O837" i="1"/>
  <c r="R837" i="1" s="1"/>
  <c r="M838" i="1"/>
  <c r="N838" i="1"/>
  <c r="Q838" i="1" s="1"/>
  <c r="O838" i="1"/>
  <c r="R838" i="1" s="1"/>
  <c r="P838" i="1"/>
  <c r="M839" i="1"/>
  <c r="N839" i="1"/>
  <c r="Q839" i="1" s="1"/>
  <c r="O839" i="1"/>
  <c r="R839" i="1" s="1"/>
  <c r="P839" i="1"/>
  <c r="M840" i="1"/>
  <c r="P840" i="1" s="1"/>
  <c r="N840" i="1"/>
  <c r="Q840" i="1" s="1"/>
  <c r="O840" i="1"/>
  <c r="R840" i="1" s="1"/>
  <c r="M841" i="1"/>
  <c r="P841" i="1" s="1"/>
  <c r="N841" i="1"/>
  <c r="Q841" i="1" s="1"/>
  <c r="O841" i="1"/>
  <c r="R841" i="1" s="1"/>
  <c r="M842" i="1"/>
  <c r="P842" i="1" s="1"/>
  <c r="N842" i="1"/>
  <c r="Q842" i="1" s="1"/>
  <c r="O842" i="1"/>
  <c r="R842" i="1" s="1"/>
  <c r="M843" i="1"/>
  <c r="P843" i="1" s="1"/>
  <c r="N843" i="1"/>
  <c r="Q843" i="1" s="1"/>
  <c r="O843" i="1"/>
  <c r="R843" i="1" s="1"/>
  <c r="M844" i="1"/>
  <c r="P844" i="1" s="1"/>
  <c r="N844" i="1"/>
  <c r="Q844" i="1" s="1"/>
  <c r="O844" i="1"/>
  <c r="R844" i="1" s="1"/>
  <c r="M845" i="1"/>
  <c r="P845" i="1" s="1"/>
  <c r="S845" i="1" s="1"/>
  <c r="T845" i="1" s="1"/>
  <c r="N845" i="1"/>
  <c r="Q845" i="1" s="1"/>
  <c r="O845" i="1"/>
  <c r="R845" i="1" s="1"/>
  <c r="M846" i="1"/>
  <c r="P846" i="1" s="1"/>
  <c r="N846" i="1"/>
  <c r="Q846" i="1" s="1"/>
  <c r="O846" i="1"/>
  <c r="R846" i="1" s="1"/>
  <c r="M847" i="1"/>
  <c r="P847" i="1" s="1"/>
  <c r="N847" i="1"/>
  <c r="O847" i="1"/>
  <c r="R847" i="1" s="1"/>
  <c r="Q847" i="1"/>
  <c r="M848" i="1"/>
  <c r="P848" i="1" s="1"/>
  <c r="S848" i="1" s="1"/>
  <c r="T848" i="1" s="1"/>
  <c r="N848" i="1"/>
  <c r="Q848" i="1" s="1"/>
  <c r="O848" i="1"/>
  <c r="R848" i="1" s="1"/>
  <c r="M849" i="1"/>
  <c r="P849" i="1" s="1"/>
  <c r="N849" i="1"/>
  <c r="Q849" i="1" s="1"/>
  <c r="O849" i="1"/>
  <c r="R849" i="1" s="1"/>
  <c r="M850" i="1"/>
  <c r="P850" i="1" s="1"/>
  <c r="N850" i="1"/>
  <c r="Q850" i="1" s="1"/>
  <c r="O850" i="1"/>
  <c r="R850" i="1" s="1"/>
  <c r="M851" i="1"/>
  <c r="P851" i="1" s="1"/>
  <c r="N851" i="1"/>
  <c r="Q851" i="1" s="1"/>
  <c r="O851" i="1"/>
  <c r="R851" i="1" s="1"/>
  <c r="M852" i="1"/>
  <c r="P852" i="1" s="1"/>
  <c r="N852" i="1"/>
  <c r="Q852" i="1" s="1"/>
  <c r="O852" i="1"/>
  <c r="R852" i="1" s="1"/>
  <c r="M853" i="1"/>
  <c r="P853" i="1" s="1"/>
  <c r="N853" i="1"/>
  <c r="Q853" i="1" s="1"/>
  <c r="O853" i="1"/>
  <c r="R853" i="1" s="1"/>
  <c r="M854" i="1"/>
  <c r="P854" i="1" s="1"/>
  <c r="N854" i="1"/>
  <c r="Q854" i="1" s="1"/>
  <c r="O854" i="1"/>
  <c r="R854" i="1" s="1"/>
  <c r="M855" i="1"/>
  <c r="P855" i="1" s="1"/>
  <c r="N855" i="1"/>
  <c r="Q855" i="1" s="1"/>
  <c r="O855" i="1"/>
  <c r="R855" i="1" s="1"/>
  <c r="M856" i="1"/>
  <c r="N856" i="1"/>
  <c r="Q856" i="1" s="1"/>
  <c r="O856" i="1"/>
  <c r="R856" i="1" s="1"/>
  <c r="P856" i="1"/>
  <c r="M857" i="1"/>
  <c r="N857" i="1"/>
  <c r="Q857" i="1" s="1"/>
  <c r="O857" i="1"/>
  <c r="R857" i="1" s="1"/>
  <c r="P857" i="1"/>
  <c r="M858" i="1"/>
  <c r="P858" i="1" s="1"/>
  <c r="N858" i="1"/>
  <c r="Q858" i="1" s="1"/>
  <c r="O858" i="1"/>
  <c r="R858" i="1" s="1"/>
  <c r="M859" i="1"/>
  <c r="P859" i="1" s="1"/>
  <c r="N859" i="1"/>
  <c r="Q859" i="1" s="1"/>
  <c r="O859" i="1"/>
  <c r="R859" i="1" s="1"/>
  <c r="M860" i="1"/>
  <c r="N860" i="1"/>
  <c r="Q860" i="1" s="1"/>
  <c r="O860" i="1"/>
  <c r="R860" i="1" s="1"/>
  <c r="P860" i="1"/>
  <c r="M861" i="1"/>
  <c r="P861" i="1" s="1"/>
  <c r="N861" i="1"/>
  <c r="Q861" i="1" s="1"/>
  <c r="O861" i="1"/>
  <c r="R861" i="1"/>
  <c r="M862" i="1"/>
  <c r="P862" i="1" s="1"/>
  <c r="N862" i="1"/>
  <c r="Q862" i="1" s="1"/>
  <c r="O862" i="1"/>
  <c r="R862" i="1" s="1"/>
  <c r="M863" i="1"/>
  <c r="P863" i="1" s="1"/>
  <c r="N863" i="1"/>
  <c r="Q863" i="1" s="1"/>
  <c r="O863" i="1"/>
  <c r="R863" i="1" s="1"/>
  <c r="M864" i="1"/>
  <c r="P864" i="1" s="1"/>
  <c r="N864" i="1"/>
  <c r="Q864" i="1" s="1"/>
  <c r="O864" i="1"/>
  <c r="R864" i="1" s="1"/>
  <c r="M3" i="1"/>
  <c r="P3" i="1" s="1"/>
  <c r="S3" i="1" s="1"/>
  <c r="T3" i="1" s="1"/>
  <c r="N3" i="1"/>
  <c r="Q3" i="1" s="1"/>
  <c r="O3" i="1"/>
  <c r="R3" i="1" s="1"/>
  <c r="M4" i="1"/>
  <c r="P4" i="1" s="1"/>
  <c r="N4" i="1"/>
  <c r="O4" i="1"/>
  <c r="R4" i="1" s="1"/>
  <c r="Q4" i="1"/>
  <c r="M5" i="1"/>
  <c r="N5" i="1"/>
  <c r="Q5" i="1" s="1"/>
  <c r="O5" i="1"/>
  <c r="R5" i="1" s="1"/>
  <c r="P5" i="1"/>
  <c r="M6" i="1"/>
  <c r="P6" i="1" s="1"/>
  <c r="N6" i="1"/>
  <c r="Q6" i="1" s="1"/>
  <c r="O6" i="1"/>
  <c r="R6" i="1" s="1"/>
  <c r="M7" i="1"/>
  <c r="P7" i="1" s="1"/>
  <c r="N7" i="1"/>
  <c r="Q7" i="1" s="1"/>
  <c r="O7" i="1"/>
  <c r="R7" i="1" s="1"/>
  <c r="M8" i="1"/>
  <c r="P8" i="1" s="1"/>
  <c r="N8" i="1"/>
  <c r="Q8" i="1" s="1"/>
  <c r="O8" i="1"/>
  <c r="R8" i="1"/>
  <c r="M9" i="1"/>
  <c r="P9" i="1" s="1"/>
  <c r="S9" i="1" s="1"/>
  <c r="T9" i="1" s="1"/>
  <c r="N9" i="1"/>
  <c r="Q9" i="1" s="1"/>
  <c r="O9" i="1"/>
  <c r="R9" i="1" s="1"/>
  <c r="M10" i="1"/>
  <c r="P10" i="1" s="1"/>
  <c r="N10" i="1"/>
  <c r="O10" i="1"/>
  <c r="R10" i="1" s="1"/>
  <c r="Q10" i="1"/>
  <c r="M11" i="1"/>
  <c r="P11" i="1" s="1"/>
  <c r="N11" i="1"/>
  <c r="Q11" i="1" s="1"/>
  <c r="O11" i="1"/>
  <c r="R11" i="1" s="1"/>
  <c r="M12" i="1"/>
  <c r="P12" i="1" s="1"/>
  <c r="N12" i="1"/>
  <c r="Q12" i="1" s="1"/>
  <c r="O12" i="1"/>
  <c r="R12" i="1" s="1"/>
  <c r="M13" i="1"/>
  <c r="P13" i="1" s="1"/>
  <c r="N13" i="1"/>
  <c r="Q13" i="1" s="1"/>
  <c r="O13" i="1"/>
  <c r="R13" i="1" s="1"/>
  <c r="M14" i="1"/>
  <c r="P14" i="1" s="1"/>
  <c r="N14" i="1"/>
  <c r="Q14" i="1" s="1"/>
  <c r="O14" i="1"/>
  <c r="R14" i="1" s="1"/>
  <c r="M15" i="1"/>
  <c r="N15" i="1"/>
  <c r="Q15" i="1" s="1"/>
  <c r="O15" i="1"/>
  <c r="R15" i="1" s="1"/>
  <c r="P15" i="1"/>
  <c r="S15" i="1" s="1"/>
  <c r="T15" i="1" s="1"/>
  <c r="M16" i="1"/>
  <c r="P16" i="1" s="1"/>
  <c r="N16" i="1"/>
  <c r="Q16" i="1" s="1"/>
  <c r="O16" i="1"/>
  <c r="R16" i="1" s="1"/>
  <c r="M17" i="1"/>
  <c r="P17" i="1" s="1"/>
  <c r="N17" i="1"/>
  <c r="Q17" i="1" s="1"/>
  <c r="O17" i="1"/>
  <c r="R17" i="1" s="1"/>
  <c r="M18" i="1"/>
  <c r="P18" i="1" s="1"/>
  <c r="N18" i="1"/>
  <c r="Q18" i="1" s="1"/>
  <c r="O18" i="1"/>
  <c r="R18" i="1" s="1"/>
  <c r="M19" i="1"/>
  <c r="P19" i="1" s="1"/>
  <c r="N19" i="1"/>
  <c r="Q19" i="1" s="1"/>
  <c r="O19" i="1"/>
  <c r="R19" i="1" s="1"/>
  <c r="M20" i="1"/>
  <c r="P20" i="1" s="1"/>
  <c r="N20" i="1"/>
  <c r="Q20" i="1" s="1"/>
  <c r="O20" i="1"/>
  <c r="R20" i="1" s="1"/>
  <c r="M21" i="1"/>
  <c r="P21" i="1" s="1"/>
  <c r="N21" i="1"/>
  <c r="Q21" i="1" s="1"/>
  <c r="O21" i="1"/>
  <c r="R21" i="1" s="1"/>
  <c r="M22" i="1"/>
  <c r="P22" i="1" s="1"/>
  <c r="N22" i="1"/>
  <c r="Q22" i="1" s="1"/>
  <c r="O22" i="1"/>
  <c r="R22" i="1" s="1"/>
  <c r="M23" i="1"/>
  <c r="N23" i="1"/>
  <c r="Q23" i="1" s="1"/>
  <c r="O23" i="1"/>
  <c r="R23" i="1" s="1"/>
  <c r="P23" i="1"/>
  <c r="M24" i="1"/>
  <c r="P24" i="1" s="1"/>
  <c r="N24" i="1"/>
  <c r="Q24" i="1" s="1"/>
  <c r="O24" i="1"/>
  <c r="R24" i="1" s="1"/>
  <c r="M25" i="1"/>
  <c r="P25" i="1" s="1"/>
  <c r="N25" i="1"/>
  <c r="Q25" i="1" s="1"/>
  <c r="O25" i="1"/>
  <c r="R25" i="1"/>
  <c r="M26" i="1"/>
  <c r="P26" i="1" s="1"/>
  <c r="N26" i="1"/>
  <c r="Q26" i="1" s="1"/>
  <c r="O26" i="1"/>
  <c r="R26" i="1" s="1"/>
  <c r="M27" i="1"/>
  <c r="N27" i="1"/>
  <c r="O27" i="1"/>
  <c r="R27" i="1" s="1"/>
  <c r="P27" i="1"/>
  <c r="Q27" i="1"/>
  <c r="M28" i="1"/>
  <c r="P28" i="1" s="1"/>
  <c r="N28" i="1"/>
  <c r="Q28" i="1" s="1"/>
  <c r="O28" i="1"/>
  <c r="R28" i="1" s="1"/>
  <c r="M29" i="1"/>
  <c r="P29" i="1" s="1"/>
  <c r="N29" i="1"/>
  <c r="Q29" i="1" s="1"/>
  <c r="O29" i="1"/>
  <c r="R29" i="1" s="1"/>
  <c r="M30" i="1"/>
  <c r="P30" i="1" s="1"/>
  <c r="N30" i="1"/>
  <c r="Q30" i="1" s="1"/>
  <c r="O30" i="1"/>
  <c r="R30" i="1" s="1"/>
  <c r="M31" i="1"/>
  <c r="P31" i="1" s="1"/>
  <c r="N31" i="1"/>
  <c r="Q31" i="1" s="1"/>
  <c r="O31" i="1"/>
  <c r="R31" i="1"/>
  <c r="M32" i="1"/>
  <c r="P32" i="1" s="1"/>
  <c r="N32" i="1"/>
  <c r="Q32" i="1" s="1"/>
  <c r="O32" i="1"/>
  <c r="R32" i="1" s="1"/>
  <c r="M33" i="1"/>
  <c r="P33" i="1" s="1"/>
  <c r="N33" i="1"/>
  <c r="O33" i="1"/>
  <c r="R33" i="1" s="1"/>
  <c r="Q33" i="1"/>
  <c r="M34" i="1"/>
  <c r="P34" i="1" s="1"/>
  <c r="S34" i="1" s="1"/>
  <c r="T34" i="1" s="1"/>
  <c r="N34" i="1"/>
  <c r="O34" i="1"/>
  <c r="R34" i="1" s="1"/>
  <c r="Q34" i="1"/>
  <c r="M35" i="1"/>
  <c r="P35" i="1" s="1"/>
  <c r="N35" i="1"/>
  <c r="Q35" i="1" s="1"/>
  <c r="O35" i="1"/>
  <c r="R35" i="1" s="1"/>
  <c r="M36" i="1"/>
  <c r="P36" i="1" s="1"/>
  <c r="N36" i="1"/>
  <c r="Q36" i="1" s="1"/>
  <c r="O36" i="1"/>
  <c r="R36" i="1" s="1"/>
  <c r="M37" i="1"/>
  <c r="P37" i="1" s="1"/>
  <c r="N37" i="1"/>
  <c r="Q37" i="1" s="1"/>
  <c r="O37" i="1"/>
  <c r="R37" i="1" s="1"/>
  <c r="M38" i="1"/>
  <c r="P38" i="1" s="1"/>
  <c r="N38" i="1"/>
  <c r="Q38" i="1" s="1"/>
  <c r="S38" i="1" s="1"/>
  <c r="T38" i="1" s="1"/>
  <c r="O38" i="1"/>
  <c r="R38" i="1" s="1"/>
  <c r="M39" i="1"/>
  <c r="P39" i="1" s="1"/>
  <c r="N39" i="1"/>
  <c r="Q39" i="1" s="1"/>
  <c r="O39" i="1"/>
  <c r="R39" i="1" s="1"/>
  <c r="M40" i="1"/>
  <c r="P40" i="1" s="1"/>
  <c r="N40" i="1"/>
  <c r="Q40" i="1" s="1"/>
  <c r="O40" i="1"/>
  <c r="R40" i="1" s="1"/>
  <c r="M41" i="1"/>
  <c r="P41" i="1" s="1"/>
  <c r="N41" i="1"/>
  <c r="Q41" i="1" s="1"/>
  <c r="O41" i="1"/>
  <c r="R41" i="1" s="1"/>
  <c r="M42" i="1"/>
  <c r="P42" i="1" s="1"/>
  <c r="N42" i="1"/>
  <c r="Q42" i="1" s="1"/>
  <c r="O42" i="1"/>
  <c r="R42" i="1" s="1"/>
  <c r="M43" i="1"/>
  <c r="P43" i="1" s="1"/>
  <c r="N43" i="1"/>
  <c r="Q43" i="1" s="1"/>
  <c r="O43" i="1"/>
  <c r="R43" i="1"/>
  <c r="M44" i="1"/>
  <c r="P44" i="1" s="1"/>
  <c r="N44" i="1"/>
  <c r="Q44" i="1" s="1"/>
  <c r="O44" i="1"/>
  <c r="R44" i="1" s="1"/>
  <c r="M45" i="1"/>
  <c r="N45" i="1"/>
  <c r="Q45" i="1" s="1"/>
  <c r="O45" i="1"/>
  <c r="R45" i="1" s="1"/>
  <c r="P45" i="1"/>
  <c r="S45" i="1" s="1"/>
  <c r="T45" i="1" s="1"/>
  <c r="M46" i="1"/>
  <c r="P46" i="1" s="1"/>
  <c r="N46" i="1"/>
  <c r="Q46" i="1" s="1"/>
  <c r="O46" i="1"/>
  <c r="R46" i="1" s="1"/>
  <c r="M47" i="1"/>
  <c r="P47" i="1" s="1"/>
  <c r="N47" i="1"/>
  <c r="Q47" i="1" s="1"/>
  <c r="O47" i="1"/>
  <c r="R47" i="1" s="1"/>
  <c r="M48" i="1"/>
  <c r="P48" i="1" s="1"/>
  <c r="N48" i="1"/>
  <c r="Q48" i="1" s="1"/>
  <c r="O48" i="1"/>
  <c r="R48" i="1" s="1"/>
  <c r="M49" i="1"/>
  <c r="P49" i="1" s="1"/>
  <c r="N49" i="1"/>
  <c r="Q49" i="1" s="1"/>
  <c r="O49" i="1"/>
  <c r="R49" i="1" s="1"/>
  <c r="M50" i="1"/>
  <c r="P50" i="1" s="1"/>
  <c r="N50" i="1"/>
  <c r="Q50" i="1" s="1"/>
  <c r="O50" i="1"/>
  <c r="R50" i="1" s="1"/>
  <c r="M51" i="1"/>
  <c r="N51" i="1"/>
  <c r="O51" i="1"/>
  <c r="R51" i="1" s="1"/>
  <c r="P51" i="1"/>
  <c r="S51" i="1" s="1"/>
  <c r="T51" i="1" s="1"/>
  <c r="Q51" i="1"/>
  <c r="M52" i="1"/>
  <c r="P52" i="1" s="1"/>
  <c r="N52" i="1"/>
  <c r="O52" i="1"/>
  <c r="R52" i="1" s="1"/>
  <c r="Q52" i="1"/>
  <c r="M53" i="1"/>
  <c r="P53" i="1" s="1"/>
  <c r="N53" i="1"/>
  <c r="Q53" i="1" s="1"/>
  <c r="O53" i="1"/>
  <c r="R53" i="1" s="1"/>
  <c r="M54" i="1"/>
  <c r="P54" i="1" s="1"/>
  <c r="N54" i="1"/>
  <c r="Q54" i="1" s="1"/>
  <c r="O54" i="1"/>
  <c r="R54" i="1" s="1"/>
  <c r="M55" i="1"/>
  <c r="P55" i="1" s="1"/>
  <c r="N55" i="1"/>
  <c r="Q55" i="1" s="1"/>
  <c r="O55" i="1"/>
  <c r="R55" i="1" s="1"/>
  <c r="M56" i="1"/>
  <c r="P56" i="1" s="1"/>
  <c r="N56" i="1"/>
  <c r="Q56" i="1" s="1"/>
  <c r="O56" i="1"/>
  <c r="R56" i="1" s="1"/>
  <c r="M57" i="1"/>
  <c r="P57" i="1" s="1"/>
  <c r="S57" i="1" s="1"/>
  <c r="T57" i="1" s="1"/>
  <c r="N57" i="1"/>
  <c r="O57" i="1"/>
  <c r="R57" i="1" s="1"/>
  <c r="Q57" i="1"/>
  <c r="M58" i="1"/>
  <c r="P58" i="1" s="1"/>
  <c r="N58" i="1"/>
  <c r="Q58" i="1" s="1"/>
  <c r="O58" i="1"/>
  <c r="R58" i="1" s="1"/>
  <c r="M59" i="1"/>
  <c r="P59" i="1" s="1"/>
  <c r="N59" i="1"/>
  <c r="Q59" i="1" s="1"/>
  <c r="O59" i="1"/>
  <c r="R59" i="1" s="1"/>
  <c r="M60" i="1"/>
  <c r="P60" i="1" s="1"/>
  <c r="N60" i="1"/>
  <c r="Q60" i="1" s="1"/>
  <c r="O60" i="1"/>
  <c r="R60" i="1" s="1"/>
  <c r="M61" i="1"/>
  <c r="P61" i="1" s="1"/>
  <c r="N61" i="1"/>
  <c r="Q61" i="1" s="1"/>
  <c r="O61" i="1"/>
  <c r="R61" i="1" s="1"/>
  <c r="M62" i="1"/>
  <c r="P62" i="1" s="1"/>
  <c r="N62" i="1"/>
  <c r="Q62" i="1" s="1"/>
  <c r="O62" i="1"/>
  <c r="R62" i="1" s="1"/>
  <c r="M63" i="1"/>
  <c r="N63" i="1"/>
  <c r="Q63" i="1" s="1"/>
  <c r="O63" i="1"/>
  <c r="R63" i="1" s="1"/>
  <c r="P63" i="1"/>
  <c r="M64" i="1"/>
  <c r="P64" i="1" s="1"/>
  <c r="N64" i="1"/>
  <c r="Q64" i="1" s="1"/>
  <c r="O64" i="1"/>
  <c r="R64" i="1" s="1"/>
  <c r="M65" i="1"/>
  <c r="P65" i="1" s="1"/>
  <c r="N65" i="1"/>
  <c r="Q65" i="1" s="1"/>
  <c r="O65" i="1"/>
  <c r="R65" i="1" s="1"/>
  <c r="M66" i="1"/>
  <c r="P66" i="1" s="1"/>
  <c r="N66" i="1"/>
  <c r="Q66" i="1" s="1"/>
  <c r="O66" i="1"/>
  <c r="R66" i="1" s="1"/>
  <c r="M67" i="1"/>
  <c r="P67" i="1" s="1"/>
  <c r="N67" i="1"/>
  <c r="Q67" i="1" s="1"/>
  <c r="O67" i="1"/>
  <c r="R67" i="1"/>
  <c r="M68" i="1"/>
  <c r="P68" i="1" s="1"/>
  <c r="N68" i="1"/>
  <c r="Q68" i="1" s="1"/>
  <c r="O68" i="1"/>
  <c r="R68" i="1" s="1"/>
  <c r="M69" i="1"/>
  <c r="N69" i="1"/>
  <c r="Q69" i="1" s="1"/>
  <c r="O69" i="1"/>
  <c r="R69" i="1" s="1"/>
  <c r="P69" i="1"/>
  <c r="M70" i="1"/>
  <c r="P70" i="1" s="1"/>
  <c r="N70" i="1"/>
  <c r="Q70" i="1" s="1"/>
  <c r="O70" i="1"/>
  <c r="R70" i="1" s="1"/>
  <c r="M71" i="1"/>
  <c r="P71" i="1" s="1"/>
  <c r="N71" i="1"/>
  <c r="Q71" i="1" s="1"/>
  <c r="O71" i="1"/>
  <c r="R71" i="1" s="1"/>
  <c r="M72" i="1"/>
  <c r="P72" i="1" s="1"/>
  <c r="S72" i="1" s="1"/>
  <c r="T72" i="1" s="1"/>
  <c r="N72" i="1"/>
  <c r="Q72" i="1" s="1"/>
  <c r="O72" i="1"/>
  <c r="R72" i="1" s="1"/>
  <c r="M73" i="1"/>
  <c r="P73" i="1" s="1"/>
  <c r="N73" i="1"/>
  <c r="Q73" i="1" s="1"/>
  <c r="O73" i="1"/>
  <c r="R73" i="1"/>
  <c r="M74" i="1"/>
  <c r="P74" i="1" s="1"/>
  <c r="N74" i="1"/>
  <c r="Q74" i="1" s="1"/>
  <c r="O74" i="1"/>
  <c r="R74" i="1" s="1"/>
  <c r="M75" i="1"/>
  <c r="P75" i="1" s="1"/>
  <c r="N75" i="1"/>
  <c r="Q75" i="1" s="1"/>
  <c r="O75" i="1"/>
  <c r="R75" i="1" s="1"/>
  <c r="M76" i="1"/>
  <c r="P76" i="1" s="1"/>
  <c r="N76" i="1"/>
  <c r="Q76" i="1" s="1"/>
  <c r="O76" i="1"/>
  <c r="R76" i="1"/>
  <c r="M77" i="1"/>
  <c r="P77" i="1" s="1"/>
  <c r="N77" i="1"/>
  <c r="Q77" i="1" s="1"/>
  <c r="O77" i="1"/>
  <c r="R77" i="1" s="1"/>
  <c r="M78" i="1"/>
  <c r="P78" i="1" s="1"/>
  <c r="N78" i="1"/>
  <c r="Q78" i="1" s="1"/>
  <c r="O78" i="1"/>
  <c r="R78" i="1" s="1"/>
  <c r="M79" i="1"/>
  <c r="P79" i="1" s="1"/>
  <c r="N79" i="1"/>
  <c r="Q79" i="1" s="1"/>
  <c r="O79" i="1"/>
  <c r="R79" i="1" s="1"/>
  <c r="M80" i="1"/>
  <c r="P80" i="1" s="1"/>
  <c r="N80" i="1"/>
  <c r="Q80" i="1" s="1"/>
  <c r="O80" i="1"/>
  <c r="R80" i="1" s="1"/>
  <c r="M81" i="1"/>
  <c r="P81" i="1" s="1"/>
  <c r="N81" i="1"/>
  <c r="Q81" i="1" s="1"/>
  <c r="O81" i="1"/>
  <c r="R81" i="1" s="1"/>
  <c r="M82" i="1"/>
  <c r="P82" i="1" s="1"/>
  <c r="N82" i="1"/>
  <c r="Q82" i="1" s="1"/>
  <c r="O82" i="1"/>
  <c r="R82" i="1" s="1"/>
  <c r="M83" i="1"/>
  <c r="P83" i="1" s="1"/>
  <c r="N83" i="1"/>
  <c r="O83" i="1"/>
  <c r="R83" i="1" s="1"/>
  <c r="Q83" i="1"/>
  <c r="M84" i="1"/>
  <c r="P84" i="1" s="1"/>
  <c r="N84" i="1"/>
  <c r="Q84" i="1" s="1"/>
  <c r="O84" i="1"/>
  <c r="R84" i="1" s="1"/>
  <c r="M85" i="1"/>
  <c r="P85" i="1" s="1"/>
  <c r="N85" i="1"/>
  <c r="Q85" i="1" s="1"/>
  <c r="O85" i="1"/>
  <c r="R85" i="1" s="1"/>
  <c r="M86" i="1"/>
  <c r="P86" i="1" s="1"/>
  <c r="N86" i="1"/>
  <c r="Q86" i="1" s="1"/>
  <c r="O86" i="1"/>
  <c r="R86" i="1" s="1"/>
  <c r="M87" i="1"/>
  <c r="P87" i="1" s="1"/>
  <c r="N87" i="1"/>
  <c r="Q87" i="1" s="1"/>
  <c r="O87" i="1"/>
  <c r="R87" i="1" s="1"/>
  <c r="M88" i="1"/>
  <c r="P88" i="1" s="1"/>
  <c r="N88" i="1"/>
  <c r="Q88" i="1" s="1"/>
  <c r="O88" i="1"/>
  <c r="R88" i="1" s="1"/>
  <c r="M89" i="1"/>
  <c r="P89" i="1" s="1"/>
  <c r="N89" i="1"/>
  <c r="Q89" i="1" s="1"/>
  <c r="O89" i="1"/>
  <c r="R89" i="1" s="1"/>
  <c r="M90" i="1"/>
  <c r="N90" i="1"/>
  <c r="Q90" i="1" s="1"/>
  <c r="O90" i="1"/>
  <c r="P90" i="1"/>
  <c r="S90" i="1" s="1"/>
  <c r="T90" i="1" s="1"/>
  <c r="R90" i="1"/>
  <c r="M91" i="1"/>
  <c r="P91" i="1" s="1"/>
  <c r="N91" i="1"/>
  <c r="Q91" i="1" s="1"/>
  <c r="O91" i="1"/>
  <c r="R91" i="1" s="1"/>
  <c r="M92" i="1"/>
  <c r="P92" i="1" s="1"/>
  <c r="N92" i="1"/>
  <c r="O92" i="1"/>
  <c r="R92" i="1" s="1"/>
  <c r="Q92" i="1"/>
  <c r="M93" i="1"/>
  <c r="P93" i="1" s="1"/>
  <c r="N93" i="1"/>
  <c r="Q93" i="1" s="1"/>
  <c r="O93" i="1"/>
  <c r="R93" i="1" s="1"/>
  <c r="M94" i="1"/>
  <c r="P94" i="1" s="1"/>
  <c r="N94" i="1"/>
  <c r="Q94" i="1" s="1"/>
  <c r="O94" i="1"/>
  <c r="R94" i="1" s="1"/>
  <c r="M95" i="1"/>
  <c r="P95" i="1" s="1"/>
  <c r="N95" i="1"/>
  <c r="Q95" i="1" s="1"/>
  <c r="O95" i="1"/>
  <c r="R95" i="1"/>
  <c r="M96" i="1"/>
  <c r="P96" i="1" s="1"/>
  <c r="N96" i="1"/>
  <c r="O96" i="1"/>
  <c r="R96" i="1" s="1"/>
  <c r="Q96" i="1"/>
  <c r="M97" i="1"/>
  <c r="P97" i="1" s="1"/>
  <c r="N97" i="1"/>
  <c r="Q97" i="1" s="1"/>
  <c r="O97" i="1"/>
  <c r="R97" i="1" s="1"/>
  <c r="M98" i="1"/>
  <c r="P98" i="1" s="1"/>
  <c r="N98" i="1"/>
  <c r="Q98" i="1" s="1"/>
  <c r="O98" i="1"/>
  <c r="R98" i="1" s="1"/>
  <c r="M99" i="1"/>
  <c r="P99" i="1" s="1"/>
  <c r="N99" i="1"/>
  <c r="Q99" i="1" s="1"/>
  <c r="O99" i="1"/>
  <c r="R99" i="1" s="1"/>
  <c r="M100" i="1"/>
  <c r="P100" i="1" s="1"/>
  <c r="S100" i="1" s="1"/>
  <c r="T100" i="1" s="1"/>
  <c r="N100" i="1"/>
  <c r="Q100" i="1" s="1"/>
  <c r="O100" i="1"/>
  <c r="R100" i="1" s="1"/>
  <c r="M101" i="1"/>
  <c r="P101" i="1" s="1"/>
  <c r="N101" i="1"/>
  <c r="Q101" i="1" s="1"/>
  <c r="S101" i="1" s="1"/>
  <c r="T101" i="1" s="1"/>
  <c r="O101" i="1"/>
  <c r="R101" i="1" s="1"/>
  <c r="M102" i="1"/>
  <c r="P102" i="1" s="1"/>
  <c r="S102" i="1" s="1"/>
  <c r="T102" i="1" s="1"/>
  <c r="N102" i="1"/>
  <c r="O102" i="1"/>
  <c r="Q102" i="1"/>
  <c r="R102" i="1"/>
  <c r="M103" i="1"/>
  <c r="P103" i="1" s="1"/>
  <c r="N103" i="1"/>
  <c r="Q103" i="1" s="1"/>
  <c r="O103" i="1"/>
  <c r="R103" i="1" s="1"/>
  <c r="M104" i="1"/>
  <c r="P104" i="1" s="1"/>
  <c r="S104" i="1" s="1"/>
  <c r="T104" i="1" s="1"/>
  <c r="N104" i="1"/>
  <c r="Q104" i="1" s="1"/>
  <c r="O104" i="1"/>
  <c r="R104" i="1" s="1"/>
  <c r="M105" i="1"/>
  <c r="P105" i="1" s="1"/>
  <c r="N105" i="1"/>
  <c r="Q105" i="1" s="1"/>
  <c r="O105" i="1"/>
  <c r="R105" i="1" s="1"/>
  <c r="M106" i="1"/>
  <c r="P106" i="1" s="1"/>
  <c r="N106" i="1"/>
  <c r="Q106" i="1" s="1"/>
  <c r="O106" i="1"/>
  <c r="R106" i="1" s="1"/>
  <c r="M107" i="1"/>
  <c r="P107" i="1" s="1"/>
  <c r="N107" i="1"/>
  <c r="Q107" i="1" s="1"/>
  <c r="O107" i="1"/>
  <c r="R107" i="1" s="1"/>
  <c r="M108" i="1"/>
  <c r="P108" i="1" s="1"/>
  <c r="N108" i="1"/>
  <c r="Q108" i="1" s="1"/>
  <c r="O108" i="1"/>
  <c r="R108" i="1" s="1"/>
  <c r="M109" i="1"/>
  <c r="P109" i="1" s="1"/>
  <c r="S109" i="1" s="1"/>
  <c r="T109" i="1" s="1"/>
  <c r="N109" i="1"/>
  <c r="O109" i="1"/>
  <c r="R109" i="1" s="1"/>
  <c r="Q109" i="1"/>
  <c r="M110" i="1"/>
  <c r="P110" i="1" s="1"/>
  <c r="S110" i="1" s="1"/>
  <c r="T110" i="1" s="1"/>
  <c r="N110" i="1"/>
  <c r="Q110" i="1" s="1"/>
  <c r="O110" i="1"/>
  <c r="R110" i="1" s="1"/>
  <c r="M111" i="1"/>
  <c r="P111" i="1" s="1"/>
  <c r="N111" i="1"/>
  <c r="Q111" i="1" s="1"/>
  <c r="O111" i="1"/>
  <c r="R111" i="1" s="1"/>
  <c r="M112" i="1"/>
  <c r="N112" i="1"/>
  <c r="Q112" i="1" s="1"/>
  <c r="O112" i="1"/>
  <c r="R112" i="1" s="1"/>
  <c r="P112" i="1"/>
  <c r="M113" i="1"/>
  <c r="P113" i="1" s="1"/>
  <c r="N113" i="1"/>
  <c r="Q113" i="1" s="1"/>
  <c r="S113" i="1" s="1"/>
  <c r="T113" i="1" s="1"/>
  <c r="O113" i="1"/>
  <c r="R113" i="1" s="1"/>
  <c r="M114" i="1"/>
  <c r="P114" i="1" s="1"/>
  <c r="N114" i="1"/>
  <c r="Q114" i="1" s="1"/>
  <c r="O114" i="1"/>
  <c r="R114" i="1" s="1"/>
  <c r="M115" i="1"/>
  <c r="P115" i="1" s="1"/>
  <c r="N115" i="1"/>
  <c r="Q115" i="1" s="1"/>
  <c r="O115" i="1"/>
  <c r="R115" i="1" s="1"/>
  <c r="M116" i="1"/>
  <c r="P116" i="1" s="1"/>
  <c r="N116" i="1"/>
  <c r="Q116" i="1" s="1"/>
  <c r="S116" i="1" s="1"/>
  <c r="T116" i="1" s="1"/>
  <c r="O116" i="1"/>
  <c r="R116" i="1"/>
  <c r="M117" i="1"/>
  <c r="P117" i="1" s="1"/>
  <c r="N117" i="1"/>
  <c r="Q117" i="1" s="1"/>
  <c r="O117" i="1"/>
  <c r="R117" i="1" s="1"/>
  <c r="M118" i="1"/>
  <c r="P118" i="1" s="1"/>
  <c r="N118" i="1"/>
  <c r="Q118" i="1" s="1"/>
  <c r="O118" i="1"/>
  <c r="R118" i="1" s="1"/>
  <c r="M119" i="1"/>
  <c r="P119" i="1" s="1"/>
  <c r="N119" i="1"/>
  <c r="Q119" i="1" s="1"/>
  <c r="O119" i="1"/>
  <c r="R119" i="1" s="1"/>
  <c r="M120" i="1"/>
  <c r="P120" i="1" s="1"/>
  <c r="N120" i="1"/>
  <c r="O120" i="1"/>
  <c r="Q120" i="1"/>
  <c r="R120" i="1"/>
  <c r="M121" i="1"/>
  <c r="P121" i="1" s="1"/>
  <c r="N121" i="1"/>
  <c r="Q121" i="1" s="1"/>
  <c r="O121" i="1"/>
  <c r="R121" i="1" s="1"/>
  <c r="M122" i="1"/>
  <c r="P122" i="1" s="1"/>
  <c r="N122" i="1"/>
  <c r="Q122" i="1" s="1"/>
  <c r="S122" i="1" s="1"/>
  <c r="T122" i="1" s="1"/>
  <c r="O122" i="1"/>
  <c r="R122" i="1" s="1"/>
  <c r="M123" i="1"/>
  <c r="P123" i="1" s="1"/>
  <c r="N123" i="1"/>
  <c r="Q123" i="1" s="1"/>
  <c r="O123" i="1"/>
  <c r="R123" i="1" s="1"/>
  <c r="M124" i="1"/>
  <c r="N124" i="1"/>
  <c r="Q124" i="1" s="1"/>
  <c r="O124" i="1"/>
  <c r="R124" i="1" s="1"/>
  <c r="P124" i="1"/>
  <c r="M125" i="1"/>
  <c r="P125" i="1" s="1"/>
  <c r="N125" i="1"/>
  <c r="Q125" i="1" s="1"/>
  <c r="S125" i="1" s="1"/>
  <c r="T125" i="1" s="1"/>
  <c r="O125" i="1"/>
  <c r="R125" i="1" s="1"/>
  <c r="M126" i="1"/>
  <c r="P126" i="1" s="1"/>
  <c r="N126" i="1"/>
  <c r="Q126" i="1" s="1"/>
  <c r="O126" i="1"/>
  <c r="R126" i="1" s="1"/>
  <c r="M127" i="1"/>
  <c r="P127" i="1" s="1"/>
  <c r="N127" i="1"/>
  <c r="O127" i="1"/>
  <c r="R127" i="1" s="1"/>
  <c r="Q127" i="1"/>
  <c r="M128" i="1"/>
  <c r="P128" i="1" s="1"/>
  <c r="S128" i="1" s="1"/>
  <c r="T128" i="1" s="1"/>
  <c r="N128" i="1"/>
  <c r="Q128" i="1" s="1"/>
  <c r="O128" i="1"/>
  <c r="R128" i="1" s="1"/>
  <c r="M129" i="1"/>
  <c r="P129" i="1" s="1"/>
  <c r="N129" i="1"/>
  <c r="Q129" i="1" s="1"/>
  <c r="O129" i="1"/>
  <c r="R129" i="1" s="1"/>
  <c r="M130" i="1"/>
  <c r="N130" i="1"/>
  <c r="Q130" i="1" s="1"/>
  <c r="O130" i="1"/>
  <c r="R130" i="1" s="1"/>
  <c r="P130" i="1"/>
  <c r="M131" i="1"/>
  <c r="P131" i="1" s="1"/>
  <c r="N131" i="1"/>
  <c r="Q131" i="1" s="1"/>
  <c r="O131" i="1"/>
  <c r="R131" i="1" s="1"/>
  <c r="M132" i="1"/>
  <c r="P132" i="1" s="1"/>
  <c r="N132" i="1"/>
  <c r="Q132" i="1" s="1"/>
  <c r="O132" i="1"/>
  <c r="R132" i="1" s="1"/>
  <c r="M133" i="1"/>
  <c r="P133" i="1" s="1"/>
  <c r="N133" i="1"/>
  <c r="Q133" i="1" s="1"/>
  <c r="O133" i="1"/>
  <c r="R133" i="1" s="1"/>
  <c r="M134" i="1"/>
  <c r="P134" i="1" s="1"/>
  <c r="S134" i="1" s="1"/>
  <c r="T134" i="1" s="1"/>
  <c r="N134" i="1"/>
  <c r="Q134" i="1" s="1"/>
  <c r="O134" i="1"/>
  <c r="R134" i="1" s="1"/>
  <c r="M135" i="1"/>
  <c r="P135" i="1" s="1"/>
  <c r="N135" i="1"/>
  <c r="Q135" i="1" s="1"/>
  <c r="O135" i="1"/>
  <c r="R135" i="1" s="1"/>
  <c r="M136" i="1"/>
  <c r="P136" i="1" s="1"/>
  <c r="N136" i="1"/>
  <c r="Q136" i="1" s="1"/>
  <c r="O136" i="1"/>
  <c r="R136" i="1" s="1"/>
  <c r="M137" i="1"/>
  <c r="P137" i="1" s="1"/>
  <c r="N137" i="1"/>
  <c r="Q137" i="1" s="1"/>
  <c r="O137" i="1"/>
  <c r="R137" i="1" s="1"/>
  <c r="M138" i="1"/>
  <c r="P138" i="1" s="1"/>
  <c r="N138" i="1"/>
  <c r="Q138" i="1" s="1"/>
  <c r="O138" i="1"/>
  <c r="R138" i="1" s="1"/>
  <c r="M139" i="1"/>
  <c r="P139" i="1" s="1"/>
  <c r="N139" i="1"/>
  <c r="Q139" i="1" s="1"/>
  <c r="O139" i="1"/>
  <c r="R139" i="1" s="1"/>
  <c r="M140" i="1"/>
  <c r="P140" i="1" s="1"/>
  <c r="N140" i="1"/>
  <c r="Q140" i="1" s="1"/>
  <c r="O140" i="1"/>
  <c r="R140" i="1" s="1"/>
  <c r="M141" i="1"/>
  <c r="P141" i="1" s="1"/>
  <c r="N141" i="1"/>
  <c r="O141" i="1"/>
  <c r="R141" i="1" s="1"/>
  <c r="Q141" i="1"/>
  <c r="M142" i="1"/>
  <c r="P142" i="1" s="1"/>
  <c r="N142" i="1"/>
  <c r="Q142" i="1" s="1"/>
  <c r="O142" i="1"/>
  <c r="R142" i="1" s="1"/>
  <c r="M143" i="1"/>
  <c r="P143" i="1" s="1"/>
  <c r="N143" i="1"/>
  <c r="Q143" i="1" s="1"/>
  <c r="O143" i="1"/>
  <c r="R143" i="1" s="1"/>
  <c r="M144" i="1"/>
  <c r="P144" i="1" s="1"/>
  <c r="N144" i="1"/>
  <c r="Q144" i="1" s="1"/>
  <c r="O144" i="1"/>
  <c r="R144" i="1" s="1"/>
  <c r="M145" i="1"/>
  <c r="P145" i="1" s="1"/>
  <c r="N145" i="1"/>
  <c r="Q145" i="1" s="1"/>
  <c r="O145" i="1"/>
  <c r="R145" i="1" s="1"/>
  <c r="M146" i="1"/>
  <c r="P146" i="1" s="1"/>
  <c r="N146" i="1"/>
  <c r="Q146" i="1" s="1"/>
  <c r="O146" i="1"/>
  <c r="R146" i="1" s="1"/>
  <c r="M147" i="1"/>
  <c r="N147" i="1"/>
  <c r="Q147" i="1" s="1"/>
  <c r="O147" i="1"/>
  <c r="R147" i="1" s="1"/>
  <c r="P147" i="1"/>
  <c r="M148" i="1"/>
  <c r="N148" i="1"/>
  <c r="Q148" i="1" s="1"/>
  <c r="O148" i="1"/>
  <c r="R148" i="1" s="1"/>
  <c r="P148" i="1"/>
  <c r="M149" i="1"/>
  <c r="P149" i="1" s="1"/>
  <c r="N149" i="1"/>
  <c r="Q149" i="1" s="1"/>
  <c r="O149" i="1"/>
  <c r="R149" i="1" s="1"/>
  <c r="M150" i="1"/>
  <c r="P150" i="1" s="1"/>
  <c r="N150" i="1"/>
  <c r="Q150" i="1" s="1"/>
  <c r="O150" i="1"/>
  <c r="R150" i="1" s="1"/>
  <c r="M151" i="1"/>
  <c r="P151" i="1" s="1"/>
  <c r="N151" i="1"/>
  <c r="Q151" i="1" s="1"/>
  <c r="O151" i="1"/>
  <c r="R151" i="1" s="1"/>
  <c r="M152" i="1"/>
  <c r="P152" i="1" s="1"/>
  <c r="N152" i="1"/>
  <c r="Q152" i="1" s="1"/>
  <c r="O152" i="1"/>
  <c r="R152" i="1" s="1"/>
  <c r="M153" i="1"/>
  <c r="P153" i="1" s="1"/>
  <c r="N153" i="1"/>
  <c r="Q153" i="1" s="1"/>
  <c r="O153" i="1"/>
  <c r="R153" i="1" s="1"/>
  <c r="M154" i="1"/>
  <c r="N154" i="1"/>
  <c r="Q154" i="1" s="1"/>
  <c r="O154" i="1"/>
  <c r="R154" i="1" s="1"/>
  <c r="P154" i="1"/>
  <c r="M155" i="1"/>
  <c r="P155" i="1" s="1"/>
  <c r="N155" i="1"/>
  <c r="Q155" i="1" s="1"/>
  <c r="O155" i="1"/>
  <c r="R155" i="1" s="1"/>
  <c r="M156" i="1"/>
  <c r="P156" i="1" s="1"/>
  <c r="N156" i="1"/>
  <c r="Q156" i="1" s="1"/>
  <c r="O156" i="1"/>
  <c r="R156" i="1" s="1"/>
  <c r="M157" i="1"/>
  <c r="P157" i="1" s="1"/>
  <c r="N157" i="1"/>
  <c r="Q157" i="1" s="1"/>
  <c r="O157" i="1"/>
  <c r="R157" i="1" s="1"/>
  <c r="M158" i="1"/>
  <c r="P158" i="1" s="1"/>
  <c r="S158" i="1" s="1"/>
  <c r="T158" i="1" s="1"/>
  <c r="N158" i="1"/>
  <c r="Q158" i="1" s="1"/>
  <c r="O158" i="1"/>
  <c r="R158" i="1" s="1"/>
  <c r="M159" i="1"/>
  <c r="P159" i="1" s="1"/>
  <c r="N159" i="1"/>
  <c r="O159" i="1"/>
  <c r="R159" i="1" s="1"/>
  <c r="Q159" i="1"/>
  <c r="M160" i="1"/>
  <c r="P160" i="1" s="1"/>
  <c r="N160" i="1"/>
  <c r="Q160" i="1" s="1"/>
  <c r="O160" i="1"/>
  <c r="R160" i="1" s="1"/>
  <c r="M161" i="1"/>
  <c r="P161" i="1" s="1"/>
  <c r="N161" i="1"/>
  <c r="Q161" i="1" s="1"/>
  <c r="O161" i="1"/>
  <c r="R161" i="1" s="1"/>
  <c r="M162" i="1"/>
  <c r="P162" i="1" s="1"/>
  <c r="N162" i="1"/>
  <c r="O162" i="1"/>
  <c r="Q162" i="1"/>
  <c r="R162" i="1"/>
  <c r="M163" i="1"/>
  <c r="P163" i="1" s="1"/>
  <c r="N163" i="1"/>
  <c r="Q163" i="1" s="1"/>
  <c r="O163" i="1"/>
  <c r="R163" i="1" s="1"/>
  <c r="M164" i="1"/>
  <c r="P164" i="1" s="1"/>
  <c r="N164" i="1"/>
  <c r="Q164" i="1" s="1"/>
  <c r="O164" i="1"/>
  <c r="R164" i="1" s="1"/>
  <c r="M165" i="1"/>
  <c r="P165" i="1" s="1"/>
  <c r="N165" i="1"/>
  <c r="O165" i="1"/>
  <c r="R165" i="1" s="1"/>
  <c r="Q165" i="1"/>
  <c r="M166" i="1"/>
  <c r="N166" i="1"/>
  <c r="Q166" i="1" s="1"/>
  <c r="O166" i="1"/>
  <c r="R166" i="1" s="1"/>
  <c r="P166" i="1"/>
  <c r="S166" i="1" s="1"/>
  <c r="T166" i="1" s="1"/>
  <c r="M167" i="1"/>
  <c r="P167" i="1" s="1"/>
  <c r="N167" i="1"/>
  <c r="Q167" i="1" s="1"/>
  <c r="O167" i="1"/>
  <c r="R167" i="1" s="1"/>
  <c r="M168" i="1"/>
  <c r="P168" i="1" s="1"/>
  <c r="N168" i="1"/>
  <c r="Q168" i="1" s="1"/>
  <c r="O168" i="1"/>
  <c r="R168" i="1" s="1"/>
  <c r="M169" i="1"/>
  <c r="P169" i="1" s="1"/>
  <c r="N169" i="1"/>
  <c r="O169" i="1"/>
  <c r="R169" i="1" s="1"/>
  <c r="Q169" i="1"/>
  <c r="M170" i="1"/>
  <c r="P170" i="1" s="1"/>
  <c r="S170" i="1" s="1"/>
  <c r="T170" i="1" s="1"/>
  <c r="N170" i="1"/>
  <c r="Q170" i="1" s="1"/>
  <c r="O170" i="1"/>
  <c r="R170" i="1" s="1"/>
  <c r="M171" i="1"/>
  <c r="P171" i="1" s="1"/>
  <c r="N171" i="1"/>
  <c r="Q171" i="1" s="1"/>
  <c r="O171" i="1"/>
  <c r="R171" i="1" s="1"/>
  <c r="M172" i="1"/>
  <c r="P172" i="1" s="1"/>
  <c r="N172" i="1"/>
  <c r="Q172" i="1" s="1"/>
  <c r="O172" i="1"/>
  <c r="R172" i="1" s="1"/>
  <c r="M173" i="1"/>
  <c r="P173" i="1" s="1"/>
  <c r="N173" i="1"/>
  <c r="Q173" i="1" s="1"/>
  <c r="O173" i="1"/>
  <c r="R173" i="1" s="1"/>
  <c r="M174" i="1"/>
  <c r="P174" i="1" s="1"/>
  <c r="N174" i="1"/>
  <c r="Q174" i="1" s="1"/>
  <c r="O174" i="1"/>
  <c r="R174" i="1" s="1"/>
  <c r="M175" i="1"/>
  <c r="P175" i="1" s="1"/>
  <c r="N175" i="1"/>
  <c r="Q175" i="1" s="1"/>
  <c r="O175" i="1"/>
  <c r="R175" i="1" s="1"/>
  <c r="M176" i="1"/>
  <c r="P176" i="1" s="1"/>
  <c r="N176" i="1"/>
  <c r="Q176" i="1" s="1"/>
  <c r="S176" i="1" s="1"/>
  <c r="T176" i="1" s="1"/>
  <c r="O176" i="1"/>
  <c r="R176" i="1" s="1"/>
  <c r="M177" i="1"/>
  <c r="P177" i="1" s="1"/>
  <c r="N177" i="1"/>
  <c r="Q177" i="1" s="1"/>
  <c r="O177" i="1"/>
  <c r="R177" i="1" s="1"/>
  <c r="M178" i="1"/>
  <c r="P178" i="1" s="1"/>
  <c r="S178" i="1" s="1"/>
  <c r="T178" i="1" s="1"/>
  <c r="N178" i="1"/>
  <c r="Q178" i="1" s="1"/>
  <c r="O178" i="1"/>
  <c r="R178" i="1" s="1"/>
  <c r="M179" i="1"/>
  <c r="P179" i="1" s="1"/>
  <c r="N179" i="1"/>
  <c r="Q179" i="1" s="1"/>
  <c r="O179" i="1"/>
  <c r="R179" i="1" s="1"/>
  <c r="M180" i="1"/>
  <c r="P180" i="1" s="1"/>
  <c r="N180" i="1"/>
  <c r="Q180" i="1" s="1"/>
  <c r="O180" i="1"/>
  <c r="R180" i="1" s="1"/>
  <c r="M181" i="1"/>
  <c r="P181" i="1" s="1"/>
  <c r="N181" i="1"/>
  <c r="Q181" i="1" s="1"/>
  <c r="O181" i="1"/>
  <c r="R181" i="1" s="1"/>
  <c r="M182" i="1"/>
  <c r="P182" i="1" s="1"/>
  <c r="N182" i="1"/>
  <c r="Q182" i="1" s="1"/>
  <c r="O182" i="1"/>
  <c r="R182" i="1" s="1"/>
  <c r="M183" i="1"/>
  <c r="P183" i="1" s="1"/>
  <c r="N183" i="1"/>
  <c r="Q183" i="1" s="1"/>
  <c r="O183" i="1"/>
  <c r="R183" i="1" s="1"/>
  <c r="M184" i="1"/>
  <c r="N184" i="1"/>
  <c r="Q184" i="1" s="1"/>
  <c r="O184" i="1"/>
  <c r="R184" i="1" s="1"/>
  <c r="P184" i="1"/>
  <c r="M185" i="1"/>
  <c r="P185" i="1" s="1"/>
  <c r="N185" i="1"/>
  <c r="Q185" i="1" s="1"/>
  <c r="O185" i="1"/>
  <c r="R185" i="1" s="1"/>
  <c r="M186" i="1"/>
  <c r="P186" i="1" s="1"/>
  <c r="N186" i="1"/>
  <c r="Q186" i="1" s="1"/>
  <c r="O186" i="1"/>
  <c r="R186" i="1" s="1"/>
  <c r="M187" i="1"/>
  <c r="P187" i="1" s="1"/>
  <c r="N187" i="1"/>
  <c r="Q187" i="1" s="1"/>
  <c r="O187" i="1"/>
  <c r="R187" i="1" s="1"/>
  <c r="M188" i="1"/>
  <c r="P188" i="1" s="1"/>
  <c r="N188" i="1"/>
  <c r="Q188" i="1" s="1"/>
  <c r="S188" i="1" s="1"/>
  <c r="T188" i="1" s="1"/>
  <c r="O188" i="1"/>
  <c r="R188" i="1" s="1"/>
  <c r="M189" i="1"/>
  <c r="P189" i="1" s="1"/>
  <c r="N189" i="1"/>
  <c r="O189" i="1"/>
  <c r="R189" i="1" s="1"/>
  <c r="Q189" i="1"/>
  <c r="M190" i="1"/>
  <c r="N190" i="1"/>
  <c r="Q190" i="1" s="1"/>
  <c r="O190" i="1"/>
  <c r="R190" i="1" s="1"/>
  <c r="P190" i="1"/>
  <c r="M191" i="1"/>
  <c r="P191" i="1" s="1"/>
  <c r="N191" i="1"/>
  <c r="Q191" i="1" s="1"/>
  <c r="O191" i="1"/>
  <c r="R191" i="1" s="1"/>
  <c r="M192" i="1"/>
  <c r="P192" i="1" s="1"/>
  <c r="N192" i="1"/>
  <c r="Q192" i="1" s="1"/>
  <c r="O192" i="1"/>
  <c r="R192" i="1" s="1"/>
  <c r="M193" i="1"/>
  <c r="P193" i="1" s="1"/>
  <c r="N193" i="1"/>
  <c r="O193" i="1"/>
  <c r="R193" i="1" s="1"/>
  <c r="Q193" i="1"/>
  <c r="M194" i="1"/>
  <c r="P194" i="1" s="1"/>
  <c r="N194" i="1"/>
  <c r="Q194" i="1" s="1"/>
  <c r="O194" i="1"/>
  <c r="R194" i="1" s="1"/>
  <c r="M195" i="1"/>
  <c r="P195" i="1" s="1"/>
  <c r="N195" i="1"/>
  <c r="Q195" i="1" s="1"/>
  <c r="O195" i="1"/>
  <c r="R195" i="1" s="1"/>
  <c r="M196" i="1"/>
  <c r="P196" i="1" s="1"/>
  <c r="N196" i="1"/>
  <c r="Q196" i="1" s="1"/>
  <c r="O196" i="1"/>
  <c r="R196" i="1" s="1"/>
  <c r="M197" i="1"/>
  <c r="P197" i="1" s="1"/>
  <c r="N197" i="1"/>
  <c r="Q197" i="1" s="1"/>
  <c r="O197" i="1"/>
  <c r="R197" i="1" s="1"/>
  <c r="M198" i="1"/>
  <c r="P198" i="1" s="1"/>
  <c r="N198" i="1"/>
  <c r="Q198" i="1" s="1"/>
  <c r="O198" i="1"/>
  <c r="R198" i="1" s="1"/>
  <c r="M199" i="1"/>
  <c r="P199" i="1" s="1"/>
  <c r="N199" i="1"/>
  <c r="Q199" i="1" s="1"/>
  <c r="O199" i="1"/>
  <c r="R199" i="1" s="1"/>
  <c r="M200" i="1"/>
  <c r="P200" i="1" s="1"/>
  <c r="N200" i="1"/>
  <c r="Q200" i="1" s="1"/>
  <c r="O200" i="1"/>
  <c r="R200" i="1" s="1"/>
  <c r="M201" i="1"/>
  <c r="P201" i="1" s="1"/>
  <c r="N201" i="1"/>
  <c r="Q201" i="1" s="1"/>
  <c r="O201" i="1"/>
  <c r="R201" i="1" s="1"/>
  <c r="M202" i="1"/>
  <c r="P202" i="1" s="1"/>
  <c r="N202" i="1"/>
  <c r="Q202" i="1" s="1"/>
  <c r="O202" i="1"/>
  <c r="R202" i="1" s="1"/>
  <c r="M203" i="1"/>
  <c r="P203" i="1" s="1"/>
  <c r="N203" i="1"/>
  <c r="Q203" i="1" s="1"/>
  <c r="O203" i="1"/>
  <c r="R203" i="1" s="1"/>
  <c r="M204" i="1"/>
  <c r="P204" i="1" s="1"/>
  <c r="N204" i="1"/>
  <c r="Q204" i="1" s="1"/>
  <c r="O204" i="1"/>
  <c r="R204" i="1" s="1"/>
  <c r="M205" i="1"/>
  <c r="P205" i="1" s="1"/>
  <c r="N205" i="1"/>
  <c r="Q205" i="1" s="1"/>
  <c r="O205" i="1"/>
  <c r="R205" i="1" s="1"/>
  <c r="M206" i="1"/>
  <c r="P206" i="1" s="1"/>
  <c r="N206" i="1"/>
  <c r="O206" i="1"/>
  <c r="Q206" i="1"/>
  <c r="R206" i="1"/>
  <c r="M207" i="1"/>
  <c r="P207" i="1" s="1"/>
  <c r="N207" i="1"/>
  <c r="O207" i="1"/>
  <c r="R207" i="1" s="1"/>
  <c r="Q207" i="1"/>
  <c r="M208" i="1"/>
  <c r="N208" i="1"/>
  <c r="Q208" i="1" s="1"/>
  <c r="O208" i="1"/>
  <c r="R208" i="1" s="1"/>
  <c r="P208" i="1"/>
  <c r="M209" i="1"/>
  <c r="P209" i="1" s="1"/>
  <c r="N209" i="1"/>
  <c r="Q209" i="1" s="1"/>
  <c r="O209" i="1"/>
  <c r="R209" i="1" s="1"/>
  <c r="M210" i="1"/>
  <c r="P210" i="1" s="1"/>
  <c r="N210" i="1"/>
  <c r="Q210" i="1" s="1"/>
  <c r="O210" i="1"/>
  <c r="R210" i="1" s="1"/>
  <c r="M211" i="1"/>
  <c r="P211" i="1" s="1"/>
  <c r="N211" i="1"/>
  <c r="Q211" i="1" s="1"/>
  <c r="O211" i="1"/>
  <c r="R211" i="1" s="1"/>
  <c r="M212" i="1"/>
  <c r="P212" i="1" s="1"/>
  <c r="N212" i="1"/>
  <c r="O212" i="1"/>
  <c r="Q212" i="1"/>
  <c r="R212" i="1"/>
  <c r="M213" i="1"/>
  <c r="P213" i="1" s="1"/>
  <c r="N213" i="1"/>
  <c r="O213" i="1"/>
  <c r="R213" i="1" s="1"/>
  <c r="Q213" i="1"/>
  <c r="M214" i="1"/>
  <c r="P214" i="1" s="1"/>
  <c r="N214" i="1"/>
  <c r="Q214" i="1" s="1"/>
  <c r="O214" i="1"/>
  <c r="R214" i="1" s="1"/>
  <c r="M215" i="1"/>
  <c r="P215" i="1" s="1"/>
  <c r="N215" i="1"/>
  <c r="Q215" i="1" s="1"/>
  <c r="O215" i="1"/>
  <c r="R215" i="1" s="1"/>
  <c r="M216" i="1"/>
  <c r="P216" i="1" s="1"/>
  <c r="N216" i="1"/>
  <c r="Q216" i="1" s="1"/>
  <c r="S216" i="1" s="1"/>
  <c r="T216" i="1" s="1"/>
  <c r="O216" i="1"/>
  <c r="R216" i="1" s="1"/>
  <c r="M217" i="1"/>
  <c r="P217" i="1" s="1"/>
  <c r="N217" i="1"/>
  <c r="Q217" i="1" s="1"/>
  <c r="O217" i="1"/>
  <c r="R217" i="1" s="1"/>
  <c r="M218" i="1"/>
  <c r="P218" i="1" s="1"/>
  <c r="N218" i="1"/>
  <c r="Q218" i="1" s="1"/>
  <c r="O218" i="1"/>
  <c r="R218" i="1" s="1"/>
  <c r="M219" i="1"/>
  <c r="P219" i="1" s="1"/>
  <c r="N219" i="1"/>
  <c r="Q219" i="1" s="1"/>
  <c r="S219" i="1" s="1"/>
  <c r="T219" i="1" s="1"/>
  <c r="O219" i="1"/>
  <c r="R219" i="1"/>
  <c r="M220" i="1"/>
  <c r="P220" i="1" s="1"/>
  <c r="N220" i="1"/>
  <c r="Q220" i="1" s="1"/>
  <c r="O220" i="1"/>
  <c r="R220" i="1" s="1"/>
  <c r="M221" i="1"/>
  <c r="P221" i="1" s="1"/>
  <c r="N221" i="1"/>
  <c r="Q221" i="1" s="1"/>
  <c r="O221" i="1"/>
  <c r="R221" i="1" s="1"/>
  <c r="M222" i="1"/>
  <c r="P222" i="1" s="1"/>
  <c r="N222" i="1"/>
  <c r="Q222" i="1" s="1"/>
  <c r="S222" i="1" s="1"/>
  <c r="T222" i="1" s="1"/>
  <c r="O222" i="1"/>
  <c r="R222" i="1" s="1"/>
  <c r="M223" i="1"/>
  <c r="P223" i="1" s="1"/>
  <c r="N223" i="1"/>
  <c r="O223" i="1"/>
  <c r="R223" i="1" s="1"/>
  <c r="Q223" i="1"/>
  <c r="M224" i="1"/>
  <c r="P224" i="1" s="1"/>
  <c r="N224" i="1"/>
  <c r="Q224" i="1" s="1"/>
  <c r="O224" i="1"/>
  <c r="R224" i="1" s="1"/>
  <c r="M225" i="1"/>
  <c r="P225" i="1" s="1"/>
  <c r="N225" i="1"/>
  <c r="Q225" i="1" s="1"/>
  <c r="O225" i="1"/>
  <c r="R225" i="1" s="1"/>
  <c r="M226" i="1"/>
  <c r="P226" i="1" s="1"/>
  <c r="N226" i="1"/>
  <c r="O226" i="1"/>
  <c r="R226" i="1" s="1"/>
  <c r="Q226" i="1"/>
  <c r="M227" i="1"/>
  <c r="P227" i="1" s="1"/>
  <c r="N227" i="1"/>
  <c r="Q227" i="1" s="1"/>
  <c r="O227" i="1"/>
  <c r="R227" i="1" s="1"/>
  <c r="M228" i="1"/>
  <c r="P228" i="1" s="1"/>
  <c r="N228" i="1"/>
  <c r="Q228" i="1" s="1"/>
  <c r="O228" i="1"/>
  <c r="R228" i="1" s="1"/>
  <c r="M229" i="1"/>
  <c r="P229" i="1" s="1"/>
  <c r="N229" i="1"/>
  <c r="Q229" i="1" s="1"/>
  <c r="O229" i="1"/>
  <c r="R229" i="1" s="1"/>
  <c r="M230" i="1"/>
  <c r="P230" i="1" s="1"/>
  <c r="N230" i="1"/>
  <c r="Q230" i="1" s="1"/>
  <c r="O230" i="1"/>
  <c r="R230" i="1" s="1"/>
  <c r="M231" i="1"/>
  <c r="P231" i="1" s="1"/>
  <c r="N231" i="1"/>
  <c r="Q231" i="1" s="1"/>
  <c r="O231" i="1"/>
  <c r="R231" i="1" s="1"/>
  <c r="M232" i="1"/>
  <c r="P232" i="1" s="1"/>
  <c r="N232" i="1"/>
  <c r="O232" i="1"/>
  <c r="R232" i="1" s="1"/>
  <c r="Q232" i="1"/>
  <c r="M233" i="1"/>
  <c r="P233" i="1" s="1"/>
  <c r="N233" i="1"/>
  <c r="Q233" i="1" s="1"/>
  <c r="O233" i="1"/>
  <c r="R233" i="1" s="1"/>
  <c r="M234" i="1"/>
  <c r="P234" i="1" s="1"/>
  <c r="N234" i="1"/>
  <c r="Q234" i="1" s="1"/>
  <c r="O234" i="1"/>
  <c r="R234" i="1" s="1"/>
  <c r="M235" i="1"/>
  <c r="P235" i="1" s="1"/>
  <c r="N235" i="1"/>
  <c r="Q235" i="1" s="1"/>
  <c r="O235" i="1"/>
  <c r="R235" i="1" s="1"/>
  <c r="M236" i="1"/>
  <c r="P236" i="1" s="1"/>
  <c r="N236" i="1"/>
  <c r="Q236" i="1" s="1"/>
  <c r="O236" i="1"/>
  <c r="R236" i="1" s="1"/>
  <c r="M237" i="1"/>
  <c r="N237" i="1"/>
  <c r="Q237" i="1" s="1"/>
  <c r="O237" i="1"/>
  <c r="R237" i="1" s="1"/>
  <c r="P237" i="1"/>
  <c r="M238" i="1"/>
  <c r="P238" i="1" s="1"/>
  <c r="N238" i="1"/>
  <c r="O238" i="1"/>
  <c r="R238" i="1" s="1"/>
  <c r="Q238" i="1"/>
  <c r="M239" i="1"/>
  <c r="P239" i="1" s="1"/>
  <c r="N239" i="1"/>
  <c r="Q239" i="1" s="1"/>
  <c r="O239" i="1"/>
  <c r="R239" i="1" s="1"/>
  <c r="M240" i="1"/>
  <c r="P240" i="1" s="1"/>
  <c r="N240" i="1"/>
  <c r="Q240" i="1" s="1"/>
  <c r="O240" i="1"/>
  <c r="R240" i="1" s="1"/>
  <c r="M241" i="1"/>
  <c r="P241" i="1" s="1"/>
  <c r="N241" i="1"/>
  <c r="Q241" i="1" s="1"/>
  <c r="O241" i="1"/>
  <c r="R241" i="1" s="1"/>
  <c r="M242" i="1"/>
  <c r="P242" i="1" s="1"/>
  <c r="N242" i="1"/>
  <c r="Q242" i="1" s="1"/>
  <c r="O242" i="1"/>
  <c r="R242" i="1" s="1"/>
  <c r="M243" i="1"/>
  <c r="P243" i="1" s="1"/>
  <c r="N243" i="1"/>
  <c r="Q243" i="1" s="1"/>
  <c r="O243" i="1"/>
  <c r="R243" i="1" s="1"/>
  <c r="M244" i="1"/>
  <c r="P244" i="1" s="1"/>
  <c r="N244" i="1"/>
  <c r="Q244" i="1" s="1"/>
  <c r="O244" i="1"/>
  <c r="R244" i="1" s="1"/>
  <c r="M245" i="1"/>
  <c r="P245" i="1" s="1"/>
  <c r="N245" i="1"/>
  <c r="Q245" i="1" s="1"/>
  <c r="O245" i="1"/>
  <c r="R245" i="1" s="1"/>
  <c r="M246" i="1"/>
  <c r="P246" i="1" s="1"/>
  <c r="S246" i="1" s="1"/>
  <c r="T246" i="1" s="1"/>
  <c r="N246" i="1"/>
  <c r="O246" i="1"/>
  <c r="R246" i="1" s="1"/>
  <c r="Q246" i="1"/>
  <c r="M247" i="1"/>
  <c r="P247" i="1" s="1"/>
  <c r="N247" i="1"/>
  <c r="Q247" i="1" s="1"/>
  <c r="O247" i="1"/>
  <c r="R247" i="1" s="1"/>
  <c r="M248" i="1"/>
  <c r="P248" i="1" s="1"/>
  <c r="N248" i="1"/>
  <c r="Q248" i="1" s="1"/>
  <c r="O248" i="1"/>
  <c r="R248" i="1" s="1"/>
  <c r="M249" i="1"/>
  <c r="P249" i="1" s="1"/>
  <c r="N249" i="1"/>
  <c r="O249" i="1"/>
  <c r="R249" i="1" s="1"/>
  <c r="Q249" i="1"/>
  <c r="M250" i="1"/>
  <c r="P250" i="1" s="1"/>
  <c r="N250" i="1"/>
  <c r="Q250" i="1" s="1"/>
  <c r="O250" i="1"/>
  <c r="R250" i="1" s="1"/>
  <c r="M251" i="1"/>
  <c r="P251" i="1" s="1"/>
  <c r="N251" i="1"/>
  <c r="Q251" i="1" s="1"/>
  <c r="O251" i="1"/>
  <c r="R251" i="1" s="1"/>
  <c r="M252" i="1"/>
  <c r="P252" i="1" s="1"/>
  <c r="N252" i="1"/>
  <c r="Q252" i="1" s="1"/>
  <c r="O252" i="1"/>
  <c r="R252" i="1" s="1"/>
  <c r="M253" i="1"/>
  <c r="P253" i="1" s="1"/>
  <c r="S253" i="1" s="1"/>
  <c r="T253" i="1" s="1"/>
  <c r="N253" i="1"/>
  <c r="Q253" i="1" s="1"/>
  <c r="O253" i="1"/>
  <c r="R253" i="1" s="1"/>
  <c r="M254" i="1"/>
  <c r="P254" i="1" s="1"/>
  <c r="N254" i="1"/>
  <c r="O254" i="1"/>
  <c r="R254" i="1" s="1"/>
  <c r="Q254" i="1"/>
  <c r="S254" i="1" s="1"/>
  <c r="T254" i="1" s="1"/>
  <c r="M255" i="1"/>
  <c r="P255" i="1" s="1"/>
  <c r="N255" i="1"/>
  <c r="Q255" i="1" s="1"/>
  <c r="O255" i="1"/>
  <c r="R255" i="1" s="1"/>
  <c r="M256" i="1"/>
  <c r="P256" i="1" s="1"/>
  <c r="N256" i="1"/>
  <c r="Q256" i="1" s="1"/>
  <c r="O256" i="1"/>
  <c r="R256" i="1" s="1"/>
  <c r="M257" i="1"/>
  <c r="P257" i="1" s="1"/>
  <c r="N257" i="1"/>
  <c r="O257" i="1"/>
  <c r="R257" i="1" s="1"/>
  <c r="Q257" i="1"/>
  <c r="M258" i="1"/>
  <c r="P258" i="1" s="1"/>
  <c r="N258" i="1"/>
  <c r="Q258" i="1" s="1"/>
  <c r="O258" i="1"/>
  <c r="R258" i="1"/>
  <c r="M259" i="1"/>
  <c r="P259" i="1" s="1"/>
  <c r="N259" i="1"/>
  <c r="Q259" i="1" s="1"/>
  <c r="O259" i="1"/>
  <c r="R259" i="1" s="1"/>
  <c r="M260" i="1"/>
  <c r="P260" i="1" s="1"/>
  <c r="N260" i="1"/>
  <c r="O260" i="1"/>
  <c r="R260" i="1" s="1"/>
  <c r="Q260" i="1"/>
  <c r="M261" i="1"/>
  <c r="P261" i="1" s="1"/>
  <c r="N261" i="1"/>
  <c r="Q261" i="1" s="1"/>
  <c r="O261" i="1"/>
  <c r="R261" i="1"/>
  <c r="M262" i="1"/>
  <c r="P262" i="1" s="1"/>
  <c r="N262" i="1"/>
  <c r="Q262" i="1" s="1"/>
  <c r="O262" i="1"/>
  <c r="R262" i="1" s="1"/>
  <c r="M263" i="1"/>
  <c r="P263" i="1" s="1"/>
  <c r="N263" i="1"/>
  <c r="Q263" i="1" s="1"/>
  <c r="O263" i="1"/>
  <c r="R263" i="1" s="1"/>
  <c r="M264" i="1"/>
  <c r="P264" i="1" s="1"/>
  <c r="N264" i="1"/>
  <c r="O264" i="1"/>
  <c r="Q264" i="1"/>
  <c r="R264" i="1"/>
  <c r="M265" i="1"/>
  <c r="P265" i="1" s="1"/>
  <c r="N265" i="1"/>
  <c r="Q265" i="1" s="1"/>
  <c r="O265" i="1"/>
  <c r="R265" i="1" s="1"/>
  <c r="M266" i="1"/>
  <c r="P266" i="1" s="1"/>
  <c r="N266" i="1"/>
  <c r="Q266" i="1" s="1"/>
  <c r="O266" i="1"/>
  <c r="R266" i="1" s="1"/>
  <c r="M267" i="1"/>
  <c r="N267" i="1"/>
  <c r="Q267" i="1" s="1"/>
  <c r="O267" i="1"/>
  <c r="P267" i="1"/>
  <c r="S267" i="1" s="1"/>
  <c r="T267" i="1" s="1"/>
  <c r="R267" i="1"/>
  <c r="M268" i="1"/>
  <c r="P268" i="1" s="1"/>
  <c r="S268" i="1" s="1"/>
  <c r="T268" i="1" s="1"/>
  <c r="N268" i="1"/>
  <c r="Q268" i="1" s="1"/>
  <c r="O268" i="1"/>
  <c r="R268" i="1" s="1"/>
  <c r="M269" i="1"/>
  <c r="P269" i="1" s="1"/>
  <c r="N269" i="1"/>
  <c r="Q269" i="1" s="1"/>
  <c r="O269" i="1"/>
  <c r="R269" i="1" s="1"/>
  <c r="M270" i="1"/>
  <c r="P270" i="1" s="1"/>
  <c r="N270" i="1"/>
  <c r="O270" i="1"/>
  <c r="R270" i="1" s="1"/>
  <c r="Q270" i="1"/>
  <c r="M271" i="1"/>
  <c r="P271" i="1" s="1"/>
  <c r="N271" i="1"/>
  <c r="Q271" i="1" s="1"/>
  <c r="O271" i="1"/>
  <c r="R271" i="1" s="1"/>
  <c r="M272" i="1"/>
  <c r="P272" i="1" s="1"/>
  <c r="N272" i="1"/>
  <c r="Q272" i="1" s="1"/>
  <c r="O272" i="1"/>
  <c r="R272" i="1" s="1"/>
  <c r="M273" i="1"/>
  <c r="P273" i="1" s="1"/>
  <c r="N273" i="1"/>
  <c r="Q273" i="1" s="1"/>
  <c r="O273" i="1"/>
  <c r="R273" i="1"/>
  <c r="M274" i="1"/>
  <c r="P274" i="1" s="1"/>
  <c r="N274" i="1"/>
  <c r="Q274" i="1" s="1"/>
  <c r="O274" i="1"/>
  <c r="R274" i="1" s="1"/>
  <c r="M275" i="1"/>
  <c r="P275" i="1" s="1"/>
  <c r="N275" i="1"/>
  <c r="Q275" i="1" s="1"/>
  <c r="O275" i="1"/>
  <c r="R275" i="1" s="1"/>
  <c r="M276" i="1"/>
  <c r="P276" i="1" s="1"/>
  <c r="N276" i="1"/>
  <c r="Q276" i="1" s="1"/>
  <c r="O276" i="1"/>
  <c r="R276" i="1" s="1"/>
  <c r="M277" i="1"/>
  <c r="P277" i="1" s="1"/>
  <c r="S277" i="1" s="1"/>
  <c r="T277" i="1" s="1"/>
  <c r="N277" i="1"/>
  <c r="Q277" i="1" s="1"/>
  <c r="O277" i="1"/>
  <c r="R277" i="1" s="1"/>
  <c r="M278" i="1"/>
  <c r="P278" i="1" s="1"/>
  <c r="N278" i="1"/>
  <c r="O278" i="1"/>
  <c r="R278" i="1" s="1"/>
  <c r="Q278" i="1"/>
  <c r="M279" i="1"/>
  <c r="P279" i="1" s="1"/>
  <c r="N279" i="1"/>
  <c r="Q279" i="1" s="1"/>
  <c r="O279" i="1"/>
  <c r="R279" i="1" s="1"/>
  <c r="M280" i="1"/>
  <c r="P280" i="1" s="1"/>
  <c r="N280" i="1"/>
  <c r="Q280" i="1" s="1"/>
  <c r="O280" i="1"/>
  <c r="R280" i="1" s="1"/>
  <c r="M281" i="1"/>
  <c r="P281" i="1" s="1"/>
  <c r="N281" i="1"/>
  <c r="Q281" i="1" s="1"/>
  <c r="O281" i="1"/>
  <c r="R281" i="1" s="1"/>
  <c r="M282" i="1"/>
  <c r="P282" i="1" s="1"/>
  <c r="S282" i="1" s="1"/>
  <c r="T282" i="1" s="1"/>
  <c r="N282" i="1"/>
  <c r="O282" i="1"/>
  <c r="R282" i="1" s="1"/>
  <c r="Q282" i="1"/>
  <c r="M283" i="1"/>
  <c r="P283" i="1" s="1"/>
  <c r="N283" i="1"/>
  <c r="Q283" i="1" s="1"/>
  <c r="S283" i="1" s="1"/>
  <c r="T283" i="1" s="1"/>
  <c r="O283" i="1"/>
  <c r="R283" i="1" s="1"/>
  <c r="M284" i="1"/>
  <c r="P284" i="1" s="1"/>
  <c r="N284" i="1"/>
  <c r="Q284" i="1" s="1"/>
  <c r="O284" i="1"/>
  <c r="R284" i="1" s="1"/>
  <c r="M285" i="1"/>
  <c r="P285" i="1" s="1"/>
  <c r="S285" i="1" s="1"/>
  <c r="T285" i="1" s="1"/>
  <c r="N285" i="1"/>
  <c r="O285" i="1"/>
  <c r="R285" i="1" s="1"/>
  <c r="Q285" i="1"/>
  <c r="M286" i="1"/>
  <c r="N286" i="1"/>
  <c r="Q286" i="1" s="1"/>
  <c r="O286" i="1"/>
  <c r="R286" i="1" s="1"/>
  <c r="P286" i="1"/>
  <c r="S286" i="1" s="1"/>
  <c r="T286" i="1" s="1"/>
  <c r="M287" i="1"/>
  <c r="P287" i="1" s="1"/>
  <c r="N287" i="1"/>
  <c r="Q287" i="1" s="1"/>
  <c r="O287" i="1"/>
  <c r="R287" i="1" s="1"/>
  <c r="M288" i="1"/>
  <c r="P288" i="1" s="1"/>
  <c r="N288" i="1"/>
  <c r="Q288" i="1" s="1"/>
  <c r="O288" i="1"/>
  <c r="R288" i="1" s="1"/>
  <c r="M289" i="1"/>
  <c r="P289" i="1" s="1"/>
  <c r="N289" i="1"/>
  <c r="Q289" i="1" s="1"/>
  <c r="O289" i="1"/>
  <c r="R289" i="1" s="1"/>
  <c r="M290" i="1"/>
  <c r="P290" i="1" s="1"/>
  <c r="N290" i="1"/>
  <c r="O290" i="1"/>
  <c r="R290" i="1" s="1"/>
  <c r="Q290" i="1"/>
  <c r="M291" i="1"/>
  <c r="N291" i="1"/>
  <c r="Q291" i="1" s="1"/>
  <c r="O291" i="1"/>
  <c r="R291" i="1" s="1"/>
  <c r="P291" i="1"/>
  <c r="M292" i="1"/>
  <c r="P292" i="1" s="1"/>
  <c r="N292" i="1"/>
  <c r="O292" i="1"/>
  <c r="R292" i="1" s="1"/>
  <c r="Q292" i="1"/>
  <c r="M293" i="1"/>
  <c r="P293" i="1" s="1"/>
  <c r="N293" i="1"/>
  <c r="Q293" i="1" s="1"/>
  <c r="O293" i="1"/>
  <c r="R293" i="1" s="1"/>
  <c r="M294" i="1"/>
  <c r="P294" i="1" s="1"/>
  <c r="N294" i="1"/>
  <c r="O294" i="1"/>
  <c r="R294" i="1" s="1"/>
  <c r="Q294" i="1"/>
  <c r="M295" i="1"/>
  <c r="P295" i="1" s="1"/>
  <c r="N295" i="1"/>
  <c r="Q295" i="1" s="1"/>
  <c r="O295" i="1"/>
  <c r="R295" i="1" s="1"/>
  <c r="M296" i="1"/>
  <c r="P296" i="1" s="1"/>
  <c r="N296" i="1"/>
  <c r="Q296" i="1" s="1"/>
  <c r="O296" i="1"/>
  <c r="R296" i="1"/>
  <c r="M297" i="1"/>
  <c r="N297" i="1"/>
  <c r="Q297" i="1" s="1"/>
  <c r="O297" i="1"/>
  <c r="P297" i="1"/>
  <c r="R297" i="1"/>
  <c r="M298" i="1"/>
  <c r="P298" i="1" s="1"/>
  <c r="N298" i="1"/>
  <c r="Q298" i="1" s="1"/>
  <c r="O298" i="1"/>
  <c r="R298" i="1" s="1"/>
  <c r="M299" i="1"/>
  <c r="P299" i="1" s="1"/>
  <c r="S299" i="1" s="1"/>
  <c r="T299" i="1" s="1"/>
  <c r="N299" i="1"/>
  <c r="O299" i="1"/>
  <c r="R299" i="1" s="1"/>
  <c r="Q299" i="1"/>
  <c r="M300" i="1"/>
  <c r="P300" i="1" s="1"/>
  <c r="N300" i="1"/>
  <c r="Q300" i="1" s="1"/>
  <c r="O300" i="1"/>
  <c r="R300" i="1" s="1"/>
  <c r="M301" i="1"/>
  <c r="P301" i="1" s="1"/>
  <c r="N301" i="1"/>
  <c r="Q301" i="1" s="1"/>
  <c r="O301" i="1"/>
  <c r="R301" i="1" s="1"/>
  <c r="M302" i="1"/>
  <c r="P302" i="1" s="1"/>
  <c r="N302" i="1"/>
  <c r="Q302" i="1" s="1"/>
  <c r="O302" i="1"/>
  <c r="R302" i="1" s="1"/>
  <c r="M303" i="1"/>
  <c r="N303" i="1"/>
  <c r="Q303" i="1" s="1"/>
  <c r="O303" i="1"/>
  <c r="P303" i="1"/>
  <c r="S303" i="1" s="1"/>
  <c r="T303" i="1" s="1"/>
  <c r="R303" i="1"/>
  <c r="M304" i="1"/>
  <c r="P304" i="1" s="1"/>
  <c r="N304" i="1"/>
  <c r="Q304" i="1" s="1"/>
  <c r="O304" i="1"/>
  <c r="R304" i="1" s="1"/>
  <c r="M305" i="1"/>
  <c r="P305" i="1" s="1"/>
  <c r="N305" i="1"/>
  <c r="Q305" i="1" s="1"/>
  <c r="O305" i="1"/>
  <c r="R305" i="1" s="1"/>
  <c r="M306" i="1"/>
  <c r="P306" i="1" s="1"/>
  <c r="N306" i="1"/>
  <c r="Q306" i="1" s="1"/>
  <c r="O306" i="1"/>
  <c r="R306" i="1" s="1"/>
  <c r="M307" i="1"/>
  <c r="P307" i="1" s="1"/>
  <c r="N307" i="1"/>
  <c r="Q307" i="1" s="1"/>
  <c r="O307" i="1"/>
  <c r="R307" i="1" s="1"/>
  <c r="M308" i="1"/>
  <c r="P308" i="1" s="1"/>
  <c r="N308" i="1"/>
  <c r="O308" i="1"/>
  <c r="R308" i="1" s="1"/>
  <c r="Q308" i="1"/>
  <c r="M309" i="1"/>
  <c r="N309" i="1"/>
  <c r="Q309" i="1" s="1"/>
  <c r="O309" i="1"/>
  <c r="R309" i="1" s="1"/>
  <c r="P309" i="1"/>
  <c r="M310" i="1"/>
  <c r="P310" i="1" s="1"/>
  <c r="N310" i="1"/>
  <c r="Q310" i="1" s="1"/>
  <c r="O310" i="1"/>
  <c r="R310" i="1" s="1"/>
  <c r="M311" i="1"/>
  <c r="P311" i="1" s="1"/>
  <c r="N311" i="1"/>
  <c r="Q311" i="1" s="1"/>
  <c r="O311" i="1"/>
  <c r="R311" i="1" s="1"/>
  <c r="M312" i="1"/>
  <c r="P312" i="1" s="1"/>
  <c r="N312" i="1"/>
  <c r="Q312" i="1" s="1"/>
  <c r="O312" i="1"/>
  <c r="R312" i="1" s="1"/>
  <c r="M313" i="1"/>
  <c r="P313" i="1" s="1"/>
  <c r="N313" i="1"/>
  <c r="Q313" i="1" s="1"/>
  <c r="O313" i="1"/>
  <c r="R313" i="1" s="1"/>
  <c r="M314" i="1"/>
  <c r="P314" i="1" s="1"/>
  <c r="N314" i="1"/>
  <c r="O314" i="1"/>
  <c r="R314" i="1" s="1"/>
  <c r="Q314" i="1"/>
  <c r="M315" i="1"/>
  <c r="P315" i="1" s="1"/>
  <c r="N315" i="1"/>
  <c r="Q315" i="1" s="1"/>
  <c r="O315" i="1"/>
  <c r="R315" i="1" s="1"/>
  <c r="M316" i="1"/>
  <c r="P316" i="1" s="1"/>
  <c r="N316" i="1"/>
  <c r="Q316" i="1" s="1"/>
  <c r="O316" i="1"/>
  <c r="R316" i="1" s="1"/>
  <c r="M317" i="1"/>
  <c r="P317" i="1" s="1"/>
  <c r="N317" i="1"/>
  <c r="Q317" i="1" s="1"/>
  <c r="O317" i="1"/>
  <c r="R317" i="1" s="1"/>
  <c r="M318" i="1"/>
  <c r="P318" i="1" s="1"/>
  <c r="N318" i="1"/>
  <c r="Q318" i="1" s="1"/>
  <c r="O318" i="1"/>
  <c r="R318" i="1" s="1"/>
  <c r="M319" i="1"/>
  <c r="P319" i="1" s="1"/>
  <c r="N319" i="1"/>
  <c r="Q319" i="1" s="1"/>
  <c r="O319" i="1"/>
  <c r="R319" i="1" s="1"/>
  <c r="M320" i="1"/>
  <c r="P320" i="1" s="1"/>
  <c r="S320" i="1" s="1"/>
  <c r="T320" i="1" s="1"/>
  <c r="N320" i="1"/>
  <c r="O320" i="1"/>
  <c r="R320" i="1" s="1"/>
  <c r="Q320" i="1"/>
  <c r="M321" i="1"/>
  <c r="N321" i="1"/>
  <c r="Q321" i="1" s="1"/>
  <c r="O321" i="1"/>
  <c r="R321" i="1" s="1"/>
  <c r="P321" i="1"/>
  <c r="M322" i="1"/>
  <c r="P322" i="1" s="1"/>
  <c r="S322" i="1" s="1"/>
  <c r="T322" i="1" s="1"/>
  <c r="N322" i="1"/>
  <c r="Q322" i="1" s="1"/>
  <c r="O322" i="1"/>
  <c r="R322" i="1" s="1"/>
  <c r="M323" i="1"/>
  <c r="P323" i="1" s="1"/>
  <c r="N323" i="1"/>
  <c r="Q323" i="1" s="1"/>
  <c r="O323" i="1"/>
  <c r="R323" i="1" s="1"/>
  <c r="M324" i="1"/>
  <c r="P324" i="1" s="1"/>
  <c r="N324" i="1"/>
  <c r="Q324" i="1" s="1"/>
  <c r="O324" i="1"/>
  <c r="R324" i="1" s="1"/>
  <c r="M325" i="1"/>
  <c r="P325" i="1" s="1"/>
  <c r="N325" i="1"/>
  <c r="Q325" i="1" s="1"/>
  <c r="O325" i="1"/>
  <c r="R325" i="1" s="1"/>
  <c r="M326" i="1"/>
  <c r="P326" i="1" s="1"/>
  <c r="S326" i="1" s="1"/>
  <c r="T326" i="1" s="1"/>
  <c r="N326" i="1"/>
  <c r="Q326" i="1" s="1"/>
  <c r="O326" i="1"/>
  <c r="R326" i="1" s="1"/>
  <c r="M327" i="1"/>
  <c r="P327" i="1" s="1"/>
  <c r="N327" i="1"/>
  <c r="Q327" i="1" s="1"/>
  <c r="O327" i="1"/>
  <c r="R327" i="1" s="1"/>
  <c r="M328" i="1"/>
  <c r="N328" i="1"/>
  <c r="Q328" i="1" s="1"/>
  <c r="O328" i="1"/>
  <c r="R328" i="1" s="1"/>
  <c r="P328" i="1"/>
  <c r="M329" i="1"/>
  <c r="P329" i="1" s="1"/>
  <c r="N329" i="1"/>
  <c r="Q329" i="1" s="1"/>
  <c r="O329" i="1"/>
  <c r="R329" i="1" s="1"/>
  <c r="M330" i="1"/>
  <c r="P330" i="1" s="1"/>
  <c r="N330" i="1"/>
  <c r="Q330" i="1" s="1"/>
  <c r="O330" i="1"/>
  <c r="R330" i="1"/>
  <c r="M331" i="1"/>
  <c r="P331" i="1" s="1"/>
  <c r="N331" i="1"/>
  <c r="Q331" i="1" s="1"/>
  <c r="O331" i="1"/>
  <c r="R331" i="1" s="1"/>
  <c r="M332" i="1"/>
  <c r="P332" i="1" s="1"/>
  <c r="N332" i="1"/>
  <c r="O332" i="1"/>
  <c r="R332" i="1" s="1"/>
  <c r="Q332" i="1"/>
  <c r="M333" i="1"/>
  <c r="N333" i="1"/>
  <c r="O333" i="1"/>
  <c r="R333" i="1" s="1"/>
  <c r="P333" i="1"/>
  <c r="Q333" i="1"/>
  <c r="M334" i="1"/>
  <c r="N334" i="1"/>
  <c r="O334" i="1"/>
  <c r="R334" i="1" s="1"/>
  <c r="P334" i="1"/>
  <c r="Q334" i="1"/>
  <c r="M335" i="1"/>
  <c r="P335" i="1" s="1"/>
  <c r="N335" i="1"/>
  <c r="Q335" i="1" s="1"/>
  <c r="O335" i="1"/>
  <c r="R335" i="1" s="1"/>
  <c r="M336" i="1"/>
  <c r="P336" i="1" s="1"/>
  <c r="N336" i="1"/>
  <c r="Q336" i="1" s="1"/>
  <c r="O336" i="1"/>
  <c r="R336" i="1" s="1"/>
  <c r="M337" i="1"/>
  <c r="P337" i="1" s="1"/>
  <c r="N337" i="1"/>
  <c r="Q337" i="1" s="1"/>
  <c r="O337" i="1"/>
  <c r="R337" i="1" s="1"/>
  <c r="M338" i="1"/>
  <c r="P338" i="1" s="1"/>
  <c r="N338" i="1"/>
  <c r="O338" i="1"/>
  <c r="R338" i="1" s="1"/>
  <c r="Q338" i="1"/>
  <c r="M339" i="1"/>
  <c r="P339" i="1" s="1"/>
  <c r="N339" i="1"/>
  <c r="Q339" i="1" s="1"/>
  <c r="O339" i="1"/>
  <c r="R339" i="1"/>
  <c r="M340" i="1"/>
  <c r="P340" i="1" s="1"/>
  <c r="N340" i="1"/>
  <c r="Q340" i="1" s="1"/>
  <c r="O340" i="1"/>
  <c r="R340" i="1" s="1"/>
  <c r="M341" i="1"/>
  <c r="P341" i="1" s="1"/>
  <c r="N341" i="1"/>
  <c r="Q341" i="1" s="1"/>
  <c r="O341" i="1"/>
  <c r="R341" i="1" s="1"/>
  <c r="M342" i="1"/>
  <c r="P342" i="1" s="1"/>
  <c r="N342" i="1"/>
  <c r="Q342" i="1" s="1"/>
  <c r="S342" i="1" s="1"/>
  <c r="T342" i="1" s="1"/>
  <c r="O342" i="1"/>
  <c r="R342" i="1" s="1"/>
  <c r="M343" i="1"/>
  <c r="P343" i="1" s="1"/>
  <c r="N343" i="1"/>
  <c r="Q343" i="1" s="1"/>
  <c r="O343" i="1"/>
  <c r="R343" i="1" s="1"/>
  <c r="M344" i="1"/>
  <c r="P344" i="1" s="1"/>
  <c r="N344" i="1"/>
  <c r="Q344" i="1" s="1"/>
  <c r="O344" i="1"/>
  <c r="R344" i="1" s="1"/>
  <c r="M345" i="1"/>
  <c r="P345" i="1" s="1"/>
  <c r="S345" i="1" s="1"/>
  <c r="T345" i="1" s="1"/>
  <c r="N345" i="1"/>
  <c r="O345" i="1"/>
  <c r="R345" i="1" s="1"/>
  <c r="Q345" i="1"/>
  <c r="M346" i="1"/>
  <c r="P346" i="1" s="1"/>
  <c r="N346" i="1"/>
  <c r="Q346" i="1" s="1"/>
  <c r="O346" i="1"/>
  <c r="R346" i="1" s="1"/>
  <c r="M347" i="1"/>
  <c r="N347" i="1"/>
  <c r="Q347" i="1" s="1"/>
  <c r="O347" i="1"/>
  <c r="R347" i="1" s="1"/>
  <c r="P347" i="1"/>
  <c r="S347" i="1" s="1"/>
  <c r="T347" i="1" s="1"/>
  <c r="M348" i="1"/>
  <c r="P348" i="1" s="1"/>
  <c r="N348" i="1"/>
  <c r="Q348" i="1" s="1"/>
  <c r="O348" i="1"/>
  <c r="R348" i="1" s="1"/>
  <c r="M349" i="1"/>
  <c r="P349" i="1" s="1"/>
  <c r="N349" i="1"/>
  <c r="O349" i="1"/>
  <c r="R349" i="1" s="1"/>
  <c r="Q349" i="1"/>
  <c r="M350" i="1"/>
  <c r="P350" i="1" s="1"/>
  <c r="N350" i="1"/>
  <c r="O350" i="1"/>
  <c r="R350" i="1" s="1"/>
  <c r="Q350" i="1"/>
  <c r="M351" i="1"/>
  <c r="P351" i="1" s="1"/>
  <c r="N351" i="1"/>
  <c r="O351" i="1"/>
  <c r="R351" i="1" s="1"/>
  <c r="Q351" i="1"/>
  <c r="M352" i="1"/>
  <c r="P352" i="1" s="1"/>
  <c r="N352" i="1"/>
  <c r="Q352" i="1" s="1"/>
  <c r="O352" i="1"/>
  <c r="R352" i="1" s="1"/>
  <c r="M353" i="1"/>
  <c r="N353" i="1"/>
  <c r="Q353" i="1" s="1"/>
  <c r="O353" i="1"/>
  <c r="R353" i="1" s="1"/>
  <c r="P353" i="1"/>
  <c r="M354" i="1"/>
  <c r="P354" i="1" s="1"/>
  <c r="N354" i="1"/>
  <c r="Q354" i="1" s="1"/>
  <c r="O354" i="1"/>
  <c r="R354" i="1" s="1"/>
  <c r="M355" i="1"/>
  <c r="P355" i="1" s="1"/>
  <c r="S355" i="1" s="1"/>
  <c r="T355" i="1" s="1"/>
  <c r="N355" i="1"/>
  <c r="Q355" i="1" s="1"/>
  <c r="O355" i="1"/>
  <c r="R355" i="1"/>
  <c r="M356" i="1"/>
  <c r="P356" i="1" s="1"/>
  <c r="N356" i="1"/>
  <c r="Q356" i="1" s="1"/>
  <c r="O356" i="1"/>
  <c r="R356" i="1" s="1"/>
  <c r="M357" i="1"/>
  <c r="P357" i="1" s="1"/>
  <c r="N357" i="1"/>
  <c r="Q357" i="1" s="1"/>
  <c r="S357" i="1" s="1"/>
  <c r="T357" i="1" s="1"/>
  <c r="O357" i="1"/>
  <c r="R357" i="1" s="1"/>
  <c r="M358" i="1"/>
  <c r="N358" i="1"/>
  <c r="O358" i="1"/>
  <c r="R358" i="1" s="1"/>
  <c r="P358" i="1"/>
  <c r="Q358" i="1"/>
  <c r="M359" i="1"/>
  <c r="N359" i="1"/>
  <c r="Q359" i="1" s="1"/>
  <c r="O359" i="1"/>
  <c r="R359" i="1" s="1"/>
  <c r="P359" i="1"/>
  <c r="S359" i="1" s="1"/>
  <c r="T359" i="1" s="1"/>
  <c r="M360" i="1"/>
  <c r="P360" i="1" s="1"/>
  <c r="N360" i="1"/>
  <c r="Q360" i="1" s="1"/>
  <c r="S360" i="1" s="1"/>
  <c r="T360" i="1" s="1"/>
  <c r="O360" i="1"/>
  <c r="R360" i="1" s="1"/>
  <c r="M361" i="1"/>
  <c r="P361" i="1" s="1"/>
  <c r="N361" i="1"/>
  <c r="Q361" i="1" s="1"/>
  <c r="O361" i="1"/>
  <c r="R361" i="1" s="1"/>
  <c r="M362" i="1"/>
  <c r="P362" i="1" s="1"/>
  <c r="N362" i="1"/>
  <c r="Q362" i="1" s="1"/>
  <c r="O362" i="1"/>
  <c r="R362" i="1" s="1"/>
  <c r="M363" i="1"/>
  <c r="P363" i="1" s="1"/>
  <c r="N363" i="1"/>
  <c r="Q363" i="1" s="1"/>
  <c r="O363" i="1"/>
  <c r="R363" i="1" s="1"/>
  <c r="S363" i="1"/>
  <c r="T363" i="1" s="1"/>
  <c r="M364" i="1"/>
  <c r="N364" i="1"/>
  <c r="Q364" i="1" s="1"/>
  <c r="O364" i="1"/>
  <c r="R364" i="1" s="1"/>
  <c r="P364" i="1"/>
  <c r="M365" i="1"/>
  <c r="P365" i="1" s="1"/>
  <c r="N365" i="1"/>
  <c r="Q365" i="1" s="1"/>
  <c r="O365" i="1"/>
  <c r="R365" i="1" s="1"/>
  <c r="M366" i="1"/>
  <c r="P366" i="1" s="1"/>
  <c r="N366" i="1"/>
  <c r="Q366" i="1" s="1"/>
  <c r="O366" i="1"/>
  <c r="R366" i="1" s="1"/>
  <c r="M367" i="1"/>
  <c r="P367" i="1" s="1"/>
  <c r="N367" i="1"/>
  <c r="Q367" i="1" s="1"/>
  <c r="O367" i="1"/>
  <c r="R367" i="1" s="1"/>
  <c r="M368" i="1"/>
  <c r="P368" i="1" s="1"/>
  <c r="N368" i="1"/>
  <c r="Q368" i="1" s="1"/>
  <c r="O368" i="1"/>
  <c r="R368" i="1" s="1"/>
  <c r="M369" i="1"/>
  <c r="P369" i="1" s="1"/>
  <c r="S369" i="1" s="1"/>
  <c r="T369" i="1" s="1"/>
  <c r="N369" i="1"/>
  <c r="Q369" i="1" s="1"/>
  <c r="O369" i="1"/>
  <c r="R369" i="1" s="1"/>
  <c r="M370" i="1"/>
  <c r="N370" i="1"/>
  <c r="Q370" i="1" s="1"/>
  <c r="O370" i="1"/>
  <c r="R370" i="1" s="1"/>
  <c r="P370" i="1"/>
  <c r="M371" i="1"/>
  <c r="P371" i="1" s="1"/>
  <c r="N371" i="1"/>
  <c r="Q371" i="1" s="1"/>
  <c r="O371" i="1"/>
  <c r="R371" i="1" s="1"/>
  <c r="M372" i="1"/>
  <c r="P372" i="1" s="1"/>
  <c r="N372" i="1"/>
  <c r="Q372" i="1" s="1"/>
  <c r="O372" i="1"/>
  <c r="R372" i="1" s="1"/>
  <c r="M373" i="1"/>
  <c r="P373" i="1" s="1"/>
  <c r="N373" i="1"/>
  <c r="O373" i="1"/>
  <c r="R373" i="1" s="1"/>
  <c r="Q373" i="1"/>
  <c r="M374" i="1"/>
  <c r="P374" i="1" s="1"/>
  <c r="N374" i="1"/>
  <c r="Q374" i="1" s="1"/>
  <c r="O374" i="1"/>
  <c r="R374" i="1" s="1"/>
  <c r="M375" i="1"/>
  <c r="P375" i="1" s="1"/>
  <c r="N375" i="1"/>
  <c r="Q375" i="1" s="1"/>
  <c r="O375" i="1"/>
  <c r="R375" i="1" s="1"/>
  <c r="M376" i="1"/>
  <c r="P376" i="1" s="1"/>
  <c r="N376" i="1"/>
  <c r="Q376" i="1" s="1"/>
  <c r="O376" i="1"/>
  <c r="R376" i="1" s="1"/>
  <c r="M377" i="1"/>
  <c r="N377" i="1"/>
  <c r="Q377" i="1" s="1"/>
  <c r="O377" i="1"/>
  <c r="R377" i="1" s="1"/>
  <c r="P377" i="1"/>
  <c r="M378" i="1"/>
  <c r="P378" i="1" s="1"/>
  <c r="N378" i="1"/>
  <c r="Q378" i="1" s="1"/>
  <c r="S378" i="1" s="1"/>
  <c r="T378" i="1" s="1"/>
  <c r="O378" i="1"/>
  <c r="R378" i="1" s="1"/>
  <c r="M379" i="1"/>
  <c r="P379" i="1" s="1"/>
  <c r="N379" i="1"/>
  <c r="Q379" i="1" s="1"/>
  <c r="O379" i="1"/>
  <c r="R379" i="1" s="1"/>
  <c r="M380" i="1"/>
  <c r="P380" i="1" s="1"/>
  <c r="N380" i="1"/>
  <c r="O380" i="1"/>
  <c r="R380" i="1" s="1"/>
  <c r="Q380" i="1"/>
  <c r="M381" i="1"/>
  <c r="P381" i="1" s="1"/>
  <c r="N381" i="1"/>
  <c r="Q381" i="1" s="1"/>
  <c r="S381" i="1" s="1"/>
  <c r="T381" i="1" s="1"/>
  <c r="O381" i="1"/>
  <c r="R381" i="1" s="1"/>
  <c r="M382" i="1"/>
  <c r="N382" i="1"/>
  <c r="Q382" i="1" s="1"/>
  <c r="O382" i="1"/>
  <c r="R382" i="1" s="1"/>
  <c r="P382" i="1"/>
  <c r="S382" i="1" s="1"/>
  <c r="T382" i="1" s="1"/>
  <c r="M383" i="1"/>
  <c r="P383" i="1" s="1"/>
  <c r="N383" i="1"/>
  <c r="Q383" i="1" s="1"/>
  <c r="O383" i="1"/>
  <c r="R383" i="1" s="1"/>
  <c r="M384" i="1"/>
  <c r="P384" i="1" s="1"/>
  <c r="N384" i="1"/>
  <c r="Q384" i="1" s="1"/>
  <c r="O384" i="1"/>
  <c r="R384" i="1" s="1"/>
  <c r="M385" i="1"/>
  <c r="P385" i="1" s="1"/>
  <c r="N385" i="1"/>
  <c r="O385" i="1"/>
  <c r="R385" i="1" s="1"/>
  <c r="Q385" i="1"/>
  <c r="M386" i="1"/>
  <c r="P386" i="1" s="1"/>
  <c r="N386" i="1"/>
  <c r="Q386" i="1" s="1"/>
  <c r="O386" i="1"/>
  <c r="R386" i="1" s="1"/>
  <c r="M387" i="1"/>
  <c r="P387" i="1" s="1"/>
  <c r="N387" i="1"/>
  <c r="Q387" i="1" s="1"/>
  <c r="O387" i="1"/>
  <c r="R387" i="1" s="1"/>
  <c r="M388" i="1"/>
  <c r="P388" i="1" s="1"/>
  <c r="S388" i="1" s="1"/>
  <c r="T388" i="1" s="1"/>
  <c r="N388" i="1"/>
  <c r="O388" i="1"/>
  <c r="R388" i="1" s="1"/>
  <c r="Q388" i="1"/>
  <c r="M389" i="1"/>
  <c r="P389" i="1" s="1"/>
  <c r="N389" i="1"/>
  <c r="Q389" i="1" s="1"/>
  <c r="O389" i="1"/>
  <c r="R389" i="1" s="1"/>
  <c r="M390" i="1"/>
  <c r="P390" i="1" s="1"/>
  <c r="N390" i="1"/>
  <c r="Q390" i="1" s="1"/>
  <c r="S390" i="1" s="1"/>
  <c r="T390" i="1" s="1"/>
  <c r="O390" i="1"/>
  <c r="R390" i="1" s="1"/>
  <c r="M391" i="1"/>
  <c r="P391" i="1" s="1"/>
  <c r="N391" i="1"/>
  <c r="Q391" i="1" s="1"/>
  <c r="O391" i="1"/>
  <c r="R391" i="1" s="1"/>
  <c r="M392" i="1"/>
  <c r="P392" i="1" s="1"/>
  <c r="N392" i="1"/>
  <c r="O392" i="1"/>
  <c r="R392" i="1" s="1"/>
  <c r="Q392" i="1"/>
  <c r="M393" i="1"/>
  <c r="P393" i="1" s="1"/>
  <c r="N393" i="1"/>
  <c r="Q393" i="1" s="1"/>
  <c r="O393" i="1"/>
  <c r="R393" i="1"/>
  <c r="M394" i="1"/>
  <c r="P394" i="1" s="1"/>
  <c r="N394" i="1"/>
  <c r="Q394" i="1" s="1"/>
  <c r="O394" i="1"/>
  <c r="R394" i="1" s="1"/>
  <c r="M395" i="1"/>
  <c r="N395" i="1"/>
  <c r="Q395" i="1" s="1"/>
  <c r="O395" i="1"/>
  <c r="R395" i="1" s="1"/>
  <c r="P395" i="1"/>
  <c r="M396" i="1"/>
  <c r="P396" i="1" s="1"/>
  <c r="N396" i="1"/>
  <c r="Q396" i="1" s="1"/>
  <c r="S396" i="1" s="1"/>
  <c r="T396" i="1" s="1"/>
  <c r="O396" i="1"/>
  <c r="R396" i="1" s="1"/>
  <c r="M397" i="1"/>
  <c r="P397" i="1" s="1"/>
  <c r="N397" i="1"/>
  <c r="Q397" i="1" s="1"/>
  <c r="O397" i="1"/>
  <c r="R397" i="1" s="1"/>
  <c r="M398" i="1"/>
  <c r="P398" i="1" s="1"/>
  <c r="N398" i="1"/>
  <c r="O398" i="1"/>
  <c r="R398" i="1" s="1"/>
  <c r="Q398" i="1"/>
  <c r="M399" i="1"/>
  <c r="P399" i="1" s="1"/>
  <c r="S399" i="1" s="1"/>
  <c r="T399" i="1" s="1"/>
  <c r="N399" i="1"/>
  <c r="Q399" i="1" s="1"/>
  <c r="O399" i="1"/>
  <c r="R399" i="1" s="1"/>
  <c r="M400" i="1"/>
  <c r="N400" i="1"/>
  <c r="Q400" i="1" s="1"/>
  <c r="O400" i="1"/>
  <c r="R400" i="1" s="1"/>
  <c r="P400" i="1"/>
  <c r="M401" i="1"/>
  <c r="P401" i="1" s="1"/>
  <c r="N401" i="1"/>
  <c r="Q401" i="1" s="1"/>
  <c r="O401" i="1"/>
  <c r="R401" i="1" s="1"/>
  <c r="M402" i="1"/>
  <c r="P402" i="1" s="1"/>
  <c r="N402" i="1"/>
  <c r="Q402" i="1" s="1"/>
  <c r="O402" i="1"/>
  <c r="R402" i="1" s="1"/>
  <c r="M403" i="1"/>
  <c r="P403" i="1" s="1"/>
  <c r="N403" i="1"/>
  <c r="Q403" i="1" s="1"/>
  <c r="O403" i="1"/>
  <c r="R403" i="1" s="1"/>
  <c r="M404" i="1"/>
  <c r="P404" i="1" s="1"/>
  <c r="N404" i="1"/>
  <c r="Q404" i="1" s="1"/>
  <c r="O404" i="1"/>
  <c r="R404" i="1" s="1"/>
  <c r="M405" i="1"/>
  <c r="P405" i="1" s="1"/>
  <c r="N405" i="1"/>
  <c r="Q405" i="1" s="1"/>
  <c r="O405" i="1"/>
  <c r="R405" i="1" s="1"/>
  <c r="M406" i="1"/>
  <c r="P406" i="1" s="1"/>
  <c r="N406" i="1"/>
  <c r="O406" i="1"/>
  <c r="R406" i="1" s="1"/>
  <c r="Q406" i="1"/>
  <c r="M407" i="1"/>
  <c r="P407" i="1" s="1"/>
  <c r="S407" i="1" s="1"/>
  <c r="T407" i="1" s="1"/>
  <c r="N407" i="1"/>
  <c r="Q407" i="1" s="1"/>
  <c r="O407" i="1"/>
  <c r="R407" i="1" s="1"/>
  <c r="M408" i="1"/>
  <c r="P408" i="1" s="1"/>
  <c r="N408" i="1"/>
  <c r="Q408" i="1" s="1"/>
  <c r="S408" i="1" s="1"/>
  <c r="T408" i="1" s="1"/>
  <c r="O408" i="1"/>
  <c r="R408" i="1" s="1"/>
  <c r="M409" i="1"/>
  <c r="P409" i="1" s="1"/>
  <c r="N409" i="1"/>
  <c r="Q409" i="1" s="1"/>
  <c r="O409" i="1"/>
  <c r="R409" i="1"/>
  <c r="M410" i="1"/>
  <c r="P410" i="1" s="1"/>
  <c r="N410" i="1"/>
  <c r="O410" i="1"/>
  <c r="R410" i="1" s="1"/>
  <c r="Q410" i="1"/>
  <c r="M411" i="1"/>
  <c r="P411" i="1" s="1"/>
  <c r="N411" i="1"/>
  <c r="Q411" i="1" s="1"/>
  <c r="O411" i="1"/>
  <c r="R411" i="1"/>
  <c r="M412" i="1"/>
  <c r="P412" i="1" s="1"/>
  <c r="N412" i="1"/>
  <c r="Q412" i="1" s="1"/>
  <c r="O412" i="1"/>
  <c r="R412" i="1" s="1"/>
  <c r="M413" i="1"/>
  <c r="N413" i="1"/>
  <c r="Q413" i="1" s="1"/>
  <c r="O413" i="1"/>
  <c r="R413" i="1" s="1"/>
  <c r="P413" i="1"/>
  <c r="M414" i="1"/>
  <c r="P414" i="1" s="1"/>
  <c r="N414" i="1"/>
  <c r="Q414" i="1" s="1"/>
  <c r="O414" i="1"/>
  <c r="R414" i="1" s="1"/>
  <c r="M415" i="1"/>
  <c r="P415" i="1" s="1"/>
  <c r="N415" i="1"/>
  <c r="Q415" i="1" s="1"/>
  <c r="O415" i="1"/>
  <c r="R415" i="1" s="1"/>
  <c r="M416" i="1"/>
  <c r="P416" i="1" s="1"/>
  <c r="N416" i="1"/>
  <c r="Q416" i="1" s="1"/>
  <c r="O416" i="1"/>
  <c r="R416" i="1" s="1"/>
  <c r="M417" i="1"/>
  <c r="P417" i="1" s="1"/>
  <c r="N417" i="1"/>
  <c r="Q417" i="1" s="1"/>
  <c r="S417" i="1" s="1"/>
  <c r="T417" i="1" s="1"/>
  <c r="O417" i="1"/>
  <c r="R417" i="1"/>
  <c r="M418" i="1"/>
  <c r="P418" i="1" s="1"/>
  <c r="N418" i="1"/>
  <c r="Q418" i="1" s="1"/>
  <c r="O418" i="1"/>
  <c r="R418" i="1" s="1"/>
  <c r="M419" i="1"/>
  <c r="P419" i="1" s="1"/>
  <c r="N419" i="1"/>
  <c r="Q419" i="1" s="1"/>
  <c r="O419" i="1"/>
  <c r="R419" i="1" s="1"/>
  <c r="M420" i="1"/>
  <c r="P420" i="1" s="1"/>
  <c r="N420" i="1"/>
  <c r="Q420" i="1" s="1"/>
  <c r="O420" i="1"/>
  <c r="R420" i="1" s="1"/>
  <c r="M421" i="1"/>
  <c r="P421" i="1" s="1"/>
  <c r="N421" i="1"/>
  <c r="Q421" i="1" s="1"/>
  <c r="O421" i="1"/>
  <c r="R421" i="1" s="1"/>
  <c r="M422" i="1"/>
  <c r="P422" i="1" s="1"/>
  <c r="S422" i="1" s="1"/>
  <c r="T422" i="1" s="1"/>
  <c r="N422" i="1"/>
  <c r="Q422" i="1" s="1"/>
  <c r="O422" i="1"/>
  <c r="R422" i="1"/>
  <c r="M423" i="1"/>
  <c r="P423" i="1" s="1"/>
  <c r="N423" i="1"/>
  <c r="Q423" i="1" s="1"/>
  <c r="O423" i="1"/>
  <c r="R423" i="1" s="1"/>
  <c r="M424" i="1"/>
  <c r="P424" i="1" s="1"/>
  <c r="N424" i="1"/>
  <c r="Q424" i="1" s="1"/>
  <c r="O424" i="1"/>
  <c r="R424" i="1"/>
  <c r="M425" i="1"/>
  <c r="P425" i="1" s="1"/>
  <c r="N425" i="1"/>
  <c r="O425" i="1"/>
  <c r="R425" i="1" s="1"/>
  <c r="Q425" i="1"/>
  <c r="M426" i="1"/>
  <c r="P426" i="1" s="1"/>
  <c r="N426" i="1"/>
  <c r="Q426" i="1" s="1"/>
  <c r="O426" i="1"/>
  <c r="R426" i="1" s="1"/>
  <c r="M427" i="1"/>
  <c r="P427" i="1" s="1"/>
  <c r="N427" i="1"/>
  <c r="Q427" i="1" s="1"/>
  <c r="O427" i="1"/>
  <c r="R427" i="1" s="1"/>
  <c r="M428" i="1"/>
  <c r="P428" i="1" s="1"/>
  <c r="N428" i="1"/>
  <c r="Q428" i="1" s="1"/>
  <c r="O428" i="1"/>
  <c r="R428" i="1" s="1"/>
  <c r="M429" i="1"/>
  <c r="P429" i="1" s="1"/>
  <c r="N429" i="1"/>
  <c r="Q429" i="1" s="1"/>
  <c r="O429" i="1"/>
  <c r="R429" i="1" s="1"/>
  <c r="M430" i="1"/>
  <c r="P430" i="1" s="1"/>
  <c r="S430" i="1" s="1"/>
  <c r="T430" i="1" s="1"/>
  <c r="N430" i="1"/>
  <c r="Q430" i="1" s="1"/>
  <c r="O430" i="1"/>
  <c r="R430" i="1" s="1"/>
  <c r="M431" i="1"/>
  <c r="N431" i="1"/>
  <c r="Q431" i="1" s="1"/>
  <c r="O431" i="1"/>
  <c r="R431" i="1" s="1"/>
  <c r="P431" i="1"/>
  <c r="M432" i="1"/>
  <c r="N432" i="1"/>
  <c r="Q432" i="1" s="1"/>
  <c r="O432" i="1"/>
  <c r="R432" i="1" s="1"/>
  <c r="P432" i="1"/>
  <c r="M433" i="1"/>
  <c r="P433" i="1" s="1"/>
  <c r="N433" i="1"/>
  <c r="Q433" i="1" s="1"/>
  <c r="O433" i="1"/>
  <c r="R433" i="1"/>
  <c r="M434" i="1"/>
  <c r="P434" i="1" s="1"/>
  <c r="N434" i="1"/>
  <c r="Q434" i="1" s="1"/>
  <c r="O434" i="1"/>
  <c r="R434" i="1" s="1"/>
  <c r="M435" i="1"/>
  <c r="N435" i="1"/>
  <c r="Q435" i="1" s="1"/>
  <c r="O435" i="1"/>
  <c r="R435" i="1" s="1"/>
  <c r="P435" i="1"/>
  <c r="M436" i="1"/>
  <c r="P436" i="1" s="1"/>
  <c r="N436" i="1"/>
  <c r="Q436" i="1" s="1"/>
  <c r="O436" i="1"/>
  <c r="R436" i="1"/>
  <c r="M437" i="1"/>
  <c r="P437" i="1" s="1"/>
  <c r="N437" i="1"/>
  <c r="Q437" i="1" s="1"/>
  <c r="O437" i="1"/>
  <c r="R437" i="1" s="1"/>
  <c r="M438" i="1"/>
  <c r="P438" i="1" s="1"/>
  <c r="N438" i="1"/>
  <c r="Q438" i="1" s="1"/>
  <c r="O438" i="1"/>
  <c r="R438" i="1" s="1"/>
  <c r="M439" i="1"/>
  <c r="P439" i="1" s="1"/>
  <c r="N439" i="1"/>
  <c r="Q439" i="1" s="1"/>
  <c r="O439" i="1"/>
  <c r="R439" i="1" s="1"/>
  <c r="M440" i="1"/>
  <c r="P440" i="1" s="1"/>
  <c r="N440" i="1"/>
  <c r="O440" i="1"/>
  <c r="R440" i="1" s="1"/>
  <c r="Q440" i="1"/>
  <c r="M441" i="1"/>
  <c r="P441" i="1" s="1"/>
  <c r="N441" i="1"/>
  <c r="Q441" i="1" s="1"/>
  <c r="O441" i="1"/>
  <c r="R441" i="1" s="1"/>
  <c r="M442" i="1"/>
  <c r="P442" i="1" s="1"/>
  <c r="S442" i="1" s="1"/>
  <c r="T442" i="1" s="1"/>
  <c r="N442" i="1"/>
  <c r="Q442" i="1" s="1"/>
  <c r="O442" i="1"/>
  <c r="R442" i="1" s="1"/>
  <c r="M443" i="1"/>
  <c r="N443" i="1"/>
  <c r="Q443" i="1" s="1"/>
  <c r="O443" i="1"/>
  <c r="P443" i="1"/>
  <c r="R443" i="1"/>
  <c r="M444" i="1"/>
  <c r="N444" i="1"/>
  <c r="Q444" i="1" s="1"/>
  <c r="O444" i="1"/>
  <c r="R444" i="1" s="1"/>
  <c r="P444" i="1"/>
  <c r="S444" i="1" s="1"/>
  <c r="T444" i="1" s="1"/>
  <c r="M445" i="1"/>
  <c r="P445" i="1" s="1"/>
  <c r="N445" i="1"/>
  <c r="Q445" i="1" s="1"/>
  <c r="O445" i="1"/>
  <c r="R445" i="1" s="1"/>
  <c r="M446" i="1"/>
  <c r="N446" i="1"/>
  <c r="Q446" i="1" s="1"/>
  <c r="O446" i="1"/>
  <c r="R446" i="1" s="1"/>
  <c r="P446" i="1"/>
  <c r="M447" i="1"/>
  <c r="N447" i="1"/>
  <c r="Q447" i="1" s="1"/>
  <c r="O447" i="1"/>
  <c r="R447" i="1" s="1"/>
  <c r="P447" i="1"/>
  <c r="M448" i="1"/>
  <c r="P448" i="1" s="1"/>
  <c r="N448" i="1"/>
  <c r="Q448" i="1" s="1"/>
  <c r="O448" i="1"/>
  <c r="R448" i="1"/>
  <c r="M449" i="1"/>
  <c r="P449" i="1" s="1"/>
  <c r="N449" i="1"/>
  <c r="Q449" i="1" s="1"/>
  <c r="O449" i="1"/>
  <c r="R449" i="1" s="1"/>
  <c r="M450" i="1"/>
  <c r="P450" i="1" s="1"/>
  <c r="N450" i="1"/>
  <c r="Q450" i="1" s="1"/>
  <c r="O450" i="1"/>
  <c r="R450" i="1" s="1"/>
  <c r="M451" i="1"/>
  <c r="P451" i="1" s="1"/>
  <c r="N451" i="1"/>
  <c r="Q451" i="1" s="1"/>
  <c r="O451" i="1"/>
  <c r="R451" i="1" s="1"/>
  <c r="M452" i="1"/>
  <c r="P452" i="1" s="1"/>
  <c r="N452" i="1"/>
  <c r="Q452" i="1" s="1"/>
  <c r="O452" i="1"/>
  <c r="R452" i="1" s="1"/>
  <c r="M453" i="1"/>
  <c r="P453" i="1" s="1"/>
  <c r="N453" i="1"/>
  <c r="Q453" i="1" s="1"/>
  <c r="O453" i="1"/>
  <c r="R453" i="1" s="1"/>
  <c r="M454" i="1"/>
  <c r="P454" i="1" s="1"/>
  <c r="N454" i="1"/>
  <c r="Q454" i="1" s="1"/>
  <c r="O454" i="1"/>
  <c r="R454" i="1" s="1"/>
  <c r="M455" i="1"/>
  <c r="P455" i="1" s="1"/>
  <c r="N455" i="1"/>
  <c r="Q455" i="1" s="1"/>
  <c r="O455" i="1"/>
  <c r="R455" i="1"/>
  <c r="M456" i="1"/>
  <c r="P456" i="1" s="1"/>
  <c r="N456" i="1"/>
  <c r="Q456" i="1" s="1"/>
  <c r="O456" i="1"/>
  <c r="R456" i="1" s="1"/>
  <c r="M457" i="1"/>
  <c r="P457" i="1" s="1"/>
  <c r="N457" i="1"/>
  <c r="Q457" i="1" s="1"/>
  <c r="O457" i="1"/>
  <c r="R457" i="1"/>
  <c r="M458" i="1"/>
  <c r="N458" i="1"/>
  <c r="Q458" i="1" s="1"/>
  <c r="O458" i="1"/>
  <c r="R458" i="1" s="1"/>
  <c r="P458" i="1"/>
  <c r="S458" i="1" s="1"/>
  <c r="T458" i="1" s="1"/>
  <c r="M459" i="1"/>
  <c r="P459" i="1" s="1"/>
  <c r="N459" i="1"/>
  <c r="Q459" i="1" s="1"/>
  <c r="O459" i="1"/>
  <c r="R459" i="1" s="1"/>
  <c r="M460" i="1"/>
  <c r="P460" i="1" s="1"/>
  <c r="N460" i="1"/>
  <c r="Q460" i="1" s="1"/>
  <c r="O460" i="1"/>
  <c r="R460" i="1" s="1"/>
  <c r="M461" i="1"/>
  <c r="N461" i="1"/>
  <c r="Q461" i="1" s="1"/>
  <c r="O461" i="1"/>
  <c r="P461" i="1"/>
  <c r="R461" i="1"/>
  <c r="M462" i="1"/>
  <c r="N462" i="1"/>
  <c r="Q462" i="1" s="1"/>
  <c r="O462" i="1"/>
  <c r="R462" i="1" s="1"/>
  <c r="P462" i="1"/>
  <c r="S462" i="1" s="1"/>
  <c r="T462" i="1" s="1"/>
  <c r="M463" i="1"/>
  <c r="P463" i="1" s="1"/>
  <c r="N463" i="1"/>
  <c r="Q463" i="1" s="1"/>
  <c r="O463" i="1"/>
  <c r="R463" i="1" s="1"/>
  <c r="M464" i="1"/>
  <c r="P464" i="1" s="1"/>
  <c r="N464" i="1"/>
  <c r="O464" i="1"/>
  <c r="R464" i="1" s="1"/>
  <c r="Q464" i="1"/>
  <c r="M465" i="1"/>
  <c r="P465" i="1" s="1"/>
  <c r="S465" i="1" s="1"/>
  <c r="N465" i="1"/>
  <c r="Q465" i="1" s="1"/>
  <c r="O465" i="1"/>
  <c r="R465" i="1" s="1"/>
  <c r="T465" i="1"/>
  <c r="M466" i="1"/>
  <c r="P466" i="1" s="1"/>
  <c r="N466" i="1"/>
  <c r="Q466" i="1" s="1"/>
  <c r="S466" i="1" s="1"/>
  <c r="T466" i="1" s="1"/>
  <c r="O466" i="1"/>
  <c r="R466" i="1" s="1"/>
  <c r="M467" i="1"/>
  <c r="P467" i="1" s="1"/>
  <c r="N467" i="1"/>
  <c r="Q467" i="1" s="1"/>
  <c r="O467" i="1"/>
  <c r="R467" i="1" s="1"/>
  <c r="M468" i="1"/>
  <c r="N468" i="1"/>
  <c r="Q468" i="1" s="1"/>
  <c r="O468" i="1"/>
  <c r="R468" i="1" s="1"/>
  <c r="P468" i="1"/>
  <c r="M469" i="1"/>
  <c r="P469" i="1" s="1"/>
  <c r="N469" i="1"/>
  <c r="Q469" i="1" s="1"/>
  <c r="S469" i="1" s="1"/>
  <c r="T469" i="1" s="1"/>
  <c r="O469" i="1"/>
  <c r="R469" i="1" s="1"/>
  <c r="M470" i="1"/>
  <c r="P470" i="1" s="1"/>
  <c r="N470" i="1"/>
  <c r="Q470" i="1" s="1"/>
  <c r="O470" i="1"/>
  <c r="R470" i="1" s="1"/>
  <c r="M471" i="1"/>
  <c r="P471" i="1" s="1"/>
  <c r="N471" i="1"/>
  <c r="Q471" i="1" s="1"/>
  <c r="O471" i="1"/>
  <c r="R471" i="1" s="1"/>
  <c r="M472" i="1"/>
  <c r="P472" i="1" s="1"/>
  <c r="N472" i="1"/>
  <c r="Q472" i="1" s="1"/>
  <c r="O472" i="1"/>
  <c r="R472" i="1" s="1"/>
  <c r="M473" i="1"/>
  <c r="P473" i="1" s="1"/>
  <c r="N473" i="1"/>
  <c r="O473" i="1"/>
  <c r="R473" i="1" s="1"/>
  <c r="Q473" i="1"/>
  <c r="M474" i="1"/>
  <c r="N474" i="1"/>
  <c r="Q474" i="1" s="1"/>
  <c r="O474" i="1"/>
  <c r="R474" i="1" s="1"/>
  <c r="P474" i="1"/>
  <c r="S474" i="1" s="1"/>
  <c r="T474" i="1" s="1"/>
  <c r="M475" i="1"/>
  <c r="P475" i="1" s="1"/>
  <c r="N475" i="1"/>
  <c r="Q475" i="1" s="1"/>
  <c r="S475" i="1" s="1"/>
  <c r="T475" i="1" s="1"/>
  <c r="O475" i="1"/>
  <c r="R475" i="1"/>
  <c r="M476" i="1"/>
  <c r="P476" i="1" s="1"/>
  <c r="N476" i="1"/>
  <c r="O476" i="1"/>
  <c r="R476" i="1" s="1"/>
  <c r="Q476" i="1"/>
  <c r="M477" i="1"/>
  <c r="P477" i="1" s="1"/>
  <c r="N477" i="1"/>
  <c r="Q477" i="1" s="1"/>
  <c r="O477" i="1"/>
  <c r="R477" i="1" s="1"/>
  <c r="M478" i="1"/>
  <c r="P478" i="1" s="1"/>
  <c r="S478" i="1" s="1"/>
  <c r="T478" i="1" s="1"/>
  <c r="N478" i="1"/>
  <c r="Q478" i="1" s="1"/>
  <c r="O478" i="1"/>
  <c r="R478" i="1" s="1"/>
  <c r="M479" i="1"/>
  <c r="P479" i="1" s="1"/>
  <c r="N479" i="1"/>
  <c r="O479" i="1"/>
  <c r="R479" i="1" s="1"/>
  <c r="Q479" i="1"/>
  <c r="M480" i="1"/>
  <c r="P480" i="1" s="1"/>
  <c r="S480" i="1" s="1"/>
  <c r="T480" i="1" s="1"/>
  <c r="N480" i="1"/>
  <c r="Q480" i="1" s="1"/>
  <c r="O480" i="1"/>
  <c r="R480" i="1" s="1"/>
  <c r="M481" i="1"/>
  <c r="P481" i="1" s="1"/>
  <c r="N481" i="1"/>
  <c r="Q481" i="1" s="1"/>
  <c r="O481" i="1"/>
  <c r="R481" i="1"/>
  <c r="M482" i="1"/>
  <c r="N482" i="1"/>
  <c r="Q482" i="1" s="1"/>
  <c r="O482" i="1"/>
  <c r="R482" i="1" s="1"/>
  <c r="P482" i="1"/>
  <c r="M483" i="1"/>
  <c r="P483" i="1" s="1"/>
  <c r="N483" i="1"/>
  <c r="Q483" i="1" s="1"/>
  <c r="O483" i="1"/>
  <c r="R483" i="1" s="1"/>
  <c r="M484" i="1"/>
  <c r="P484" i="1" s="1"/>
  <c r="N484" i="1"/>
  <c r="Q484" i="1" s="1"/>
  <c r="O484" i="1"/>
  <c r="R484" i="1" s="1"/>
  <c r="M485" i="1"/>
  <c r="P485" i="1" s="1"/>
  <c r="N485" i="1"/>
  <c r="O485" i="1"/>
  <c r="R485" i="1" s="1"/>
  <c r="Q485" i="1"/>
  <c r="M486" i="1"/>
  <c r="P486" i="1" s="1"/>
  <c r="S486" i="1" s="1"/>
  <c r="T486" i="1" s="1"/>
  <c r="N486" i="1"/>
  <c r="Q486" i="1" s="1"/>
  <c r="O486" i="1"/>
  <c r="R486" i="1" s="1"/>
  <c r="M487" i="1"/>
  <c r="P487" i="1" s="1"/>
  <c r="N487" i="1"/>
  <c r="Q487" i="1" s="1"/>
  <c r="O487" i="1"/>
  <c r="R487" i="1"/>
  <c r="M488" i="1"/>
  <c r="P488" i="1" s="1"/>
  <c r="N488" i="1"/>
  <c r="O488" i="1"/>
  <c r="R488" i="1" s="1"/>
  <c r="Q488" i="1"/>
  <c r="M489" i="1"/>
  <c r="P489" i="1" s="1"/>
  <c r="N489" i="1"/>
  <c r="Q489" i="1" s="1"/>
  <c r="O489" i="1"/>
  <c r="R489" i="1" s="1"/>
  <c r="M490" i="1"/>
  <c r="P490" i="1" s="1"/>
  <c r="N490" i="1"/>
  <c r="Q490" i="1" s="1"/>
  <c r="O490" i="1"/>
  <c r="R490" i="1" s="1"/>
  <c r="M491" i="1"/>
  <c r="P491" i="1" s="1"/>
  <c r="N491" i="1"/>
  <c r="Q491" i="1" s="1"/>
  <c r="O491" i="1"/>
  <c r="R491" i="1" s="1"/>
  <c r="M492" i="1"/>
  <c r="P492" i="1" s="1"/>
  <c r="S492" i="1" s="1"/>
  <c r="T492" i="1" s="1"/>
  <c r="N492" i="1"/>
  <c r="Q492" i="1" s="1"/>
  <c r="O492" i="1"/>
  <c r="R492" i="1" s="1"/>
  <c r="M493" i="1"/>
  <c r="P493" i="1" s="1"/>
  <c r="N493" i="1"/>
  <c r="Q493" i="1" s="1"/>
  <c r="O493" i="1"/>
  <c r="R493" i="1" s="1"/>
  <c r="M494" i="1"/>
  <c r="P494" i="1" s="1"/>
  <c r="N494" i="1"/>
  <c r="Q494" i="1" s="1"/>
  <c r="O494" i="1"/>
  <c r="R494" i="1" s="1"/>
  <c r="M495" i="1"/>
  <c r="P495" i="1" s="1"/>
  <c r="N495" i="1"/>
  <c r="Q495" i="1" s="1"/>
  <c r="O495" i="1"/>
  <c r="R495" i="1" s="1"/>
  <c r="M496" i="1"/>
  <c r="P496" i="1" s="1"/>
  <c r="N496" i="1"/>
  <c r="Q496" i="1" s="1"/>
  <c r="O496" i="1"/>
  <c r="R496" i="1"/>
  <c r="M497" i="1"/>
  <c r="P497" i="1" s="1"/>
  <c r="N497" i="1"/>
  <c r="Q497" i="1" s="1"/>
  <c r="O497" i="1"/>
  <c r="R497" i="1" s="1"/>
  <c r="M498" i="1"/>
  <c r="P498" i="1" s="1"/>
  <c r="N498" i="1"/>
  <c r="Q498" i="1" s="1"/>
  <c r="O498" i="1"/>
  <c r="R498" i="1" s="1"/>
  <c r="M499" i="1"/>
  <c r="P499" i="1" s="1"/>
  <c r="N499" i="1"/>
  <c r="Q499" i="1" s="1"/>
  <c r="O499" i="1"/>
  <c r="R499" i="1"/>
  <c r="M500" i="1"/>
  <c r="N500" i="1"/>
  <c r="Q500" i="1" s="1"/>
  <c r="O500" i="1"/>
  <c r="R500" i="1" s="1"/>
  <c r="P500" i="1"/>
  <c r="M501" i="1"/>
  <c r="P501" i="1" s="1"/>
  <c r="N501" i="1"/>
  <c r="Q501" i="1" s="1"/>
  <c r="O501" i="1"/>
  <c r="R501" i="1" s="1"/>
  <c r="M502" i="1"/>
  <c r="P502" i="1" s="1"/>
  <c r="N502" i="1"/>
  <c r="Q502" i="1" s="1"/>
  <c r="O502" i="1"/>
  <c r="R502" i="1" s="1"/>
  <c r="M503" i="1"/>
  <c r="N503" i="1"/>
  <c r="Q503" i="1" s="1"/>
  <c r="O503" i="1"/>
  <c r="R503" i="1" s="1"/>
  <c r="P503" i="1"/>
  <c r="M504" i="1"/>
  <c r="N504" i="1"/>
  <c r="Q504" i="1" s="1"/>
  <c r="O504" i="1"/>
  <c r="R504" i="1" s="1"/>
  <c r="P504" i="1"/>
  <c r="S504" i="1"/>
  <c r="T504" i="1" s="1"/>
  <c r="M505" i="1"/>
  <c r="P505" i="1" s="1"/>
  <c r="N505" i="1"/>
  <c r="O505" i="1"/>
  <c r="R505" i="1" s="1"/>
  <c r="Q505" i="1"/>
  <c r="S505" i="1" s="1"/>
  <c r="T505" i="1" s="1"/>
  <c r="M506" i="1"/>
  <c r="P506" i="1" s="1"/>
  <c r="N506" i="1"/>
  <c r="O506" i="1"/>
  <c r="R506" i="1" s="1"/>
  <c r="Q506" i="1"/>
  <c r="M507" i="1"/>
  <c r="P507" i="1" s="1"/>
  <c r="S507" i="1" s="1"/>
  <c r="T507" i="1" s="1"/>
  <c r="N507" i="1"/>
  <c r="Q507" i="1" s="1"/>
  <c r="O507" i="1"/>
  <c r="R507" i="1" s="1"/>
  <c r="M508" i="1"/>
  <c r="P508" i="1" s="1"/>
  <c r="N508" i="1"/>
  <c r="Q508" i="1" s="1"/>
  <c r="O508" i="1"/>
  <c r="R508" i="1" s="1"/>
  <c r="M509" i="1"/>
  <c r="P509" i="1" s="1"/>
  <c r="N509" i="1"/>
  <c r="Q509" i="1" s="1"/>
  <c r="O509" i="1"/>
  <c r="R509" i="1" s="1"/>
  <c r="M510" i="1"/>
  <c r="P510" i="1" s="1"/>
  <c r="S510" i="1" s="1"/>
  <c r="T510" i="1" s="1"/>
  <c r="N510" i="1"/>
  <c r="Q510" i="1" s="1"/>
  <c r="O510" i="1"/>
  <c r="R510" i="1" s="1"/>
  <c r="M511" i="1"/>
  <c r="N511" i="1"/>
  <c r="Q511" i="1" s="1"/>
  <c r="O511" i="1"/>
  <c r="R511" i="1" s="1"/>
  <c r="P511" i="1"/>
  <c r="M512" i="1"/>
  <c r="P512" i="1" s="1"/>
  <c r="N512" i="1"/>
  <c r="Q512" i="1" s="1"/>
  <c r="O512" i="1"/>
  <c r="R512" i="1" s="1"/>
  <c r="M513" i="1"/>
  <c r="P513" i="1" s="1"/>
  <c r="N513" i="1"/>
  <c r="Q513" i="1" s="1"/>
  <c r="O513" i="1"/>
  <c r="R513" i="1" s="1"/>
  <c r="M514" i="1"/>
  <c r="P514" i="1" s="1"/>
  <c r="N514" i="1"/>
  <c r="Q514" i="1" s="1"/>
  <c r="O514" i="1"/>
  <c r="R514" i="1" s="1"/>
  <c r="M515" i="1"/>
  <c r="P515" i="1" s="1"/>
  <c r="N515" i="1"/>
  <c r="Q515" i="1" s="1"/>
  <c r="O515" i="1"/>
  <c r="R515" i="1" s="1"/>
  <c r="M516" i="1"/>
  <c r="N516" i="1"/>
  <c r="Q516" i="1" s="1"/>
  <c r="O516" i="1"/>
  <c r="R516" i="1" s="1"/>
  <c r="P516" i="1"/>
  <c r="S516" i="1" s="1"/>
  <c r="T516" i="1" s="1"/>
  <c r="M517" i="1"/>
  <c r="P517" i="1" s="1"/>
  <c r="N517" i="1"/>
  <c r="Q517" i="1" s="1"/>
  <c r="O517" i="1"/>
  <c r="R517" i="1"/>
  <c r="M518" i="1"/>
  <c r="P518" i="1" s="1"/>
  <c r="N518" i="1"/>
  <c r="Q518" i="1" s="1"/>
  <c r="O518" i="1"/>
  <c r="R518" i="1" s="1"/>
  <c r="M519" i="1"/>
  <c r="P519" i="1" s="1"/>
  <c r="N519" i="1"/>
  <c r="Q519" i="1" s="1"/>
  <c r="O519" i="1"/>
  <c r="R519" i="1" s="1"/>
  <c r="M520" i="1"/>
  <c r="P520" i="1" s="1"/>
  <c r="N520" i="1"/>
  <c r="Q520" i="1" s="1"/>
  <c r="O520" i="1"/>
  <c r="R520" i="1" s="1"/>
  <c r="M521" i="1"/>
  <c r="P521" i="1" s="1"/>
  <c r="N521" i="1"/>
  <c r="Q521" i="1" s="1"/>
  <c r="O521" i="1"/>
  <c r="R521" i="1" s="1"/>
  <c r="M522" i="1"/>
  <c r="P522" i="1" s="1"/>
  <c r="N522" i="1"/>
  <c r="Q522" i="1" s="1"/>
  <c r="O522" i="1"/>
  <c r="R522" i="1" s="1"/>
  <c r="M523" i="1"/>
  <c r="P523" i="1" s="1"/>
  <c r="N523" i="1"/>
  <c r="Q523" i="1" s="1"/>
  <c r="O523" i="1"/>
  <c r="R523" i="1"/>
  <c r="M524" i="1"/>
  <c r="P524" i="1" s="1"/>
  <c r="N524" i="1"/>
  <c r="Q524" i="1" s="1"/>
  <c r="O524" i="1"/>
  <c r="R524" i="1" s="1"/>
  <c r="M525" i="1"/>
  <c r="N525" i="1"/>
  <c r="Q525" i="1" s="1"/>
  <c r="O525" i="1"/>
  <c r="R525" i="1" s="1"/>
  <c r="P525" i="1"/>
  <c r="S525" i="1" s="1"/>
  <c r="T525" i="1" s="1"/>
  <c r="M526" i="1"/>
  <c r="P526" i="1" s="1"/>
  <c r="S526" i="1" s="1"/>
  <c r="T526" i="1" s="1"/>
  <c r="N526" i="1"/>
  <c r="Q526" i="1" s="1"/>
  <c r="O526" i="1"/>
  <c r="R526" i="1"/>
  <c r="M527" i="1"/>
  <c r="P527" i="1" s="1"/>
  <c r="N527" i="1"/>
  <c r="Q527" i="1" s="1"/>
  <c r="O527" i="1"/>
  <c r="R527" i="1" s="1"/>
  <c r="M528" i="1"/>
  <c r="P528" i="1" s="1"/>
  <c r="N528" i="1"/>
  <c r="Q528" i="1" s="1"/>
  <c r="O528" i="1"/>
  <c r="R528" i="1" s="1"/>
  <c r="M529" i="1"/>
  <c r="P529" i="1" s="1"/>
  <c r="N529" i="1"/>
  <c r="Q529" i="1" s="1"/>
  <c r="O529" i="1"/>
  <c r="R529" i="1"/>
  <c r="M530" i="1"/>
  <c r="P530" i="1" s="1"/>
  <c r="N530" i="1"/>
  <c r="Q530" i="1" s="1"/>
  <c r="O530" i="1"/>
  <c r="R530" i="1" s="1"/>
  <c r="M531" i="1"/>
  <c r="P531" i="1" s="1"/>
  <c r="N531" i="1"/>
  <c r="Q531" i="1" s="1"/>
  <c r="O531" i="1"/>
  <c r="R531" i="1" s="1"/>
  <c r="M532" i="1"/>
  <c r="P532" i="1" s="1"/>
  <c r="N532" i="1"/>
  <c r="Q532" i="1" s="1"/>
  <c r="O532" i="1"/>
  <c r="R532" i="1" s="1"/>
  <c r="M533" i="1"/>
  <c r="P533" i="1" s="1"/>
  <c r="N533" i="1"/>
  <c r="O533" i="1"/>
  <c r="R533" i="1" s="1"/>
  <c r="Q533" i="1"/>
  <c r="M534" i="1"/>
  <c r="P534" i="1" s="1"/>
  <c r="N534" i="1"/>
  <c r="Q534" i="1" s="1"/>
  <c r="O534" i="1"/>
  <c r="R534" i="1" s="1"/>
  <c r="M535" i="1"/>
  <c r="P535" i="1" s="1"/>
  <c r="N535" i="1"/>
  <c r="Q535" i="1" s="1"/>
  <c r="O535" i="1"/>
  <c r="R535" i="1" s="1"/>
  <c r="M536" i="1"/>
  <c r="N536" i="1"/>
  <c r="O536" i="1"/>
  <c r="R536" i="1" s="1"/>
  <c r="P536" i="1"/>
  <c r="Q536" i="1"/>
  <c r="M537" i="1"/>
  <c r="N537" i="1"/>
  <c r="Q537" i="1" s="1"/>
  <c r="O537" i="1"/>
  <c r="P537" i="1"/>
  <c r="S537" i="1" s="1"/>
  <c r="T537" i="1" s="1"/>
  <c r="R537" i="1"/>
  <c r="M538" i="1"/>
  <c r="N538" i="1"/>
  <c r="O538" i="1"/>
  <c r="R538" i="1" s="1"/>
  <c r="P538" i="1"/>
  <c r="Q538" i="1"/>
  <c r="M539" i="1"/>
  <c r="N539" i="1"/>
  <c r="Q539" i="1" s="1"/>
  <c r="O539" i="1"/>
  <c r="R539" i="1" s="1"/>
  <c r="P539" i="1"/>
  <c r="M540" i="1"/>
  <c r="P540" i="1" s="1"/>
  <c r="N540" i="1"/>
  <c r="Q540" i="1" s="1"/>
  <c r="O540" i="1"/>
  <c r="R540" i="1" s="1"/>
  <c r="M541" i="1"/>
  <c r="P541" i="1" s="1"/>
  <c r="N541" i="1"/>
  <c r="O541" i="1"/>
  <c r="R541" i="1" s="1"/>
  <c r="Q541" i="1"/>
  <c r="M542" i="1"/>
  <c r="N542" i="1"/>
  <c r="O542" i="1"/>
  <c r="R542" i="1" s="1"/>
  <c r="P542" i="1"/>
  <c r="Q542" i="1"/>
  <c r="M543" i="1"/>
  <c r="P543" i="1" s="1"/>
  <c r="N543" i="1"/>
  <c r="Q543" i="1" s="1"/>
  <c r="O543" i="1"/>
  <c r="R543" i="1" s="1"/>
  <c r="M544" i="1"/>
  <c r="P544" i="1" s="1"/>
  <c r="N544" i="1"/>
  <c r="Q544" i="1" s="1"/>
  <c r="O544" i="1"/>
  <c r="R544" i="1" s="1"/>
  <c r="M545" i="1"/>
  <c r="N545" i="1"/>
  <c r="O545" i="1"/>
  <c r="R545" i="1" s="1"/>
  <c r="P545" i="1"/>
  <c r="Q545" i="1"/>
  <c r="M546" i="1"/>
  <c r="P546" i="1" s="1"/>
  <c r="S546" i="1" s="1"/>
  <c r="T546" i="1" s="1"/>
  <c r="N546" i="1"/>
  <c r="Q546" i="1" s="1"/>
  <c r="O546" i="1"/>
  <c r="R546" i="1"/>
  <c r="M547" i="1"/>
  <c r="P547" i="1" s="1"/>
  <c r="N547" i="1"/>
  <c r="Q547" i="1" s="1"/>
  <c r="O547" i="1"/>
  <c r="R547" i="1" s="1"/>
  <c r="M548" i="1"/>
  <c r="P548" i="1" s="1"/>
  <c r="N548" i="1"/>
  <c r="Q548" i="1" s="1"/>
  <c r="O548" i="1"/>
  <c r="R548" i="1" s="1"/>
  <c r="M549" i="1"/>
  <c r="P549" i="1" s="1"/>
  <c r="N549" i="1"/>
  <c r="Q549" i="1" s="1"/>
  <c r="O549" i="1"/>
  <c r="R549" i="1" s="1"/>
  <c r="M550" i="1"/>
  <c r="P550" i="1" s="1"/>
  <c r="N550" i="1"/>
  <c r="Q550" i="1" s="1"/>
  <c r="O550" i="1"/>
  <c r="R550" i="1"/>
  <c r="M551" i="1"/>
  <c r="P551" i="1" s="1"/>
  <c r="N551" i="1"/>
  <c r="Q551" i="1" s="1"/>
  <c r="O551" i="1"/>
  <c r="R551" i="1" s="1"/>
  <c r="M552" i="1"/>
  <c r="N552" i="1"/>
  <c r="Q552" i="1" s="1"/>
  <c r="O552" i="1"/>
  <c r="R552" i="1" s="1"/>
  <c r="P552" i="1"/>
  <c r="S552" i="1" s="1"/>
  <c r="T552" i="1" s="1"/>
  <c r="M553" i="1"/>
  <c r="P553" i="1" s="1"/>
  <c r="N553" i="1"/>
  <c r="Q553" i="1" s="1"/>
  <c r="O553" i="1"/>
  <c r="R553" i="1"/>
  <c r="M554" i="1"/>
  <c r="P554" i="1" s="1"/>
  <c r="N554" i="1"/>
  <c r="Q554" i="1" s="1"/>
  <c r="O554" i="1"/>
  <c r="R554" i="1"/>
  <c r="M555" i="1"/>
  <c r="P555" i="1" s="1"/>
  <c r="N555" i="1"/>
  <c r="Q555" i="1" s="1"/>
  <c r="O555" i="1"/>
  <c r="R555" i="1"/>
  <c r="M556" i="1"/>
  <c r="P556" i="1" s="1"/>
  <c r="N556" i="1"/>
  <c r="Q556" i="1" s="1"/>
  <c r="O556" i="1"/>
  <c r="R556" i="1"/>
  <c r="M557" i="1"/>
  <c r="P557" i="1" s="1"/>
  <c r="N557" i="1"/>
  <c r="Q557" i="1" s="1"/>
  <c r="O557" i="1"/>
  <c r="R557" i="1" s="1"/>
  <c r="M558" i="1"/>
  <c r="P558" i="1" s="1"/>
  <c r="N558" i="1"/>
  <c r="Q558" i="1" s="1"/>
  <c r="O558" i="1"/>
  <c r="R558" i="1"/>
  <c r="M559" i="1"/>
  <c r="P559" i="1" s="1"/>
  <c r="N559" i="1"/>
  <c r="Q559" i="1" s="1"/>
  <c r="O559" i="1"/>
  <c r="R559" i="1" s="1"/>
  <c r="M560" i="1"/>
  <c r="P560" i="1" s="1"/>
  <c r="N560" i="1"/>
  <c r="O560" i="1"/>
  <c r="R560" i="1" s="1"/>
  <c r="Q560" i="1"/>
  <c r="M561" i="1"/>
  <c r="P561" i="1" s="1"/>
  <c r="N561" i="1"/>
  <c r="Q561" i="1" s="1"/>
  <c r="O561" i="1"/>
  <c r="R561" i="1" s="1"/>
  <c r="M562" i="1"/>
  <c r="P562" i="1" s="1"/>
  <c r="N562" i="1"/>
  <c r="Q562" i="1" s="1"/>
  <c r="O562" i="1"/>
  <c r="R562" i="1" s="1"/>
  <c r="M563" i="1"/>
  <c r="N563" i="1"/>
  <c r="O563" i="1"/>
  <c r="R563" i="1" s="1"/>
  <c r="P563" i="1"/>
  <c r="Q563" i="1"/>
  <c r="M564" i="1"/>
  <c r="N564" i="1"/>
  <c r="Q564" i="1" s="1"/>
  <c r="O564" i="1"/>
  <c r="P564" i="1"/>
  <c r="S564" i="1" s="1"/>
  <c r="T564" i="1" s="1"/>
  <c r="R564" i="1"/>
  <c r="M565" i="1"/>
  <c r="N565" i="1"/>
  <c r="O565" i="1"/>
  <c r="R565" i="1" s="1"/>
  <c r="P565" i="1"/>
  <c r="Q565" i="1"/>
  <c r="M566" i="1"/>
  <c r="N566" i="1"/>
  <c r="Q566" i="1" s="1"/>
  <c r="O566" i="1"/>
  <c r="R566" i="1" s="1"/>
  <c r="P566" i="1"/>
  <c r="M567" i="1"/>
  <c r="P567" i="1" s="1"/>
  <c r="N567" i="1"/>
  <c r="Q567" i="1" s="1"/>
  <c r="O567" i="1"/>
  <c r="R567" i="1" s="1"/>
  <c r="M568" i="1"/>
  <c r="P568" i="1" s="1"/>
  <c r="N568" i="1"/>
  <c r="O568" i="1"/>
  <c r="R568" i="1" s="1"/>
  <c r="Q568" i="1"/>
  <c r="M569" i="1"/>
  <c r="N569" i="1"/>
  <c r="O569" i="1"/>
  <c r="R569" i="1" s="1"/>
  <c r="P569" i="1"/>
  <c r="Q569" i="1"/>
  <c r="M570" i="1"/>
  <c r="P570" i="1" s="1"/>
  <c r="S570" i="1" s="1"/>
  <c r="T570" i="1" s="1"/>
  <c r="N570" i="1"/>
  <c r="Q570" i="1" s="1"/>
  <c r="O570" i="1"/>
  <c r="R570" i="1" s="1"/>
  <c r="M571" i="1"/>
  <c r="P571" i="1" s="1"/>
  <c r="N571" i="1"/>
  <c r="Q571" i="1" s="1"/>
  <c r="O571" i="1"/>
  <c r="R571" i="1" s="1"/>
  <c r="M572" i="1"/>
  <c r="N572" i="1"/>
  <c r="Q572" i="1" s="1"/>
  <c r="O572" i="1"/>
  <c r="R572" i="1" s="1"/>
  <c r="P572" i="1"/>
  <c r="M573" i="1"/>
  <c r="P573" i="1" s="1"/>
  <c r="N573" i="1"/>
  <c r="Q573" i="1" s="1"/>
  <c r="O573" i="1"/>
  <c r="R573" i="1" s="1"/>
  <c r="M574" i="1"/>
  <c r="N574" i="1"/>
  <c r="Q574" i="1" s="1"/>
  <c r="O574" i="1"/>
  <c r="R574" i="1" s="1"/>
  <c r="P574" i="1"/>
  <c r="M575" i="1"/>
  <c r="N575" i="1"/>
  <c r="Q575" i="1" s="1"/>
  <c r="O575" i="1"/>
  <c r="R575" i="1" s="1"/>
  <c r="P575" i="1"/>
  <c r="M576" i="1"/>
  <c r="P576" i="1" s="1"/>
  <c r="N576" i="1"/>
  <c r="Q576" i="1" s="1"/>
  <c r="O576" i="1"/>
  <c r="R576" i="1"/>
  <c r="M577" i="1"/>
  <c r="P577" i="1" s="1"/>
  <c r="N577" i="1"/>
  <c r="Q577" i="1" s="1"/>
  <c r="O577" i="1"/>
  <c r="R577" i="1"/>
  <c r="M578" i="1"/>
  <c r="P578" i="1" s="1"/>
  <c r="N578" i="1"/>
  <c r="Q578" i="1" s="1"/>
  <c r="O578" i="1"/>
  <c r="R578" i="1" s="1"/>
  <c r="M579" i="1"/>
  <c r="P579" i="1" s="1"/>
  <c r="S579" i="1" s="1"/>
  <c r="T579" i="1" s="1"/>
  <c r="N579" i="1"/>
  <c r="Q579" i="1" s="1"/>
  <c r="O579" i="1"/>
  <c r="R579" i="1" s="1"/>
  <c r="M580" i="1"/>
  <c r="P580" i="1" s="1"/>
  <c r="N580" i="1"/>
  <c r="Q580" i="1" s="1"/>
  <c r="O580" i="1"/>
  <c r="R580" i="1" s="1"/>
  <c r="M581" i="1"/>
  <c r="P581" i="1" s="1"/>
  <c r="N581" i="1"/>
  <c r="Q581" i="1" s="1"/>
  <c r="O581" i="1"/>
  <c r="R581" i="1"/>
  <c r="M582" i="1"/>
  <c r="P582" i="1" s="1"/>
  <c r="S582" i="1" s="1"/>
  <c r="T582" i="1" s="1"/>
  <c r="N582" i="1"/>
  <c r="Q582" i="1" s="1"/>
  <c r="O582" i="1"/>
  <c r="R582" i="1" s="1"/>
  <c r="M583" i="1"/>
  <c r="P583" i="1" s="1"/>
  <c r="N583" i="1"/>
  <c r="Q583" i="1" s="1"/>
  <c r="O583" i="1"/>
  <c r="R583" i="1" s="1"/>
  <c r="M584" i="1"/>
  <c r="P584" i="1" s="1"/>
  <c r="N584" i="1"/>
  <c r="Q584" i="1" s="1"/>
  <c r="O584" i="1"/>
  <c r="R584" i="1" s="1"/>
  <c r="M585" i="1"/>
  <c r="P585" i="1" s="1"/>
  <c r="N585" i="1"/>
  <c r="O585" i="1"/>
  <c r="R585" i="1" s="1"/>
  <c r="Q585" i="1"/>
  <c r="S585" i="1" s="1"/>
  <c r="T585" i="1" s="1"/>
  <c r="M586" i="1"/>
  <c r="N586" i="1"/>
  <c r="O586" i="1"/>
  <c r="R586" i="1" s="1"/>
  <c r="P586" i="1"/>
  <c r="Q586" i="1"/>
  <c r="M587" i="1"/>
  <c r="P587" i="1" s="1"/>
  <c r="N587" i="1"/>
  <c r="Q587" i="1" s="1"/>
  <c r="O587" i="1"/>
  <c r="R587" i="1" s="1"/>
  <c r="M588" i="1"/>
  <c r="P588" i="1" s="1"/>
  <c r="N588" i="1"/>
  <c r="Q588" i="1" s="1"/>
  <c r="O588" i="1"/>
  <c r="R588" i="1" s="1"/>
  <c r="M589" i="1"/>
  <c r="N589" i="1"/>
  <c r="Q589" i="1" s="1"/>
  <c r="O589" i="1"/>
  <c r="R589" i="1" s="1"/>
  <c r="P589" i="1"/>
  <c r="S589" i="1" s="1"/>
  <c r="T589" i="1" s="1"/>
  <c r="M590" i="1"/>
  <c r="P590" i="1" s="1"/>
  <c r="N590" i="1"/>
  <c r="Q590" i="1" s="1"/>
  <c r="O590" i="1"/>
  <c r="R590" i="1" s="1"/>
  <c r="M591" i="1"/>
  <c r="P591" i="1" s="1"/>
  <c r="N591" i="1"/>
  <c r="Q591" i="1" s="1"/>
  <c r="O591" i="1"/>
  <c r="R591" i="1" s="1"/>
  <c r="M592" i="1"/>
  <c r="P592" i="1" s="1"/>
  <c r="N592" i="1"/>
  <c r="Q592" i="1" s="1"/>
  <c r="O592" i="1"/>
  <c r="R592" i="1" s="1"/>
  <c r="M593" i="1"/>
  <c r="P593" i="1" s="1"/>
  <c r="N593" i="1"/>
  <c r="Q593" i="1" s="1"/>
  <c r="O593" i="1"/>
  <c r="R593" i="1" s="1"/>
  <c r="M594" i="1"/>
  <c r="P594" i="1" s="1"/>
  <c r="N594" i="1"/>
  <c r="O594" i="1"/>
  <c r="Q594" i="1"/>
  <c r="R594" i="1"/>
  <c r="M595" i="1"/>
  <c r="P595" i="1" s="1"/>
  <c r="N595" i="1"/>
  <c r="Q595" i="1" s="1"/>
  <c r="O595" i="1"/>
  <c r="R595" i="1" s="1"/>
  <c r="M596" i="1"/>
  <c r="P596" i="1" s="1"/>
  <c r="N596" i="1"/>
  <c r="Q596" i="1" s="1"/>
  <c r="O596" i="1"/>
  <c r="R596" i="1" s="1"/>
  <c r="M597" i="1"/>
  <c r="P597" i="1" s="1"/>
  <c r="N597" i="1"/>
  <c r="O597" i="1"/>
  <c r="Q597" i="1"/>
  <c r="R597" i="1"/>
  <c r="M598" i="1"/>
  <c r="P598" i="1" s="1"/>
  <c r="N598" i="1"/>
  <c r="O598" i="1"/>
  <c r="R598" i="1" s="1"/>
  <c r="Q598" i="1"/>
  <c r="M599" i="1"/>
  <c r="P599" i="1" s="1"/>
  <c r="S599" i="1" s="1"/>
  <c r="T599" i="1" s="1"/>
  <c r="N599" i="1"/>
  <c r="Q599" i="1" s="1"/>
  <c r="O599" i="1"/>
  <c r="R599" i="1" s="1"/>
  <c r="M600" i="1"/>
  <c r="P600" i="1" s="1"/>
  <c r="N600" i="1"/>
  <c r="Q600" i="1" s="1"/>
  <c r="O600" i="1"/>
  <c r="R600" i="1" s="1"/>
  <c r="M601" i="1"/>
  <c r="P601" i="1" s="1"/>
  <c r="S601" i="1" s="1"/>
  <c r="T601" i="1" s="1"/>
  <c r="N601" i="1"/>
  <c r="Q601" i="1" s="1"/>
  <c r="O601" i="1"/>
  <c r="R601" i="1" s="1"/>
  <c r="M602" i="1"/>
  <c r="P602" i="1" s="1"/>
  <c r="N602" i="1"/>
  <c r="Q602" i="1" s="1"/>
  <c r="O602" i="1"/>
  <c r="R602" i="1" s="1"/>
  <c r="M603" i="1"/>
  <c r="P603" i="1" s="1"/>
  <c r="N603" i="1"/>
  <c r="Q603" i="1" s="1"/>
  <c r="O603" i="1"/>
  <c r="R603" i="1"/>
  <c r="M604" i="1"/>
  <c r="P604" i="1" s="1"/>
  <c r="N604" i="1"/>
  <c r="Q604" i="1" s="1"/>
  <c r="O604" i="1"/>
  <c r="R604" i="1" s="1"/>
  <c r="M605" i="1"/>
  <c r="P605" i="1" s="1"/>
  <c r="N605" i="1"/>
  <c r="Q605" i="1" s="1"/>
  <c r="O605" i="1"/>
  <c r="R605" i="1" s="1"/>
  <c r="M606" i="1"/>
  <c r="P606" i="1" s="1"/>
  <c r="N606" i="1"/>
  <c r="Q606" i="1" s="1"/>
  <c r="O606" i="1"/>
  <c r="R606" i="1" s="1"/>
  <c r="M607" i="1"/>
  <c r="P607" i="1" s="1"/>
  <c r="N607" i="1"/>
  <c r="Q607" i="1" s="1"/>
  <c r="O607" i="1"/>
  <c r="R607" i="1" s="1"/>
  <c r="M608" i="1"/>
  <c r="P608" i="1" s="1"/>
  <c r="N608" i="1"/>
  <c r="Q608" i="1" s="1"/>
  <c r="O608" i="1"/>
  <c r="R608" i="1" s="1"/>
  <c r="M609" i="1"/>
  <c r="P609" i="1" s="1"/>
  <c r="N609" i="1"/>
  <c r="O609" i="1"/>
  <c r="R609" i="1" s="1"/>
  <c r="Q609" i="1"/>
  <c r="S609" i="1" s="1"/>
  <c r="T609" i="1" s="1"/>
  <c r="M610" i="1"/>
  <c r="N610" i="1"/>
  <c r="O610" i="1"/>
  <c r="R610" i="1" s="1"/>
  <c r="P610" i="1"/>
  <c r="Q610" i="1"/>
  <c r="M611" i="1"/>
  <c r="P611" i="1" s="1"/>
  <c r="N611" i="1"/>
  <c r="Q611" i="1" s="1"/>
  <c r="O611" i="1"/>
  <c r="R611" i="1" s="1"/>
  <c r="M612" i="1"/>
  <c r="P612" i="1" s="1"/>
  <c r="N612" i="1"/>
  <c r="Q612" i="1" s="1"/>
  <c r="O612" i="1"/>
  <c r="R612" i="1" s="1"/>
  <c r="M613" i="1"/>
  <c r="N613" i="1"/>
  <c r="Q613" i="1" s="1"/>
  <c r="O613" i="1"/>
  <c r="R613" i="1" s="1"/>
  <c r="P613" i="1"/>
  <c r="S613" i="1" s="1"/>
  <c r="T613" i="1" s="1"/>
  <c r="M614" i="1"/>
  <c r="P614" i="1" s="1"/>
  <c r="N614" i="1"/>
  <c r="Q614" i="1" s="1"/>
  <c r="O614" i="1"/>
  <c r="R614" i="1" s="1"/>
  <c r="M615" i="1"/>
  <c r="P615" i="1" s="1"/>
  <c r="N615" i="1"/>
  <c r="Q615" i="1" s="1"/>
  <c r="O615" i="1"/>
  <c r="R615" i="1"/>
  <c r="M616" i="1"/>
  <c r="P616" i="1" s="1"/>
  <c r="N616" i="1"/>
  <c r="Q616" i="1" s="1"/>
  <c r="O616" i="1"/>
  <c r="R616" i="1" s="1"/>
  <c r="M617" i="1"/>
  <c r="P617" i="1" s="1"/>
  <c r="N617" i="1"/>
  <c r="Q617" i="1" s="1"/>
  <c r="O617" i="1"/>
  <c r="R617" i="1" s="1"/>
  <c r="M618" i="1"/>
  <c r="P618" i="1" s="1"/>
  <c r="N618" i="1"/>
  <c r="O618" i="1"/>
  <c r="Q618" i="1"/>
  <c r="R618" i="1"/>
  <c r="M619" i="1"/>
  <c r="P619" i="1" s="1"/>
  <c r="N619" i="1"/>
  <c r="Q619" i="1" s="1"/>
  <c r="O619" i="1"/>
  <c r="R619" i="1" s="1"/>
  <c r="M620" i="1"/>
  <c r="P620" i="1" s="1"/>
  <c r="N620" i="1"/>
  <c r="Q620" i="1" s="1"/>
  <c r="O620" i="1"/>
  <c r="R620" i="1" s="1"/>
  <c r="M621" i="1"/>
  <c r="P621" i="1" s="1"/>
  <c r="N621" i="1"/>
  <c r="O621" i="1"/>
  <c r="Q621" i="1"/>
  <c r="R621" i="1"/>
  <c r="M622" i="1"/>
  <c r="N622" i="1"/>
  <c r="Q622" i="1" s="1"/>
  <c r="O622" i="1"/>
  <c r="R622" i="1" s="1"/>
  <c r="P622" i="1"/>
  <c r="M623" i="1"/>
  <c r="P623" i="1" s="1"/>
  <c r="N623" i="1"/>
  <c r="Q623" i="1" s="1"/>
  <c r="O623" i="1"/>
  <c r="R623" i="1" s="1"/>
  <c r="M624" i="1"/>
  <c r="P624" i="1" s="1"/>
  <c r="N624" i="1"/>
  <c r="Q624" i="1" s="1"/>
  <c r="O624" i="1"/>
  <c r="R624" i="1" s="1"/>
  <c r="M625" i="1"/>
  <c r="N625" i="1"/>
  <c r="Q625" i="1" s="1"/>
  <c r="O625" i="1"/>
  <c r="R625" i="1" s="1"/>
  <c r="P625" i="1"/>
  <c r="S625" i="1" s="1"/>
  <c r="T625" i="1" s="1"/>
  <c r="M626" i="1"/>
  <c r="P626" i="1" s="1"/>
  <c r="N626" i="1"/>
  <c r="Q626" i="1" s="1"/>
  <c r="O626" i="1"/>
  <c r="R626" i="1" s="1"/>
  <c r="M627" i="1"/>
  <c r="P627" i="1" s="1"/>
  <c r="N627" i="1"/>
  <c r="Q627" i="1" s="1"/>
  <c r="O627" i="1"/>
  <c r="R627" i="1"/>
  <c r="M628" i="1"/>
  <c r="P628" i="1" s="1"/>
  <c r="N628" i="1"/>
  <c r="Q628" i="1" s="1"/>
  <c r="O628" i="1"/>
  <c r="R628" i="1" s="1"/>
  <c r="M629" i="1"/>
  <c r="P629" i="1" s="1"/>
  <c r="N629" i="1"/>
  <c r="Q629" i="1" s="1"/>
  <c r="O629" i="1"/>
  <c r="R629" i="1" s="1"/>
  <c r="M630" i="1"/>
  <c r="P630" i="1" s="1"/>
  <c r="N630" i="1"/>
  <c r="O630" i="1"/>
  <c r="Q630" i="1"/>
  <c r="R630" i="1"/>
  <c r="M631" i="1"/>
  <c r="P631" i="1" s="1"/>
  <c r="S631" i="1" s="1"/>
  <c r="T631" i="1" s="1"/>
  <c r="N631" i="1"/>
  <c r="O631" i="1"/>
  <c r="R631" i="1" s="1"/>
  <c r="Q631" i="1"/>
  <c r="M632" i="1"/>
  <c r="P632" i="1" s="1"/>
  <c r="N632" i="1"/>
  <c r="Q632" i="1" s="1"/>
  <c r="O632" i="1"/>
  <c r="R632" i="1" s="1"/>
  <c r="M633" i="1"/>
  <c r="P633" i="1" s="1"/>
  <c r="N633" i="1"/>
  <c r="O633" i="1"/>
  <c r="Q633" i="1"/>
  <c r="S633" i="1" s="1"/>
  <c r="T633" i="1" s="1"/>
  <c r="R633" i="1"/>
  <c r="M634" i="1"/>
  <c r="P634" i="1" s="1"/>
  <c r="N634" i="1"/>
  <c r="O634" i="1"/>
  <c r="R634" i="1" s="1"/>
  <c r="Q634" i="1"/>
  <c r="M635" i="1"/>
  <c r="P635" i="1" s="1"/>
  <c r="N635" i="1"/>
  <c r="Q635" i="1" s="1"/>
  <c r="O635" i="1"/>
  <c r="R635" i="1" s="1"/>
  <c r="M636" i="1"/>
  <c r="P636" i="1" s="1"/>
  <c r="N636" i="1"/>
  <c r="Q636" i="1" s="1"/>
  <c r="O636" i="1"/>
  <c r="R636" i="1" s="1"/>
  <c r="M637" i="1"/>
  <c r="P637" i="1" s="1"/>
  <c r="S637" i="1" s="1"/>
  <c r="T637" i="1" s="1"/>
  <c r="N637" i="1"/>
  <c r="Q637" i="1" s="1"/>
  <c r="O637" i="1"/>
  <c r="R637" i="1" s="1"/>
  <c r="M638" i="1"/>
  <c r="P638" i="1" s="1"/>
  <c r="N638" i="1"/>
  <c r="Q638" i="1" s="1"/>
  <c r="O638" i="1"/>
  <c r="R638" i="1" s="1"/>
  <c r="M639" i="1"/>
  <c r="P639" i="1" s="1"/>
  <c r="N639" i="1"/>
  <c r="Q639" i="1" s="1"/>
  <c r="O639" i="1"/>
  <c r="R639" i="1"/>
  <c r="M640" i="1"/>
  <c r="P640" i="1" s="1"/>
  <c r="N640" i="1"/>
  <c r="Q640" i="1" s="1"/>
  <c r="O640" i="1"/>
  <c r="R640" i="1" s="1"/>
  <c r="M641" i="1"/>
  <c r="P641" i="1" s="1"/>
  <c r="N641" i="1"/>
  <c r="Q641" i="1" s="1"/>
  <c r="O641" i="1"/>
  <c r="R641" i="1" s="1"/>
  <c r="M642" i="1"/>
  <c r="P642" i="1" s="1"/>
  <c r="N642" i="1"/>
  <c r="Q642" i="1" s="1"/>
  <c r="O642" i="1"/>
  <c r="R642" i="1" s="1"/>
  <c r="M643" i="1"/>
  <c r="P643" i="1" s="1"/>
  <c r="N643" i="1"/>
  <c r="O643" i="1"/>
  <c r="R643" i="1" s="1"/>
  <c r="Q643" i="1"/>
  <c r="M644" i="1"/>
  <c r="P644" i="1" s="1"/>
  <c r="N644" i="1"/>
  <c r="Q644" i="1" s="1"/>
  <c r="O644" i="1"/>
  <c r="R644" i="1" s="1"/>
  <c r="M645" i="1"/>
  <c r="P645" i="1" s="1"/>
  <c r="N645" i="1"/>
  <c r="Q645" i="1" s="1"/>
  <c r="S645" i="1" s="1"/>
  <c r="T645" i="1" s="1"/>
  <c r="O645" i="1"/>
  <c r="R645" i="1" s="1"/>
  <c r="M646" i="1"/>
  <c r="N646" i="1"/>
  <c r="Q646" i="1" s="1"/>
  <c r="O646" i="1"/>
  <c r="R646" i="1" s="1"/>
  <c r="P646" i="1"/>
  <c r="M647" i="1"/>
  <c r="P647" i="1" s="1"/>
  <c r="N647" i="1"/>
  <c r="Q647" i="1" s="1"/>
  <c r="O647" i="1"/>
  <c r="R647" i="1" s="1"/>
  <c r="M648" i="1"/>
  <c r="P648" i="1" s="1"/>
  <c r="N648" i="1"/>
  <c r="Q648" i="1" s="1"/>
  <c r="O648" i="1"/>
  <c r="R648" i="1" s="1"/>
  <c r="M649" i="1"/>
  <c r="N649" i="1"/>
  <c r="Q649" i="1" s="1"/>
  <c r="O649" i="1"/>
  <c r="R649" i="1" s="1"/>
  <c r="P649" i="1"/>
  <c r="S649" i="1" s="1"/>
  <c r="T649" i="1" s="1"/>
  <c r="M650" i="1"/>
  <c r="P650" i="1" s="1"/>
  <c r="N650" i="1"/>
  <c r="Q650" i="1" s="1"/>
  <c r="O650" i="1"/>
  <c r="R650" i="1" s="1"/>
  <c r="M651" i="1"/>
  <c r="P651" i="1" s="1"/>
  <c r="N651" i="1"/>
  <c r="Q651" i="1" s="1"/>
  <c r="O651" i="1"/>
  <c r="R651" i="1"/>
  <c r="M652" i="1"/>
  <c r="P652" i="1" s="1"/>
  <c r="N652" i="1"/>
  <c r="Q652" i="1" s="1"/>
  <c r="O652" i="1"/>
  <c r="R652" i="1" s="1"/>
  <c r="M653" i="1"/>
  <c r="P653" i="1" s="1"/>
  <c r="N653" i="1"/>
  <c r="Q653" i="1" s="1"/>
  <c r="O653" i="1"/>
  <c r="R653" i="1" s="1"/>
  <c r="M654" i="1"/>
  <c r="P654" i="1" s="1"/>
  <c r="N654" i="1"/>
  <c r="O654" i="1"/>
  <c r="Q654" i="1"/>
  <c r="R654" i="1"/>
  <c r="S654" i="1"/>
  <c r="T654" i="1" s="1"/>
  <c r="M655" i="1"/>
  <c r="N655" i="1"/>
  <c r="O655" i="1"/>
  <c r="R655" i="1" s="1"/>
  <c r="P655" i="1"/>
  <c r="Q655" i="1"/>
  <c r="M656" i="1"/>
  <c r="P656" i="1" s="1"/>
  <c r="S656" i="1" s="1"/>
  <c r="T656" i="1" s="1"/>
  <c r="N656" i="1"/>
  <c r="Q656" i="1" s="1"/>
  <c r="O656" i="1"/>
  <c r="R656" i="1" s="1"/>
  <c r="M657" i="1"/>
  <c r="P657" i="1" s="1"/>
  <c r="N657" i="1"/>
  <c r="O657" i="1"/>
  <c r="R657" i="1" s="1"/>
  <c r="Q657" i="1"/>
  <c r="M658" i="1"/>
  <c r="N658" i="1"/>
  <c r="O658" i="1"/>
  <c r="R658" i="1" s="1"/>
  <c r="P658" i="1"/>
  <c r="Q658" i="1"/>
  <c r="M659" i="1"/>
  <c r="P659" i="1" s="1"/>
  <c r="S659" i="1" s="1"/>
  <c r="T659" i="1" s="1"/>
  <c r="N659" i="1"/>
  <c r="Q659" i="1" s="1"/>
  <c r="O659" i="1"/>
  <c r="R659" i="1" s="1"/>
  <c r="M660" i="1"/>
  <c r="P660" i="1" s="1"/>
  <c r="N660" i="1"/>
  <c r="Q660" i="1" s="1"/>
  <c r="O660" i="1"/>
  <c r="R660" i="1"/>
  <c r="M661" i="1"/>
  <c r="P661" i="1" s="1"/>
  <c r="N661" i="1"/>
  <c r="Q661" i="1" s="1"/>
  <c r="O661" i="1"/>
  <c r="R661" i="1" s="1"/>
  <c r="M662" i="1"/>
  <c r="P662" i="1" s="1"/>
  <c r="N662" i="1"/>
  <c r="Q662" i="1" s="1"/>
  <c r="O662" i="1"/>
  <c r="R662" i="1" s="1"/>
  <c r="M663" i="1"/>
  <c r="P663" i="1" s="1"/>
  <c r="N663" i="1"/>
  <c r="Q663" i="1" s="1"/>
  <c r="S663" i="1" s="1"/>
  <c r="T663" i="1" s="1"/>
  <c r="O663" i="1"/>
  <c r="R663" i="1"/>
  <c r="M664" i="1"/>
  <c r="P664" i="1" s="1"/>
  <c r="N664" i="1"/>
  <c r="Q664" i="1" s="1"/>
  <c r="O664" i="1"/>
  <c r="R664" i="1" s="1"/>
  <c r="M665" i="1"/>
  <c r="P665" i="1" s="1"/>
  <c r="N665" i="1"/>
  <c r="Q665" i="1" s="1"/>
  <c r="O665" i="1"/>
  <c r="R665" i="1" s="1"/>
  <c r="M666" i="1"/>
  <c r="P666" i="1" s="1"/>
  <c r="N666" i="1"/>
  <c r="Q666" i="1" s="1"/>
  <c r="O666" i="1"/>
  <c r="R666" i="1" s="1"/>
  <c r="M667" i="1"/>
  <c r="P667" i="1" s="1"/>
  <c r="N667" i="1"/>
  <c r="Q667" i="1" s="1"/>
  <c r="O667" i="1"/>
  <c r="R667" i="1" s="1"/>
  <c r="M668" i="1"/>
  <c r="P668" i="1" s="1"/>
  <c r="S668" i="1" s="1"/>
  <c r="T668" i="1" s="1"/>
  <c r="N668" i="1"/>
  <c r="Q668" i="1" s="1"/>
  <c r="O668" i="1"/>
  <c r="R668" i="1" s="1"/>
  <c r="M669" i="1"/>
  <c r="P669" i="1" s="1"/>
  <c r="S669" i="1" s="1"/>
  <c r="T669" i="1" s="1"/>
  <c r="N669" i="1"/>
  <c r="Q669" i="1" s="1"/>
  <c r="O669" i="1"/>
  <c r="R669" i="1" s="1"/>
  <c r="M670" i="1"/>
  <c r="P670" i="1" s="1"/>
  <c r="N670" i="1"/>
  <c r="Q670" i="1" s="1"/>
  <c r="O670" i="1"/>
  <c r="R670" i="1" s="1"/>
  <c r="M671" i="1"/>
  <c r="P671" i="1" s="1"/>
  <c r="N671" i="1"/>
  <c r="Q671" i="1" s="1"/>
  <c r="O671" i="1"/>
  <c r="R671" i="1" s="1"/>
  <c r="M672" i="1"/>
  <c r="P672" i="1" s="1"/>
  <c r="N672" i="1"/>
  <c r="Q672" i="1" s="1"/>
  <c r="O672" i="1"/>
  <c r="R672" i="1"/>
  <c r="M673" i="1"/>
  <c r="P673" i="1" s="1"/>
  <c r="N673" i="1"/>
  <c r="Q673" i="1" s="1"/>
  <c r="O673" i="1"/>
  <c r="R673" i="1" s="1"/>
  <c r="M674" i="1"/>
  <c r="P674" i="1" s="1"/>
  <c r="N674" i="1"/>
  <c r="Q674" i="1" s="1"/>
  <c r="O674" i="1"/>
  <c r="R674" i="1" s="1"/>
  <c r="M675" i="1"/>
  <c r="P675" i="1" s="1"/>
  <c r="S675" i="1" s="1"/>
  <c r="T675" i="1" s="1"/>
  <c r="N675" i="1"/>
  <c r="Q675" i="1" s="1"/>
  <c r="O675" i="1"/>
  <c r="R675" i="1" s="1"/>
  <c r="M676" i="1"/>
  <c r="P676" i="1" s="1"/>
  <c r="N676" i="1"/>
  <c r="Q676" i="1" s="1"/>
  <c r="O676" i="1"/>
  <c r="R676" i="1" s="1"/>
  <c r="M677" i="1"/>
  <c r="P677" i="1" s="1"/>
  <c r="N677" i="1"/>
  <c r="Q677" i="1" s="1"/>
  <c r="O677" i="1"/>
  <c r="R677" i="1" s="1"/>
  <c r="M678" i="1"/>
  <c r="P678" i="1" s="1"/>
  <c r="N678" i="1"/>
  <c r="Q678" i="1" s="1"/>
  <c r="O678" i="1"/>
  <c r="R678" i="1" s="1"/>
  <c r="M679" i="1"/>
  <c r="P679" i="1" s="1"/>
  <c r="N679" i="1"/>
  <c r="Q679" i="1" s="1"/>
  <c r="O679" i="1"/>
  <c r="R679" i="1" s="1"/>
  <c r="M680" i="1"/>
  <c r="P680" i="1" s="1"/>
  <c r="N680" i="1"/>
  <c r="Q680" i="1" s="1"/>
  <c r="O680" i="1"/>
  <c r="R680" i="1" s="1"/>
  <c r="M681" i="1"/>
  <c r="P681" i="1" s="1"/>
  <c r="N681" i="1"/>
  <c r="Q681" i="1" s="1"/>
  <c r="O681" i="1"/>
  <c r="R681" i="1" s="1"/>
  <c r="M682" i="1"/>
  <c r="N682" i="1"/>
  <c r="Q682" i="1" s="1"/>
  <c r="O682" i="1"/>
  <c r="R682" i="1" s="1"/>
  <c r="P682" i="1"/>
  <c r="M683" i="1"/>
  <c r="P683" i="1" s="1"/>
  <c r="S683" i="1" s="1"/>
  <c r="T683" i="1" s="1"/>
  <c r="N683" i="1"/>
  <c r="Q683" i="1" s="1"/>
  <c r="O683" i="1"/>
  <c r="R683" i="1" s="1"/>
  <c r="M684" i="1"/>
  <c r="P684" i="1" s="1"/>
  <c r="N684" i="1"/>
  <c r="Q684" i="1" s="1"/>
  <c r="O684" i="1"/>
  <c r="R684" i="1" s="1"/>
  <c r="M685" i="1"/>
  <c r="P685" i="1" s="1"/>
  <c r="N685" i="1"/>
  <c r="Q685" i="1" s="1"/>
  <c r="O685" i="1"/>
  <c r="R685" i="1" s="1"/>
  <c r="M686" i="1"/>
  <c r="P686" i="1" s="1"/>
  <c r="N686" i="1"/>
  <c r="Q686" i="1" s="1"/>
  <c r="O686" i="1"/>
  <c r="R686" i="1" s="1"/>
  <c r="M687" i="1"/>
  <c r="P687" i="1" s="1"/>
  <c r="N687" i="1"/>
  <c r="O687" i="1"/>
  <c r="Q687" i="1"/>
  <c r="R687" i="1"/>
  <c r="M688" i="1"/>
  <c r="P688" i="1" s="1"/>
  <c r="N688" i="1"/>
  <c r="Q688" i="1" s="1"/>
  <c r="O688" i="1"/>
  <c r="R688" i="1" s="1"/>
  <c r="M689" i="1"/>
  <c r="P689" i="1" s="1"/>
  <c r="N689" i="1"/>
  <c r="Q689" i="1" s="1"/>
  <c r="O689" i="1"/>
  <c r="R689" i="1" s="1"/>
  <c r="M690" i="1"/>
  <c r="N690" i="1"/>
  <c r="Q690" i="1" s="1"/>
  <c r="O690" i="1"/>
  <c r="R690" i="1" s="1"/>
  <c r="P690" i="1"/>
  <c r="S690" i="1" s="1"/>
  <c r="T690" i="1" s="1"/>
  <c r="M691" i="1"/>
  <c r="P691" i="1" s="1"/>
  <c r="N691" i="1"/>
  <c r="Q691" i="1" s="1"/>
  <c r="O691" i="1"/>
  <c r="R691" i="1" s="1"/>
  <c r="M692" i="1"/>
  <c r="P692" i="1" s="1"/>
  <c r="N692" i="1"/>
  <c r="Q692" i="1" s="1"/>
  <c r="O692" i="1"/>
  <c r="R692" i="1" s="1"/>
  <c r="S692" i="1"/>
  <c r="T692" i="1" s="1"/>
  <c r="M693" i="1"/>
  <c r="P693" i="1" s="1"/>
  <c r="N693" i="1"/>
  <c r="O693" i="1"/>
  <c r="Q693" i="1"/>
  <c r="R693" i="1"/>
  <c r="M694" i="1"/>
  <c r="P694" i="1" s="1"/>
  <c r="N694" i="1"/>
  <c r="Q694" i="1" s="1"/>
  <c r="O694" i="1"/>
  <c r="R694" i="1" s="1"/>
  <c r="M695" i="1"/>
  <c r="P695" i="1" s="1"/>
  <c r="N695" i="1"/>
  <c r="Q695" i="1" s="1"/>
  <c r="S695" i="1" s="1"/>
  <c r="T695" i="1" s="1"/>
  <c r="O695" i="1"/>
  <c r="R695" i="1" s="1"/>
  <c r="M696" i="1"/>
  <c r="P696" i="1" s="1"/>
  <c r="N696" i="1"/>
  <c r="O696" i="1"/>
  <c r="R696" i="1" s="1"/>
  <c r="Q696" i="1"/>
  <c r="M697" i="1"/>
  <c r="P697" i="1" s="1"/>
  <c r="N697" i="1"/>
  <c r="Q697" i="1" s="1"/>
  <c r="O697" i="1"/>
  <c r="R697" i="1" s="1"/>
  <c r="M698" i="1"/>
  <c r="P698" i="1" s="1"/>
  <c r="N698" i="1"/>
  <c r="Q698" i="1" s="1"/>
  <c r="O698" i="1"/>
  <c r="R698" i="1" s="1"/>
  <c r="M699" i="1"/>
  <c r="P699" i="1" s="1"/>
  <c r="N699" i="1"/>
  <c r="Q699" i="1" s="1"/>
  <c r="O699" i="1"/>
  <c r="R699" i="1" s="1"/>
  <c r="M700" i="1"/>
  <c r="N700" i="1"/>
  <c r="Q700" i="1" s="1"/>
  <c r="O700" i="1"/>
  <c r="R700" i="1" s="1"/>
  <c r="P700" i="1"/>
  <c r="M701" i="1"/>
  <c r="P701" i="1" s="1"/>
  <c r="S701" i="1" s="1"/>
  <c r="T701" i="1" s="1"/>
  <c r="N701" i="1"/>
  <c r="Q701" i="1" s="1"/>
  <c r="O701" i="1"/>
  <c r="R701" i="1" s="1"/>
  <c r="M702" i="1"/>
  <c r="P702" i="1" s="1"/>
  <c r="N702" i="1"/>
  <c r="Q702" i="1" s="1"/>
  <c r="O702" i="1"/>
  <c r="R702" i="1" s="1"/>
  <c r="M703" i="1"/>
  <c r="N703" i="1"/>
  <c r="O703" i="1"/>
  <c r="R703" i="1" s="1"/>
  <c r="P703" i="1"/>
  <c r="Q703" i="1"/>
  <c r="M704" i="1"/>
  <c r="P704" i="1" s="1"/>
  <c r="N704" i="1"/>
  <c r="Q704" i="1" s="1"/>
  <c r="O704" i="1"/>
  <c r="R704" i="1"/>
  <c r="M705" i="1"/>
  <c r="P705" i="1" s="1"/>
  <c r="N705" i="1"/>
  <c r="Q705" i="1" s="1"/>
  <c r="O705" i="1"/>
  <c r="R705" i="1" s="1"/>
  <c r="M706" i="1"/>
  <c r="P706" i="1" s="1"/>
  <c r="N706" i="1"/>
  <c r="Q706" i="1" s="1"/>
  <c r="O706" i="1"/>
  <c r="R706" i="1" s="1"/>
  <c r="M707" i="1"/>
  <c r="P707" i="1" s="1"/>
  <c r="N707" i="1"/>
  <c r="Q707" i="1" s="1"/>
  <c r="O707" i="1"/>
  <c r="R707" i="1" s="1"/>
  <c r="M708" i="1"/>
  <c r="N708" i="1"/>
  <c r="Q708" i="1" s="1"/>
  <c r="O708" i="1"/>
  <c r="R708" i="1" s="1"/>
  <c r="P708" i="1"/>
  <c r="M709" i="1"/>
  <c r="N709" i="1"/>
  <c r="O709" i="1"/>
  <c r="R709" i="1" s="1"/>
  <c r="P709" i="1"/>
  <c r="Q709" i="1"/>
  <c r="M710" i="1"/>
  <c r="P710" i="1" s="1"/>
  <c r="N710" i="1"/>
  <c r="Q710" i="1" s="1"/>
  <c r="O710" i="1"/>
  <c r="R710" i="1" s="1"/>
  <c r="S710" i="1"/>
  <c r="T710" i="1" s="1"/>
  <c r="M711" i="1"/>
  <c r="P711" i="1" s="1"/>
  <c r="N711" i="1"/>
  <c r="Q711" i="1" s="1"/>
  <c r="O711" i="1"/>
  <c r="R711" i="1" s="1"/>
  <c r="M712" i="1"/>
  <c r="P712" i="1" s="1"/>
  <c r="N712" i="1"/>
  <c r="Q712" i="1" s="1"/>
  <c r="O712" i="1"/>
  <c r="R712" i="1" s="1"/>
  <c r="M713" i="1"/>
  <c r="P713" i="1" s="1"/>
  <c r="N713" i="1"/>
  <c r="Q713" i="1" s="1"/>
  <c r="O713" i="1"/>
  <c r="R713" i="1"/>
  <c r="M714" i="1"/>
  <c r="P714" i="1" s="1"/>
  <c r="S714" i="1" s="1"/>
  <c r="T714" i="1" s="1"/>
  <c r="N714" i="1"/>
  <c r="Q714" i="1" s="1"/>
  <c r="O714" i="1"/>
  <c r="R714" i="1" s="1"/>
  <c r="M715" i="1"/>
  <c r="P715" i="1" s="1"/>
  <c r="N715" i="1"/>
  <c r="Q715" i="1" s="1"/>
  <c r="O715" i="1"/>
  <c r="R715" i="1" s="1"/>
  <c r="M716" i="1"/>
  <c r="P716" i="1" s="1"/>
  <c r="N716" i="1"/>
  <c r="Q716" i="1" s="1"/>
  <c r="O716" i="1"/>
  <c r="R716" i="1" s="1"/>
  <c r="M717" i="1"/>
  <c r="P717" i="1" s="1"/>
  <c r="N717" i="1"/>
  <c r="Q717" i="1" s="1"/>
  <c r="O717" i="1"/>
  <c r="R717" i="1"/>
  <c r="M718" i="1"/>
  <c r="P718" i="1" s="1"/>
  <c r="N718" i="1"/>
  <c r="Q718" i="1" s="1"/>
  <c r="O718" i="1"/>
  <c r="R718" i="1" s="1"/>
  <c r="M719" i="1"/>
  <c r="P719" i="1" s="1"/>
  <c r="N719" i="1"/>
  <c r="Q719" i="1" s="1"/>
  <c r="O719" i="1"/>
  <c r="R719" i="1" s="1"/>
  <c r="M720" i="1"/>
  <c r="P720" i="1" s="1"/>
  <c r="N720" i="1"/>
  <c r="Q720" i="1" s="1"/>
  <c r="O720" i="1"/>
  <c r="R720" i="1"/>
  <c r="M721" i="1"/>
  <c r="P721" i="1" s="1"/>
  <c r="N721" i="1"/>
  <c r="Q721" i="1" s="1"/>
  <c r="O721" i="1"/>
  <c r="R721" i="1" s="1"/>
  <c r="M722" i="1"/>
  <c r="P722" i="1" s="1"/>
  <c r="N722" i="1"/>
  <c r="Q722" i="1" s="1"/>
  <c r="O722" i="1"/>
  <c r="R722" i="1"/>
  <c r="M723" i="1"/>
  <c r="P723" i="1" s="1"/>
  <c r="S723" i="1" s="1"/>
  <c r="T723" i="1" s="1"/>
  <c r="N723" i="1"/>
  <c r="Q723" i="1" s="1"/>
  <c r="O723" i="1"/>
  <c r="R723" i="1" s="1"/>
  <c r="M724" i="1"/>
  <c r="P724" i="1" s="1"/>
  <c r="S724" i="1" s="1"/>
  <c r="T724" i="1" s="1"/>
  <c r="N724" i="1"/>
  <c r="Q724" i="1" s="1"/>
  <c r="O724" i="1"/>
  <c r="R724" i="1" s="1"/>
  <c r="M725" i="1"/>
  <c r="P725" i="1" s="1"/>
  <c r="N725" i="1"/>
  <c r="Q725" i="1" s="1"/>
  <c r="O725" i="1"/>
  <c r="R725" i="1"/>
  <c r="M726" i="1"/>
  <c r="P726" i="1" s="1"/>
  <c r="N726" i="1"/>
  <c r="O726" i="1"/>
  <c r="Q726" i="1"/>
  <c r="R726" i="1"/>
  <c r="M727" i="1"/>
  <c r="P727" i="1" s="1"/>
  <c r="N727" i="1"/>
  <c r="Q727" i="1" s="1"/>
  <c r="O727" i="1"/>
  <c r="R727" i="1" s="1"/>
  <c r="M728" i="1"/>
  <c r="P728" i="1" s="1"/>
  <c r="N728" i="1"/>
  <c r="Q728" i="1" s="1"/>
  <c r="O728" i="1"/>
  <c r="R728" i="1" s="1"/>
  <c r="S728" i="1"/>
  <c r="T728" i="1" s="1"/>
  <c r="M729" i="1"/>
  <c r="N729" i="1"/>
  <c r="Q729" i="1" s="1"/>
  <c r="O729" i="1"/>
  <c r="P729" i="1"/>
  <c r="R729" i="1"/>
  <c r="M730" i="1"/>
  <c r="P730" i="1" s="1"/>
  <c r="N730" i="1"/>
  <c r="Q730" i="1" s="1"/>
  <c r="O730" i="1"/>
  <c r="R730" i="1" s="1"/>
  <c r="M731" i="1"/>
  <c r="P731" i="1" s="1"/>
  <c r="N731" i="1"/>
  <c r="Q731" i="1" s="1"/>
  <c r="O731" i="1"/>
  <c r="R731" i="1" s="1"/>
  <c r="M732" i="1"/>
  <c r="N732" i="1"/>
  <c r="Q732" i="1" s="1"/>
  <c r="O732" i="1"/>
  <c r="P732" i="1"/>
  <c r="R732" i="1"/>
  <c r="M733" i="1"/>
  <c r="P733" i="1" s="1"/>
  <c r="N733" i="1"/>
  <c r="Q733" i="1" s="1"/>
  <c r="O733" i="1"/>
  <c r="R733" i="1" s="1"/>
  <c r="M734" i="1"/>
  <c r="P734" i="1" s="1"/>
  <c r="N734" i="1"/>
  <c r="Q734" i="1" s="1"/>
  <c r="O734" i="1"/>
  <c r="R734" i="1" s="1"/>
  <c r="M735" i="1"/>
  <c r="P735" i="1" s="1"/>
  <c r="N735" i="1"/>
  <c r="O735" i="1"/>
  <c r="R735" i="1" s="1"/>
  <c r="Q735" i="1"/>
  <c r="M736" i="1"/>
  <c r="P736" i="1" s="1"/>
  <c r="N736" i="1"/>
  <c r="Q736" i="1" s="1"/>
  <c r="O736" i="1"/>
  <c r="R736" i="1" s="1"/>
  <c r="M737" i="1"/>
  <c r="P737" i="1" s="1"/>
  <c r="N737" i="1"/>
  <c r="Q737" i="1" s="1"/>
  <c r="O737" i="1"/>
  <c r="R737" i="1" s="1"/>
  <c r="M738" i="1"/>
  <c r="P738" i="1" s="1"/>
  <c r="N738" i="1"/>
  <c r="Q738" i="1" s="1"/>
  <c r="O738" i="1"/>
  <c r="R738" i="1" s="1"/>
  <c r="O2" i="1"/>
  <c r="R2" i="1" s="1"/>
  <c r="N2" i="1"/>
  <c r="Q2" i="1" s="1"/>
  <c r="M2" i="1"/>
  <c r="P2" i="1" s="1"/>
  <c r="S2" i="1" s="1"/>
  <c r="T2" i="1" s="1"/>
  <c r="Z10" i="2" l="1"/>
  <c r="S188" i="2"/>
  <c r="T188" i="2" s="1"/>
  <c r="S215" i="2"/>
  <c r="T215" i="2" s="1"/>
  <c r="S238" i="2"/>
  <c r="T238" i="2" s="1"/>
  <c r="S72" i="2"/>
  <c r="T72" i="2" s="1"/>
  <c r="S35" i="2"/>
  <c r="T35" i="2" s="1"/>
  <c r="S137" i="2"/>
  <c r="T137" i="2" s="1"/>
  <c r="S205" i="2"/>
  <c r="T205" i="2" s="1"/>
  <c r="T255" i="2"/>
  <c r="S71" i="2"/>
  <c r="T71" i="2" s="1"/>
  <c r="S134" i="2"/>
  <c r="T134" i="2" s="1"/>
  <c r="S149" i="2"/>
  <c r="T149" i="2" s="1"/>
  <c r="S191" i="2"/>
  <c r="T191" i="2" s="1"/>
  <c r="AB9" i="2"/>
  <c r="S12" i="2"/>
  <c r="T12" i="2" s="1"/>
  <c r="S21" i="2"/>
  <c r="T21" i="2" s="1"/>
  <c r="S25" i="2"/>
  <c r="T25" i="2" s="1"/>
  <c r="S40" i="2"/>
  <c r="T40" i="2" s="1"/>
  <c r="S44" i="2"/>
  <c r="T44" i="2" s="1"/>
  <c r="S57" i="2"/>
  <c r="T57" i="2" s="1"/>
  <c r="S61" i="2"/>
  <c r="T61" i="2" s="1"/>
  <c r="S76" i="2"/>
  <c r="T76" i="2" s="1"/>
  <c r="S80" i="2"/>
  <c r="T80" i="2" s="1"/>
  <c r="S85" i="2"/>
  <c r="T85" i="2" s="1"/>
  <c r="S88" i="2"/>
  <c r="T88" i="2" s="1"/>
  <c r="S91" i="2"/>
  <c r="T91" i="2" s="1"/>
  <c r="S94" i="2"/>
  <c r="T94" i="2" s="1"/>
  <c r="S99" i="2"/>
  <c r="T99" i="2" s="1"/>
  <c r="S114" i="2"/>
  <c r="T114" i="2" s="1"/>
  <c r="S144" i="2"/>
  <c r="T144" i="2" s="1"/>
  <c r="S171" i="2"/>
  <c r="T171" i="2" s="1"/>
  <c r="S210" i="2"/>
  <c r="T210" i="2" s="1"/>
  <c r="S247" i="2"/>
  <c r="T247" i="2" s="1"/>
  <c r="R255" i="2"/>
  <c r="Z16" i="2" s="1"/>
  <c r="AB16" i="2"/>
  <c r="S265" i="2"/>
  <c r="T265" i="2" s="1"/>
  <c r="S300" i="2"/>
  <c r="T300" i="2" s="1"/>
  <c r="S304" i="2"/>
  <c r="T304" i="2" s="1"/>
  <c r="S308" i="2"/>
  <c r="T308" i="2" s="1"/>
  <c r="S316" i="2"/>
  <c r="T316" i="2" s="1"/>
  <c r="S321" i="2"/>
  <c r="T321" i="2" s="1"/>
  <c r="S322" i="2"/>
  <c r="T322" i="2" s="1"/>
  <c r="S326" i="2"/>
  <c r="T326" i="2" s="1"/>
  <c r="S334" i="2"/>
  <c r="T334" i="2" s="1"/>
  <c r="S339" i="2"/>
  <c r="T339" i="2" s="1"/>
  <c r="S340" i="2"/>
  <c r="T340" i="2" s="1"/>
  <c r="S344" i="2"/>
  <c r="T344" i="2" s="1"/>
  <c r="S352" i="2"/>
  <c r="T352" i="2" s="1"/>
  <c r="S357" i="2"/>
  <c r="T357" i="2" s="1"/>
  <c r="S358" i="2"/>
  <c r="T358" i="2" s="1"/>
  <c r="S362" i="2"/>
  <c r="T362" i="2" s="1"/>
  <c r="S370" i="2"/>
  <c r="T370" i="2" s="1"/>
  <c r="S375" i="2"/>
  <c r="T375" i="2" s="1"/>
  <c r="S376" i="2"/>
  <c r="T376" i="2" s="1"/>
  <c r="S399" i="2"/>
  <c r="T399" i="2" s="1"/>
  <c r="S430" i="2"/>
  <c r="T430" i="2" s="1"/>
  <c r="S440" i="2"/>
  <c r="T440" i="2" s="1"/>
  <c r="S455" i="2"/>
  <c r="T455" i="2" s="1"/>
  <c r="R4" i="2"/>
  <c r="Z11" i="2" s="1"/>
  <c r="AB11" i="2"/>
  <c r="AB14" i="2"/>
  <c r="S50" i="2"/>
  <c r="T50" i="2" s="1"/>
  <c r="R86" i="2"/>
  <c r="AB15" i="2"/>
  <c r="AB4" i="2"/>
  <c r="S97" i="2"/>
  <c r="T97" i="2" s="1"/>
  <c r="S127" i="2"/>
  <c r="T127" i="2" s="1"/>
  <c r="S139" i="2"/>
  <c r="T139" i="2" s="1"/>
  <c r="S154" i="2"/>
  <c r="T154" i="2" s="1"/>
  <c r="S166" i="2"/>
  <c r="T166" i="2" s="1"/>
  <c r="S181" i="2"/>
  <c r="T181" i="2" s="1"/>
  <c r="S202" i="2"/>
  <c r="T202" i="2" s="1"/>
  <c r="S226" i="2"/>
  <c r="T226" i="2" s="1"/>
  <c r="S229" i="2"/>
  <c r="T229" i="2" s="1"/>
  <c r="S328" i="2"/>
  <c r="T328" i="2" s="1"/>
  <c r="S346" i="2"/>
  <c r="T346" i="2" s="1"/>
  <c r="S364" i="2"/>
  <c r="T364" i="2" s="1"/>
  <c r="S385" i="2"/>
  <c r="T385" i="2" s="1"/>
  <c r="S391" i="2"/>
  <c r="T391" i="2" s="1"/>
  <c r="S3" i="2"/>
  <c r="R5" i="2"/>
  <c r="Z9" i="2" s="1"/>
  <c r="S7" i="2"/>
  <c r="Y3" i="2" s="1"/>
  <c r="S20" i="2"/>
  <c r="T20" i="2" s="1"/>
  <c r="S33" i="2"/>
  <c r="T33" i="2" s="1"/>
  <c r="S37" i="2"/>
  <c r="T37" i="2" s="1"/>
  <c r="S52" i="2"/>
  <c r="T52" i="2" s="1"/>
  <c r="S56" i="2"/>
  <c r="T56" i="2" s="1"/>
  <c r="S69" i="2"/>
  <c r="T69" i="2" s="1"/>
  <c r="S73" i="2"/>
  <c r="T73" i="2" s="1"/>
  <c r="S105" i="2"/>
  <c r="T105" i="2" s="1"/>
  <c r="S112" i="2"/>
  <c r="T112" i="2" s="1"/>
  <c r="S117" i="2"/>
  <c r="T117" i="2" s="1"/>
  <c r="S120" i="2"/>
  <c r="T120" i="2" s="1"/>
  <c r="S135" i="2"/>
  <c r="T135" i="2" s="1"/>
  <c r="S162" i="2"/>
  <c r="T162" i="2" s="1"/>
  <c r="S189" i="2"/>
  <c r="T189" i="2" s="1"/>
  <c r="S204" i="2"/>
  <c r="T204" i="2" s="1"/>
  <c r="S240" i="2"/>
  <c r="T240" i="2" s="1"/>
  <c r="S243" i="2"/>
  <c r="T243" i="2" s="1"/>
  <c r="S250" i="2"/>
  <c r="T250" i="2" s="1"/>
  <c r="S264" i="2"/>
  <c r="T264" i="2" s="1"/>
  <c r="S404" i="2"/>
  <c r="T404" i="2" s="1"/>
  <c r="S412" i="2"/>
  <c r="T412" i="2" s="1"/>
  <c r="S419" i="2"/>
  <c r="T419" i="2" s="1"/>
  <c r="S424" i="2"/>
  <c r="T424" i="2" s="1"/>
  <c r="S448" i="2"/>
  <c r="T448" i="2" s="1"/>
  <c r="S494" i="2"/>
  <c r="T494" i="2" s="1"/>
  <c r="S2" i="2"/>
  <c r="R16" i="2"/>
  <c r="Z7" i="2" s="1"/>
  <c r="AB7" i="2"/>
  <c r="S26" i="2"/>
  <c r="T26" i="2" s="1"/>
  <c r="S62" i="2"/>
  <c r="T62" i="2" s="1"/>
  <c r="S115" i="2"/>
  <c r="T115" i="2" s="1"/>
  <c r="S130" i="2"/>
  <c r="T130" i="2" s="1"/>
  <c r="S145" i="2"/>
  <c r="T145" i="2" s="1"/>
  <c r="S157" i="2"/>
  <c r="T157" i="2" s="1"/>
  <c r="S172" i="2"/>
  <c r="T172" i="2" s="1"/>
  <c r="S184" i="2"/>
  <c r="T184" i="2" s="1"/>
  <c r="S211" i="2"/>
  <c r="T211" i="2" s="1"/>
  <c r="S232" i="2"/>
  <c r="T232" i="2" s="1"/>
  <c r="S5" i="2"/>
  <c r="R7" i="2"/>
  <c r="Z12" i="2" s="1"/>
  <c r="AB12" i="2"/>
  <c r="S10" i="2"/>
  <c r="T10" i="2" s="1"/>
  <c r="S14" i="2"/>
  <c r="T14" i="2" s="1"/>
  <c r="S16" i="2"/>
  <c r="S23" i="2"/>
  <c r="T23" i="2" s="1"/>
  <c r="S24" i="2"/>
  <c r="T24" i="2" s="1"/>
  <c r="S28" i="2"/>
  <c r="T28" i="2" s="1"/>
  <c r="S32" i="2"/>
  <c r="T32" i="2" s="1"/>
  <c r="S45" i="2"/>
  <c r="T45" i="2" s="1"/>
  <c r="S49" i="2"/>
  <c r="T49" i="2" s="1"/>
  <c r="S59" i="2"/>
  <c r="T59" i="2" s="1"/>
  <c r="S60" i="2"/>
  <c r="T60" i="2" s="1"/>
  <c r="S64" i="2"/>
  <c r="T64" i="2" s="1"/>
  <c r="S68" i="2"/>
  <c r="T68" i="2" s="1"/>
  <c r="S81" i="2"/>
  <c r="T81" i="2" s="1"/>
  <c r="S84" i="2"/>
  <c r="T84" i="2" s="1"/>
  <c r="S87" i="2"/>
  <c r="T87" i="2" s="1"/>
  <c r="S90" i="2"/>
  <c r="T90" i="2" s="1"/>
  <c r="S93" i="2"/>
  <c r="T93" i="2" s="1"/>
  <c r="S96" i="2"/>
  <c r="T96" i="2" s="1"/>
  <c r="S103" i="2"/>
  <c r="T103" i="2" s="1"/>
  <c r="S108" i="2"/>
  <c r="T108" i="2" s="1"/>
  <c r="S123" i="2"/>
  <c r="T123" i="2" s="1"/>
  <c r="S126" i="2"/>
  <c r="T126" i="2" s="1"/>
  <c r="S143" i="2"/>
  <c r="T143" i="2" s="1"/>
  <c r="S153" i="2"/>
  <c r="T153" i="2" s="1"/>
  <c r="S170" i="2"/>
  <c r="T170" i="2" s="1"/>
  <c r="S180" i="2"/>
  <c r="T180" i="2" s="1"/>
  <c r="S193" i="2"/>
  <c r="T193" i="2" s="1"/>
  <c r="S195" i="2"/>
  <c r="T195" i="2" s="1"/>
  <c r="S222" i="2"/>
  <c r="T222" i="2" s="1"/>
  <c r="S225" i="2"/>
  <c r="T225" i="2" s="1"/>
  <c r="S228" i="2"/>
  <c r="T228" i="2" s="1"/>
  <c r="S251" i="2"/>
  <c r="T251" i="2" s="1"/>
  <c r="S269" i="2"/>
  <c r="T269" i="2" s="1"/>
  <c r="S280" i="2"/>
  <c r="T280" i="2" s="1"/>
  <c r="S289" i="2"/>
  <c r="T289" i="2" s="1"/>
  <c r="S422" i="2"/>
  <c r="T422" i="2" s="1"/>
  <c r="S426" i="2"/>
  <c r="T426" i="2" s="1"/>
  <c r="S435" i="2"/>
  <c r="T435" i="2" s="1"/>
  <c r="S466" i="2"/>
  <c r="T466" i="2" s="1"/>
  <c r="S493" i="2"/>
  <c r="T493" i="2" s="1"/>
  <c r="AD2" i="2" a="1"/>
  <c r="AD2" i="2" s="1"/>
  <c r="AD4" i="2" a="1"/>
  <c r="AD4" i="2" s="1"/>
  <c r="AB5" i="2"/>
  <c r="AB2" i="2"/>
  <c r="AB10" i="2"/>
  <c r="AD5" i="2"/>
  <c r="AD3" i="2" a="1"/>
  <c r="AD3" i="2" s="1"/>
  <c r="R6" i="2"/>
  <c r="AB3" i="2"/>
  <c r="AB13" i="2"/>
  <c r="S9" i="2"/>
  <c r="T9" i="2" s="1"/>
  <c r="S13" i="2"/>
  <c r="T13" i="2" s="1"/>
  <c r="S15" i="2"/>
  <c r="T15" i="2" s="1"/>
  <c r="S29" i="2"/>
  <c r="T29" i="2" s="1"/>
  <c r="S30" i="2"/>
  <c r="T30" i="2" s="1"/>
  <c r="S38" i="2"/>
  <c r="T38" i="2" s="1"/>
  <c r="S65" i="2"/>
  <c r="T65" i="2" s="1"/>
  <c r="S66" i="2"/>
  <c r="T66" i="2" s="1"/>
  <c r="S74" i="2"/>
  <c r="T74" i="2" s="1"/>
  <c r="S83" i="2"/>
  <c r="T83" i="2" s="1"/>
  <c r="S86" i="2"/>
  <c r="S89" i="2"/>
  <c r="T89" i="2" s="1"/>
  <c r="S92" i="2"/>
  <c r="T92" i="2" s="1"/>
  <c r="S106" i="2"/>
  <c r="T106" i="2" s="1"/>
  <c r="S116" i="2"/>
  <c r="T116" i="2" s="1"/>
  <c r="S121" i="2"/>
  <c r="T121" i="2" s="1"/>
  <c r="S131" i="2"/>
  <c r="T131" i="2" s="1"/>
  <c r="S136" i="2"/>
  <c r="T136" i="2" s="1"/>
  <c r="S146" i="2"/>
  <c r="T146" i="2" s="1"/>
  <c r="S148" i="2"/>
  <c r="T148" i="2" s="1"/>
  <c r="S158" i="2"/>
  <c r="T158" i="2" s="1"/>
  <c r="S163" i="2"/>
  <c r="T163" i="2" s="1"/>
  <c r="S173" i="2"/>
  <c r="T173" i="2" s="1"/>
  <c r="S175" i="2"/>
  <c r="T175" i="2" s="1"/>
  <c r="S185" i="2"/>
  <c r="T185" i="2" s="1"/>
  <c r="S190" i="2"/>
  <c r="T190" i="2" s="1"/>
  <c r="S199" i="2"/>
  <c r="T199" i="2" s="1"/>
  <c r="S214" i="2"/>
  <c r="T214" i="2" s="1"/>
  <c r="S217" i="2"/>
  <c r="T217" i="2" s="1"/>
  <c r="S218" i="2"/>
  <c r="T218" i="2" s="1"/>
  <c r="S233" i="2"/>
  <c r="T233" i="2" s="1"/>
  <c r="S256" i="2"/>
  <c r="T256" i="2" s="1"/>
  <c r="S274" i="2"/>
  <c r="T274" i="2" s="1"/>
  <c r="S298" i="2"/>
  <c r="T298" i="2" s="1"/>
  <c r="S305" i="2"/>
  <c r="T305" i="2" s="1"/>
  <c r="S386" i="2"/>
  <c r="T386" i="2" s="1"/>
  <c r="S310" i="2"/>
  <c r="T310" i="2" s="1"/>
  <c r="S390" i="2"/>
  <c r="T390" i="2" s="1"/>
  <c r="S393" i="2"/>
  <c r="T393" i="2" s="1"/>
  <c r="S397" i="2"/>
  <c r="T397" i="2" s="1"/>
  <c r="S480" i="2"/>
  <c r="T480" i="2" s="1"/>
  <c r="S483" i="2"/>
  <c r="T483" i="2" s="1"/>
  <c r="S492" i="2"/>
  <c r="T492" i="2" s="1"/>
  <c r="S546" i="2"/>
  <c r="T546" i="2" s="1"/>
  <c r="S646" i="2"/>
  <c r="T646" i="2" s="1"/>
  <c r="S664" i="2"/>
  <c r="T664" i="2" s="1"/>
  <c r="S432" i="2"/>
  <c r="T432" i="2" s="1"/>
  <c r="S436" i="2"/>
  <c r="T436" i="2" s="1"/>
  <c r="S451" i="2"/>
  <c r="T451" i="2" s="1"/>
  <c r="S283" i="2"/>
  <c r="T283" i="2" s="1"/>
  <c r="S309" i="2"/>
  <c r="T309" i="2" s="1"/>
  <c r="S396" i="2"/>
  <c r="T396" i="2" s="1"/>
  <c r="S415" i="2"/>
  <c r="T415" i="2" s="1"/>
  <c r="S456" i="2"/>
  <c r="T456" i="2" s="1"/>
  <c r="S486" i="2"/>
  <c r="T486" i="2" s="1"/>
  <c r="S490" i="2"/>
  <c r="T490" i="2" s="1"/>
  <c r="S496" i="2"/>
  <c r="T496" i="2" s="1"/>
  <c r="S572" i="2"/>
  <c r="T572" i="2" s="1"/>
  <c r="S652" i="2"/>
  <c r="T652" i="2" s="1"/>
  <c r="S670" i="2"/>
  <c r="T670" i="2" s="1"/>
  <c r="S683" i="2"/>
  <c r="T683" i="2" s="1"/>
  <c r="S746" i="2"/>
  <c r="T746" i="2" s="1"/>
  <c r="S469" i="2"/>
  <c r="T469" i="2" s="1"/>
  <c r="S433" i="2"/>
  <c r="T433" i="2" s="1"/>
  <c r="S462" i="2"/>
  <c r="T462" i="2" s="1"/>
  <c r="S465" i="2"/>
  <c r="T465" i="2" s="1"/>
  <c r="S474" i="2"/>
  <c r="T474" i="2" s="1"/>
  <c r="S478" i="2"/>
  <c r="T478" i="2" s="1"/>
  <c r="S491" i="2"/>
  <c r="T491" i="2" s="1"/>
  <c r="S533" i="2"/>
  <c r="T533" i="2" s="1"/>
  <c r="S566" i="2"/>
  <c r="T566" i="2" s="1"/>
  <c r="S640" i="2"/>
  <c r="T640" i="2" s="1"/>
  <c r="S658" i="2"/>
  <c r="T658" i="2" s="1"/>
  <c r="S725" i="2"/>
  <c r="T725" i="2" s="1"/>
  <c r="S442" i="2"/>
  <c r="T442" i="2" s="1"/>
  <c r="S475" i="2"/>
  <c r="T475" i="2" s="1"/>
  <c r="S476" i="2"/>
  <c r="T476" i="2" s="1"/>
  <c r="S481" i="2"/>
  <c r="T481" i="2" s="1"/>
  <c r="S504" i="2"/>
  <c r="T504" i="2" s="1"/>
  <c r="S526" i="2"/>
  <c r="T526" i="2" s="1"/>
  <c r="S571" i="2"/>
  <c r="T571" i="2" s="1"/>
  <c r="S692" i="2"/>
  <c r="T692" i="2" s="1"/>
  <c r="S695" i="2"/>
  <c r="T695" i="2" s="1"/>
  <c r="S728" i="2"/>
  <c r="T728" i="2" s="1"/>
  <c r="S737" i="2"/>
  <c r="T737" i="2" s="1"/>
  <c r="S738" i="2"/>
  <c r="T738" i="2" s="1"/>
  <c r="S752" i="2"/>
  <c r="T752" i="2" s="1"/>
  <c r="S753" i="2"/>
  <c r="T753" i="2" s="1"/>
  <c r="S505" i="2"/>
  <c r="T505" i="2" s="1"/>
  <c r="S506" i="2"/>
  <c r="T506" i="2" s="1"/>
  <c r="S521" i="2"/>
  <c r="T521" i="2" s="1"/>
  <c r="S528" i="2"/>
  <c r="T528" i="2" s="1"/>
  <c r="S498" i="2"/>
  <c r="T498" i="2" s="1"/>
  <c r="S523" i="2"/>
  <c r="T523" i="2" s="1"/>
  <c r="S527" i="2"/>
  <c r="T527" i="2" s="1"/>
  <c r="S542" i="2"/>
  <c r="T542" i="2" s="1"/>
  <c r="S577" i="2"/>
  <c r="T577" i="2" s="1"/>
  <c r="S679" i="2"/>
  <c r="T679" i="2" s="1"/>
  <c r="S685" i="2"/>
  <c r="T685" i="2" s="1"/>
  <c r="S693" i="2"/>
  <c r="T693" i="2" s="1"/>
  <c r="S739" i="2"/>
  <c r="T739" i="2" s="1"/>
  <c r="S754" i="2"/>
  <c r="T754" i="2" s="1"/>
  <c r="S637" i="2"/>
  <c r="T637" i="2" s="1"/>
  <c r="S643" i="2"/>
  <c r="T643" i="2" s="1"/>
  <c r="S649" i="2"/>
  <c r="T649" i="2" s="1"/>
  <c r="S655" i="2"/>
  <c r="T655" i="2" s="1"/>
  <c r="S661" i="2"/>
  <c r="T661" i="2" s="1"/>
  <c r="S733" i="2"/>
  <c r="T733" i="2" s="1"/>
  <c r="S742" i="2"/>
  <c r="T742" i="2" s="1"/>
  <c r="S530" i="2"/>
  <c r="T530" i="2" s="1"/>
  <c r="S538" i="2"/>
  <c r="T538" i="2" s="1"/>
  <c r="S545" i="2"/>
  <c r="T545" i="2" s="1"/>
  <c r="S553" i="2"/>
  <c r="T553" i="2" s="1"/>
  <c r="S554" i="2"/>
  <c r="T554" i="2" s="1"/>
  <c r="S560" i="2"/>
  <c r="T560" i="2" s="1"/>
  <c r="S569" i="2"/>
  <c r="T569" i="2" s="1"/>
  <c r="S641" i="2"/>
  <c r="T641" i="2" s="1"/>
  <c r="S647" i="2"/>
  <c r="T647" i="2" s="1"/>
  <c r="S653" i="2"/>
  <c r="T653" i="2" s="1"/>
  <c r="S659" i="2"/>
  <c r="T659" i="2" s="1"/>
  <c r="S665" i="2"/>
  <c r="T665" i="2" s="1"/>
  <c r="S671" i="2"/>
  <c r="T671" i="2" s="1"/>
  <c r="S548" i="2"/>
  <c r="T548" i="2" s="1"/>
  <c r="S578" i="2"/>
  <c r="T578" i="2" s="1"/>
  <c r="S639" i="2"/>
  <c r="T639" i="2" s="1"/>
  <c r="S645" i="2"/>
  <c r="T645" i="2" s="1"/>
  <c r="S651" i="2"/>
  <c r="T651" i="2" s="1"/>
  <c r="S657" i="2"/>
  <c r="T657" i="2" s="1"/>
  <c r="S663" i="2"/>
  <c r="T663" i="2" s="1"/>
  <c r="S669" i="2"/>
  <c r="T669" i="2" s="1"/>
  <c r="S675" i="2"/>
  <c r="T675" i="2" s="1"/>
  <c r="S697" i="2"/>
  <c r="T697" i="2" s="1"/>
  <c r="S707" i="2"/>
  <c r="T707" i="2" s="1"/>
  <c r="S751" i="2"/>
  <c r="T751" i="2" s="1"/>
  <c r="S731" i="1"/>
  <c r="T731" i="1" s="1"/>
  <c r="S735" i="1"/>
  <c r="T735" i="1" s="1"/>
  <c r="S713" i="1"/>
  <c r="T713" i="1" s="1"/>
  <c r="S693" i="1"/>
  <c r="T693" i="1" s="1"/>
  <c r="S621" i="1"/>
  <c r="T621" i="1" s="1"/>
  <c r="S597" i="1"/>
  <c r="T597" i="1" s="1"/>
  <c r="S212" i="1"/>
  <c r="T212" i="1" s="1"/>
  <c r="S660" i="1"/>
  <c r="T660" i="1" s="1"/>
  <c r="S635" i="1"/>
  <c r="T635" i="1" s="1"/>
  <c r="S573" i="1"/>
  <c r="T573" i="1" s="1"/>
  <c r="S689" i="1"/>
  <c r="T689" i="1" s="1"/>
  <c r="S673" i="1"/>
  <c r="T673" i="1" s="1"/>
  <c r="S661" i="1"/>
  <c r="T661" i="1" s="1"/>
  <c r="S619" i="1"/>
  <c r="T619" i="1" s="1"/>
  <c r="S29" i="1"/>
  <c r="T29" i="1" s="1"/>
  <c r="S722" i="1"/>
  <c r="T722" i="1" s="1"/>
  <c r="S706" i="1"/>
  <c r="T706" i="1" s="1"/>
  <c r="S698" i="1"/>
  <c r="T698" i="1" s="1"/>
  <c r="S677" i="1"/>
  <c r="T677" i="1" s="1"/>
  <c r="S671" i="1"/>
  <c r="T671" i="1" s="1"/>
  <c r="S665" i="1"/>
  <c r="T665" i="1" s="1"/>
  <c r="S651" i="1"/>
  <c r="T651" i="1" s="1"/>
  <c r="S643" i="1"/>
  <c r="T643" i="1" s="1"/>
  <c r="S627" i="1"/>
  <c r="T627" i="1" s="1"/>
  <c r="S56" i="1"/>
  <c r="T56" i="1" s="1"/>
  <c r="S687" i="1"/>
  <c r="T687" i="1" s="1"/>
  <c r="S680" i="1"/>
  <c r="T680" i="1" s="1"/>
  <c r="S662" i="1"/>
  <c r="T662" i="1" s="1"/>
  <c r="S647" i="1"/>
  <c r="T647" i="1" s="1"/>
  <c r="S623" i="1"/>
  <c r="T623" i="1" s="1"/>
  <c r="S308" i="1"/>
  <c r="T308" i="1" s="1"/>
  <c r="S207" i="1"/>
  <c r="T207" i="1" s="1"/>
  <c r="S611" i="1"/>
  <c r="T611" i="1" s="1"/>
  <c r="S587" i="1"/>
  <c r="T587" i="1" s="1"/>
  <c r="S561" i="1"/>
  <c r="T561" i="1" s="1"/>
  <c r="S555" i="1"/>
  <c r="T555" i="1" s="1"/>
  <c r="S543" i="1"/>
  <c r="T543" i="1" s="1"/>
  <c r="S534" i="1"/>
  <c r="T534" i="1" s="1"/>
  <c r="S519" i="1"/>
  <c r="T519" i="1" s="1"/>
  <c r="S425" i="1"/>
  <c r="T425" i="1" s="1"/>
  <c r="S393" i="1"/>
  <c r="T393" i="1" s="1"/>
  <c r="S371" i="1"/>
  <c r="T371" i="1" s="1"/>
  <c r="S354" i="1"/>
  <c r="T354" i="1" s="1"/>
  <c r="S350" i="1"/>
  <c r="T350" i="1" s="1"/>
  <c r="S271" i="1"/>
  <c r="T271" i="1" s="1"/>
  <c r="S236" i="1"/>
  <c r="T236" i="1" s="1"/>
  <c r="S214" i="1"/>
  <c r="T214" i="1" s="1"/>
  <c r="S205" i="1"/>
  <c r="T205" i="1" s="1"/>
  <c r="S182" i="1"/>
  <c r="T182" i="1" s="1"/>
  <c r="S142" i="1"/>
  <c r="T142" i="1" s="1"/>
  <c r="S140" i="1"/>
  <c r="T140" i="1" s="1"/>
  <c r="S77" i="1"/>
  <c r="T77" i="1" s="1"/>
  <c r="S11" i="1"/>
  <c r="T11" i="1" s="1"/>
  <c r="S603" i="1"/>
  <c r="T603" i="1" s="1"/>
  <c r="S595" i="1"/>
  <c r="T595" i="1" s="1"/>
  <c r="S576" i="1"/>
  <c r="T576" i="1" s="1"/>
  <c r="S556" i="1"/>
  <c r="T556" i="1" s="1"/>
  <c r="S463" i="1"/>
  <c r="T463" i="1" s="1"/>
  <c r="S460" i="1"/>
  <c r="T460" i="1" s="1"/>
  <c r="S443" i="1"/>
  <c r="T443" i="1" s="1"/>
  <c r="S437" i="1"/>
  <c r="T437" i="1" s="1"/>
  <c r="S432" i="1"/>
  <c r="T432" i="1" s="1"/>
  <c r="S428" i="1"/>
  <c r="T428" i="1" s="1"/>
  <c r="S426" i="1"/>
  <c r="T426" i="1" s="1"/>
  <c r="S420" i="1"/>
  <c r="T420" i="1" s="1"/>
  <c r="S412" i="1"/>
  <c r="T412" i="1" s="1"/>
  <c r="S394" i="1"/>
  <c r="T394" i="1" s="1"/>
  <c r="S391" i="1"/>
  <c r="T391" i="1" s="1"/>
  <c r="S302" i="1"/>
  <c r="T302" i="1" s="1"/>
  <c r="S272" i="1"/>
  <c r="T272" i="1" s="1"/>
  <c r="S266" i="1"/>
  <c r="T266" i="1" s="1"/>
  <c r="S263" i="1"/>
  <c r="T263" i="1" s="1"/>
  <c r="S240" i="1"/>
  <c r="T240" i="1" s="1"/>
  <c r="S221" i="1"/>
  <c r="T221" i="1" s="1"/>
  <c r="S209" i="1"/>
  <c r="T209" i="1" s="1"/>
  <c r="S19" i="1"/>
  <c r="T19" i="1" s="1"/>
  <c r="S14" i="1"/>
  <c r="T14" i="1" s="1"/>
  <c r="S532" i="1"/>
  <c r="T532" i="1" s="1"/>
  <c r="S449" i="1"/>
  <c r="T449" i="1" s="1"/>
  <c r="S404" i="1"/>
  <c r="T404" i="1" s="1"/>
  <c r="S324" i="1"/>
  <c r="T324" i="1" s="1"/>
  <c r="S319" i="1"/>
  <c r="T319" i="1" s="1"/>
  <c r="S306" i="1"/>
  <c r="T306" i="1" s="1"/>
  <c r="S208" i="1"/>
  <c r="T208" i="1" s="1"/>
  <c r="S36" i="1"/>
  <c r="T36" i="1" s="1"/>
  <c r="S792" i="1"/>
  <c r="T792" i="1" s="1"/>
  <c r="S533" i="1"/>
  <c r="T533" i="1" s="1"/>
  <c r="S501" i="1"/>
  <c r="T501" i="1" s="1"/>
  <c r="S495" i="1"/>
  <c r="T495" i="1" s="1"/>
  <c r="S454" i="1"/>
  <c r="T454" i="1" s="1"/>
  <c r="S440" i="1"/>
  <c r="T440" i="1" s="1"/>
  <c r="S438" i="1"/>
  <c r="T438" i="1" s="1"/>
  <c r="S351" i="1"/>
  <c r="T351" i="1" s="1"/>
  <c r="S344" i="1"/>
  <c r="T344" i="1" s="1"/>
  <c r="S290" i="1"/>
  <c r="T290" i="1" s="1"/>
  <c r="S264" i="1"/>
  <c r="T264" i="1" s="1"/>
  <c r="S206" i="1"/>
  <c r="T206" i="1" s="1"/>
  <c r="S204" i="1"/>
  <c r="T204" i="1" s="1"/>
  <c r="S139" i="1"/>
  <c r="T139" i="1" s="1"/>
  <c r="S83" i="1"/>
  <c r="T83" i="1" s="1"/>
  <c r="S33" i="1"/>
  <c r="T33" i="1" s="1"/>
  <c r="S607" i="1"/>
  <c r="T607" i="1" s="1"/>
  <c r="S549" i="1"/>
  <c r="T549" i="1" s="1"/>
  <c r="S498" i="1"/>
  <c r="T498" i="1" s="1"/>
  <c r="S490" i="1"/>
  <c r="T490" i="1" s="1"/>
  <c r="S487" i="1"/>
  <c r="T487" i="1" s="1"/>
  <c r="S479" i="1"/>
  <c r="T479" i="1" s="1"/>
  <c r="S471" i="1"/>
  <c r="T471" i="1" s="1"/>
  <c r="S450" i="1"/>
  <c r="T450" i="1" s="1"/>
  <c r="S387" i="1"/>
  <c r="T387" i="1" s="1"/>
  <c r="S368" i="1"/>
  <c r="T368" i="1" s="1"/>
  <c r="S276" i="1"/>
  <c r="T276" i="1" s="1"/>
  <c r="S258" i="1"/>
  <c r="T258" i="1" s="1"/>
  <c r="S190" i="1"/>
  <c r="T190" i="1" s="1"/>
  <c r="S146" i="1"/>
  <c r="T146" i="1" s="1"/>
  <c r="S124" i="1"/>
  <c r="T124" i="1" s="1"/>
  <c r="S97" i="1"/>
  <c r="T97" i="1" s="1"/>
  <c r="S69" i="1"/>
  <c r="T69" i="1" s="1"/>
  <c r="S58" i="1"/>
  <c r="T58" i="1" s="1"/>
  <c r="S53" i="1"/>
  <c r="T53" i="1" s="1"/>
  <c r="S39" i="1"/>
  <c r="T39" i="1" s="1"/>
  <c r="S20" i="1"/>
  <c r="T20" i="1" s="1"/>
  <c r="S18" i="1"/>
  <c r="T18" i="1" s="1"/>
  <c r="S781" i="1"/>
  <c r="T781" i="1" s="1"/>
  <c r="S738" i="1"/>
  <c r="T738" i="1" s="1"/>
  <c r="S725" i="1"/>
  <c r="T725" i="1" s="1"/>
  <c r="S719" i="1"/>
  <c r="T719" i="1" s="1"/>
  <c r="S716" i="1"/>
  <c r="T716" i="1" s="1"/>
  <c r="S696" i="1"/>
  <c r="T696" i="1" s="1"/>
  <c r="S678" i="1"/>
  <c r="T678" i="1" s="1"/>
  <c r="S667" i="1"/>
  <c r="T667" i="1" s="1"/>
  <c r="S658" i="1"/>
  <c r="T658" i="1" s="1"/>
  <c r="S640" i="1"/>
  <c r="T640" i="1" s="1"/>
  <c r="S616" i="1"/>
  <c r="T616" i="1" s="1"/>
  <c r="S592" i="1"/>
  <c r="T592" i="1" s="1"/>
  <c r="S574" i="1"/>
  <c r="T574" i="1" s="1"/>
  <c r="S707" i="1"/>
  <c r="T707" i="1" s="1"/>
  <c r="S708" i="1"/>
  <c r="T708" i="1" s="1"/>
  <c r="S737" i="1"/>
  <c r="T737" i="1" s="1"/>
  <c r="S730" i="1"/>
  <c r="T730" i="1" s="1"/>
  <c r="S711" i="1"/>
  <c r="T711" i="1" s="1"/>
  <c r="S705" i="1"/>
  <c r="T705" i="1" s="1"/>
  <c r="S672" i="1"/>
  <c r="T672" i="1" s="1"/>
  <c r="S666" i="1"/>
  <c r="T666" i="1" s="1"/>
  <c r="S652" i="1"/>
  <c r="T652" i="1" s="1"/>
  <c r="S628" i="1"/>
  <c r="T628" i="1" s="1"/>
  <c r="S604" i="1"/>
  <c r="T604" i="1" s="1"/>
  <c r="S732" i="1"/>
  <c r="T732" i="1" s="1"/>
  <c r="S688" i="1"/>
  <c r="T688" i="1" s="1"/>
  <c r="S729" i="1"/>
  <c r="T729" i="1" s="1"/>
  <c r="S734" i="1"/>
  <c r="T734" i="1" s="1"/>
  <c r="S646" i="1"/>
  <c r="T646" i="1" s="1"/>
  <c r="S639" i="1"/>
  <c r="T639" i="1" s="1"/>
  <c r="S615" i="1"/>
  <c r="T615" i="1" s="1"/>
  <c r="S591" i="1"/>
  <c r="T591" i="1" s="1"/>
  <c r="S583" i="1"/>
  <c r="T583" i="1" s="1"/>
  <c r="S528" i="1"/>
  <c r="T528" i="1" s="1"/>
  <c r="S634" i="1"/>
  <c r="T634" i="1" s="1"/>
  <c r="S622" i="1"/>
  <c r="T622" i="1" s="1"/>
  <c r="S610" i="1"/>
  <c r="T610" i="1" s="1"/>
  <c r="S598" i="1"/>
  <c r="T598" i="1" s="1"/>
  <c r="S586" i="1"/>
  <c r="T586" i="1" s="1"/>
  <c r="S577" i="1"/>
  <c r="T577" i="1" s="1"/>
  <c r="S567" i="1"/>
  <c r="T567" i="1" s="1"/>
  <c r="S550" i="1"/>
  <c r="T550" i="1" s="1"/>
  <c r="S547" i="1"/>
  <c r="T547" i="1" s="1"/>
  <c r="S523" i="1"/>
  <c r="T523" i="1" s="1"/>
  <c r="S508" i="1"/>
  <c r="T508" i="1" s="1"/>
  <c r="S415" i="1"/>
  <c r="T415" i="1" s="1"/>
  <c r="S386" i="1"/>
  <c r="T386" i="1" s="1"/>
  <c r="S376" i="1"/>
  <c r="T376" i="1" s="1"/>
  <c r="S684" i="1"/>
  <c r="T684" i="1" s="1"/>
  <c r="S681" i="1"/>
  <c r="T681" i="1" s="1"/>
  <c r="S674" i="1"/>
  <c r="T674" i="1" s="1"/>
  <c r="S653" i="1"/>
  <c r="T653" i="1" s="1"/>
  <c r="S648" i="1"/>
  <c r="T648" i="1" s="1"/>
  <c r="S641" i="1"/>
  <c r="T641" i="1" s="1"/>
  <c r="S636" i="1"/>
  <c r="T636" i="1" s="1"/>
  <c r="S629" i="1"/>
  <c r="T629" i="1" s="1"/>
  <c r="S624" i="1"/>
  <c r="T624" i="1" s="1"/>
  <c r="S617" i="1"/>
  <c r="T617" i="1" s="1"/>
  <c r="S612" i="1"/>
  <c r="T612" i="1" s="1"/>
  <c r="S605" i="1"/>
  <c r="T605" i="1" s="1"/>
  <c r="S600" i="1"/>
  <c r="T600" i="1" s="1"/>
  <c r="S593" i="1"/>
  <c r="T593" i="1" s="1"/>
  <c r="S588" i="1"/>
  <c r="T588" i="1" s="1"/>
  <c r="S565" i="1"/>
  <c r="T565" i="1" s="1"/>
  <c r="S538" i="1"/>
  <c r="T538" i="1" s="1"/>
  <c r="S514" i="1"/>
  <c r="T514" i="1" s="1"/>
  <c r="S502" i="1"/>
  <c r="T502" i="1" s="1"/>
  <c r="S374" i="1"/>
  <c r="T374" i="1" s="1"/>
  <c r="S242" i="1"/>
  <c r="T242" i="1" s="1"/>
  <c r="S702" i="1"/>
  <c r="T702" i="1" s="1"/>
  <c r="S699" i="1"/>
  <c r="T699" i="1" s="1"/>
  <c r="S657" i="1"/>
  <c r="T657" i="1" s="1"/>
  <c r="S568" i="1"/>
  <c r="T568" i="1" s="1"/>
  <c r="S558" i="1"/>
  <c r="T558" i="1" s="1"/>
  <c r="S535" i="1"/>
  <c r="T535" i="1" s="1"/>
  <c r="S489" i="1"/>
  <c r="T489" i="1" s="1"/>
  <c r="S452" i="1"/>
  <c r="T452" i="1" s="1"/>
  <c r="S405" i="1"/>
  <c r="T405" i="1" s="1"/>
  <c r="S379" i="1"/>
  <c r="T379" i="1" s="1"/>
  <c r="S325" i="1"/>
  <c r="T325" i="1" s="1"/>
  <c r="S318" i="1"/>
  <c r="T318" i="1" s="1"/>
  <c r="S270" i="1"/>
  <c r="T270" i="1" s="1"/>
  <c r="S720" i="1"/>
  <c r="T720" i="1" s="1"/>
  <c r="S717" i="1"/>
  <c r="T717" i="1" s="1"/>
  <c r="S686" i="1"/>
  <c r="T686" i="1" s="1"/>
  <c r="S541" i="1"/>
  <c r="T541" i="1" s="1"/>
  <c r="S522" i="1"/>
  <c r="T522" i="1" s="1"/>
  <c r="S497" i="1"/>
  <c r="T497" i="1" s="1"/>
  <c r="S468" i="1"/>
  <c r="T468" i="1" s="1"/>
  <c r="S418" i="1"/>
  <c r="T418" i="1" s="1"/>
  <c r="S411" i="1"/>
  <c r="T411" i="1" s="1"/>
  <c r="S375" i="1"/>
  <c r="T375" i="1" s="1"/>
  <c r="S339" i="1"/>
  <c r="T339" i="1" s="1"/>
  <c r="S330" i="1"/>
  <c r="T330" i="1" s="1"/>
  <c r="S304" i="1"/>
  <c r="T304" i="1" s="1"/>
  <c r="S296" i="1"/>
  <c r="T296" i="1" s="1"/>
  <c r="S288" i="1"/>
  <c r="T288" i="1" s="1"/>
  <c r="S252" i="1"/>
  <c r="T252" i="1" s="1"/>
  <c r="S245" i="1"/>
  <c r="T245" i="1" s="1"/>
  <c r="S726" i="1"/>
  <c r="T726" i="1" s="1"/>
  <c r="S704" i="1"/>
  <c r="T704" i="1" s="1"/>
  <c r="S642" i="1"/>
  <c r="T642" i="1" s="1"/>
  <c r="S630" i="1"/>
  <c r="T630" i="1" s="1"/>
  <c r="S618" i="1"/>
  <c r="T618" i="1" s="1"/>
  <c r="S606" i="1"/>
  <c r="T606" i="1" s="1"/>
  <c r="S594" i="1"/>
  <c r="T594" i="1" s="1"/>
  <c r="S559" i="1"/>
  <c r="T559" i="1" s="1"/>
  <c r="S493" i="1"/>
  <c r="T493" i="1" s="1"/>
  <c r="S491" i="1"/>
  <c r="T491" i="1" s="1"/>
  <c r="S473" i="1"/>
  <c r="T473" i="1" s="1"/>
  <c r="S461" i="1"/>
  <c r="T461" i="1" s="1"/>
  <c r="S446" i="1"/>
  <c r="T446" i="1" s="1"/>
  <c r="S431" i="1"/>
  <c r="T431" i="1" s="1"/>
  <c r="S406" i="1"/>
  <c r="T406" i="1" s="1"/>
  <c r="S389" i="1"/>
  <c r="T389" i="1" s="1"/>
  <c r="S352" i="1"/>
  <c r="T352" i="1" s="1"/>
  <c r="S340" i="1"/>
  <c r="T340" i="1" s="1"/>
  <c r="S23" i="1"/>
  <c r="T23" i="1" s="1"/>
  <c r="S483" i="1"/>
  <c r="T483" i="1" s="1"/>
  <c r="S424" i="1"/>
  <c r="T424" i="1" s="1"/>
  <c r="S416" i="1"/>
  <c r="T416" i="1" s="1"/>
  <c r="S403" i="1"/>
  <c r="T403" i="1" s="1"/>
  <c r="S384" i="1"/>
  <c r="T384" i="1" s="1"/>
  <c r="S372" i="1"/>
  <c r="T372" i="1" s="1"/>
  <c r="S367" i="1"/>
  <c r="T367" i="1" s="1"/>
  <c r="S356" i="1"/>
  <c r="T356" i="1" s="1"/>
  <c r="S337" i="1"/>
  <c r="T337" i="1" s="1"/>
  <c r="S336" i="1"/>
  <c r="T336" i="1" s="1"/>
  <c r="S331" i="1"/>
  <c r="T331" i="1" s="1"/>
  <c r="S289" i="1"/>
  <c r="T289" i="1" s="1"/>
  <c r="S284" i="1"/>
  <c r="T284" i="1" s="1"/>
  <c r="S259" i="1"/>
  <c r="T259" i="1" s="1"/>
  <c r="S248" i="1"/>
  <c r="T248" i="1" s="1"/>
  <c r="S156" i="1"/>
  <c r="T156" i="1" s="1"/>
  <c r="S86" i="1"/>
  <c r="T86" i="1" s="1"/>
  <c r="S84" i="1"/>
  <c r="T84" i="1" s="1"/>
  <c r="S477" i="1"/>
  <c r="T477" i="1" s="1"/>
  <c r="S472" i="1"/>
  <c r="T472" i="1" s="1"/>
  <c r="S436" i="1"/>
  <c r="T436" i="1" s="1"/>
  <c r="S414" i="1"/>
  <c r="T414" i="1" s="1"/>
  <c r="S402" i="1"/>
  <c r="T402" i="1" s="1"/>
  <c r="S392" i="1"/>
  <c r="T392" i="1" s="1"/>
  <c r="S380" i="1"/>
  <c r="T380" i="1" s="1"/>
  <c r="S366" i="1"/>
  <c r="T366" i="1" s="1"/>
  <c r="S349" i="1"/>
  <c r="T349" i="1" s="1"/>
  <c r="S332" i="1"/>
  <c r="T332" i="1" s="1"/>
  <c r="S294" i="1"/>
  <c r="T294" i="1" s="1"/>
  <c r="S260" i="1"/>
  <c r="T260" i="1" s="1"/>
  <c r="S132" i="1"/>
  <c r="T132" i="1" s="1"/>
  <c r="S87" i="1"/>
  <c r="T87" i="1" s="1"/>
  <c r="S65" i="1"/>
  <c r="T65" i="1" s="1"/>
  <c r="S27" i="1"/>
  <c r="T27" i="1" s="1"/>
  <c r="S21" i="1"/>
  <c r="T21" i="1" s="1"/>
  <c r="S456" i="1"/>
  <c r="T456" i="1" s="1"/>
  <c r="S455" i="1"/>
  <c r="T455" i="1" s="1"/>
  <c r="S434" i="1"/>
  <c r="T434" i="1" s="1"/>
  <c r="S409" i="1"/>
  <c r="T409" i="1" s="1"/>
  <c r="S400" i="1"/>
  <c r="T400" i="1" s="1"/>
  <c r="S397" i="1"/>
  <c r="T397" i="1" s="1"/>
  <c r="S364" i="1"/>
  <c r="T364" i="1" s="1"/>
  <c r="S361" i="1"/>
  <c r="T361" i="1" s="1"/>
  <c r="S321" i="1"/>
  <c r="T321" i="1" s="1"/>
  <c r="S312" i="1"/>
  <c r="T312" i="1" s="1"/>
  <c r="S300" i="1"/>
  <c r="T300" i="1" s="1"/>
  <c r="S295" i="1"/>
  <c r="T295" i="1" s="1"/>
  <c r="S63" i="1"/>
  <c r="T63" i="1" s="1"/>
  <c r="S481" i="1"/>
  <c r="T481" i="1" s="1"/>
  <c r="S448" i="1"/>
  <c r="T448" i="1" s="1"/>
  <c r="S410" i="1"/>
  <c r="T410" i="1" s="1"/>
  <c r="S398" i="1"/>
  <c r="T398" i="1" s="1"/>
  <c r="S385" i="1"/>
  <c r="T385" i="1" s="1"/>
  <c r="S373" i="1"/>
  <c r="T373" i="1" s="1"/>
  <c r="S362" i="1"/>
  <c r="T362" i="1" s="1"/>
  <c r="S348" i="1"/>
  <c r="T348" i="1" s="1"/>
  <c r="S343" i="1"/>
  <c r="T343" i="1" s="1"/>
  <c r="S338" i="1"/>
  <c r="T338" i="1" s="1"/>
  <c r="S335" i="1"/>
  <c r="T335" i="1" s="1"/>
  <c r="S301" i="1"/>
  <c r="T301" i="1" s="1"/>
  <c r="S200" i="1"/>
  <c r="T200" i="1" s="1"/>
  <c r="S198" i="1"/>
  <c r="T198" i="1" s="1"/>
  <c r="S196" i="1"/>
  <c r="T196" i="1" s="1"/>
  <c r="S194" i="1"/>
  <c r="T194" i="1" s="1"/>
  <c r="S186" i="1"/>
  <c r="T186" i="1" s="1"/>
  <c r="S175" i="1"/>
  <c r="T175" i="1" s="1"/>
  <c r="S217" i="1"/>
  <c r="T217" i="1" s="1"/>
  <c r="S213" i="1"/>
  <c r="T213" i="1" s="1"/>
  <c r="S181" i="1"/>
  <c r="T181" i="1" s="1"/>
  <c r="S174" i="1"/>
  <c r="T174" i="1" s="1"/>
  <c r="S164" i="1"/>
  <c r="T164" i="1" s="1"/>
  <c r="S145" i="1"/>
  <c r="T145" i="1" s="1"/>
  <c r="S138" i="1"/>
  <c r="T138" i="1" s="1"/>
  <c r="S129" i="1"/>
  <c r="T129" i="1" s="1"/>
  <c r="S119" i="1"/>
  <c r="T119" i="1" s="1"/>
  <c r="S115" i="1"/>
  <c r="T115" i="1" s="1"/>
  <c r="S108" i="1"/>
  <c r="T108" i="1" s="1"/>
  <c r="S96" i="1"/>
  <c r="T96" i="1" s="1"/>
  <c r="S74" i="1"/>
  <c r="T74" i="1" s="1"/>
  <c r="S52" i="1"/>
  <c r="T52" i="1" s="1"/>
  <c r="S41" i="1"/>
  <c r="T41" i="1" s="1"/>
  <c r="S37" i="1"/>
  <c r="T37" i="1" s="1"/>
  <c r="S32" i="1"/>
  <c r="T32" i="1" s="1"/>
  <c r="S17" i="1"/>
  <c r="T17" i="1" s="1"/>
  <c r="S10" i="1"/>
  <c r="T10" i="1" s="1"/>
  <c r="S853" i="1"/>
  <c r="T853" i="1" s="1"/>
  <c r="S836" i="1"/>
  <c r="T836" i="1" s="1"/>
  <c r="S822" i="1"/>
  <c r="T822" i="1" s="1"/>
  <c r="S760" i="1"/>
  <c r="T760" i="1" s="1"/>
  <c r="S745" i="1"/>
  <c r="T745" i="1" s="1"/>
  <c r="S199" i="1"/>
  <c r="T199" i="1" s="1"/>
  <c r="S187" i="1"/>
  <c r="T187" i="1" s="1"/>
  <c r="S157" i="1"/>
  <c r="T157" i="1" s="1"/>
  <c r="S150" i="1"/>
  <c r="T150" i="1" s="1"/>
  <c r="S133" i="1"/>
  <c r="T133" i="1" s="1"/>
  <c r="S107" i="1"/>
  <c r="T107" i="1" s="1"/>
  <c r="S103" i="1"/>
  <c r="T103" i="1" s="1"/>
  <c r="S98" i="1"/>
  <c r="T98" i="1" s="1"/>
  <c r="S94" i="1"/>
  <c r="T94" i="1" s="1"/>
  <c r="S81" i="1"/>
  <c r="T81" i="1" s="1"/>
  <c r="S80" i="1"/>
  <c r="T80" i="1" s="1"/>
  <c r="S78" i="1"/>
  <c r="T78" i="1" s="1"/>
  <c r="S76" i="1"/>
  <c r="T76" i="1" s="1"/>
  <c r="S62" i="1"/>
  <c r="T62" i="1" s="1"/>
  <c r="S54" i="1"/>
  <c r="T54" i="1" s="1"/>
  <c r="S47" i="1"/>
  <c r="T47" i="1" s="1"/>
  <c r="S40" i="1"/>
  <c r="T40" i="1" s="1"/>
  <c r="S16" i="1"/>
  <c r="T16" i="1" s="1"/>
  <c r="S5" i="1"/>
  <c r="T5" i="1" s="1"/>
  <c r="S854" i="1"/>
  <c r="T854" i="1" s="1"/>
  <c r="S818" i="1"/>
  <c r="T818" i="1" s="1"/>
  <c r="S769" i="1"/>
  <c r="T769" i="1" s="1"/>
  <c r="S748" i="1"/>
  <c r="T748" i="1" s="1"/>
  <c r="S234" i="1"/>
  <c r="T234" i="1" s="1"/>
  <c r="S231" i="1"/>
  <c r="T231" i="1" s="1"/>
  <c r="S228" i="1"/>
  <c r="T228" i="1" s="1"/>
  <c r="S225" i="1"/>
  <c r="T225" i="1" s="1"/>
  <c r="S215" i="1"/>
  <c r="T215" i="1" s="1"/>
  <c r="S210" i="1"/>
  <c r="T210" i="1" s="1"/>
  <c r="S168" i="1"/>
  <c r="T168" i="1" s="1"/>
  <c r="S151" i="1"/>
  <c r="T151" i="1" s="1"/>
  <c r="S126" i="1"/>
  <c r="T126" i="1" s="1"/>
  <c r="S112" i="1"/>
  <c r="T112" i="1" s="1"/>
  <c r="S75" i="1"/>
  <c r="T75" i="1" s="1"/>
  <c r="S71" i="1"/>
  <c r="T71" i="1" s="1"/>
  <c r="S64" i="1"/>
  <c r="T64" i="1" s="1"/>
  <c r="S44" i="1"/>
  <c r="T44" i="1" s="1"/>
  <c r="S22" i="1"/>
  <c r="T22" i="1" s="1"/>
  <c r="S863" i="1"/>
  <c r="T863" i="1" s="1"/>
  <c r="S839" i="1"/>
  <c r="T839" i="1" s="1"/>
  <c r="S796" i="1"/>
  <c r="T796" i="1" s="1"/>
  <c r="S232" i="1"/>
  <c r="T232" i="1" s="1"/>
  <c r="S229" i="1"/>
  <c r="T229" i="1" s="1"/>
  <c r="S226" i="1"/>
  <c r="T226" i="1" s="1"/>
  <c r="S223" i="1"/>
  <c r="T223" i="1" s="1"/>
  <c r="S211" i="1"/>
  <c r="T211" i="1" s="1"/>
  <c r="S192" i="1"/>
  <c r="T192" i="1" s="1"/>
  <c r="S169" i="1"/>
  <c r="T169" i="1" s="1"/>
  <c r="S162" i="1"/>
  <c r="T162" i="1" s="1"/>
  <c r="S152" i="1"/>
  <c r="T152" i="1" s="1"/>
  <c r="S127" i="1"/>
  <c r="T127" i="1" s="1"/>
  <c r="S120" i="1"/>
  <c r="T120" i="1" s="1"/>
  <c r="S111" i="1"/>
  <c r="T111" i="1" s="1"/>
  <c r="S73" i="1"/>
  <c r="T73" i="1" s="1"/>
  <c r="S68" i="1"/>
  <c r="T68" i="1" s="1"/>
  <c r="S46" i="1"/>
  <c r="T46" i="1" s="1"/>
  <c r="S26" i="1"/>
  <c r="T26" i="1" s="1"/>
  <c r="S4" i="1"/>
  <c r="T4" i="1" s="1"/>
  <c r="S772" i="1"/>
  <c r="T772" i="1" s="1"/>
  <c r="S757" i="1"/>
  <c r="T757" i="1" s="1"/>
  <c r="S237" i="1"/>
  <c r="T237" i="1" s="1"/>
  <c r="S220" i="1"/>
  <c r="T220" i="1" s="1"/>
  <c r="S193" i="1"/>
  <c r="T193" i="1" s="1"/>
  <c r="S180" i="1"/>
  <c r="T180" i="1" s="1"/>
  <c r="S163" i="1"/>
  <c r="T163" i="1" s="1"/>
  <c r="S154" i="1"/>
  <c r="T154" i="1" s="1"/>
  <c r="S144" i="1"/>
  <c r="T144" i="1" s="1"/>
  <c r="S130" i="1"/>
  <c r="T130" i="1" s="1"/>
  <c r="S121" i="1"/>
  <c r="T121" i="1" s="1"/>
  <c r="S114" i="1"/>
  <c r="T114" i="1" s="1"/>
  <c r="S105" i="1"/>
  <c r="T105" i="1" s="1"/>
  <c r="S93" i="1"/>
  <c r="T93" i="1" s="1"/>
  <c r="S88" i="1"/>
  <c r="T88" i="1" s="1"/>
  <c r="S70" i="1"/>
  <c r="T70" i="1" s="1"/>
  <c r="S59" i="1"/>
  <c r="T59" i="1" s="1"/>
  <c r="S55" i="1"/>
  <c r="T55" i="1" s="1"/>
  <c r="S50" i="1"/>
  <c r="T50" i="1" s="1"/>
  <c r="S35" i="1"/>
  <c r="T35" i="1" s="1"/>
  <c r="S28" i="1"/>
  <c r="T28" i="1" s="1"/>
  <c r="S8" i="1"/>
  <c r="T8" i="1" s="1"/>
  <c r="S857" i="1"/>
  <c r="T857" i="1" s="1"/>
  <c r="S844" i="1"/>
  <c r="T844" i="1" s="1"/>
  <c r="S768" i="1"/>
  <c r="T768" i="1" s="1"/>
  <c r="T2" i="2"/>
  <c r="T6" i="2"/>
  <c r="S27" i="2"/>
  <c r="T27" i="2" s="1"/>
  <c r="S31" i="2"/>
  <c r="T31" i="2" s="1"/>
  <c r="S46" i="2"/>
  <c r="T46" i="2" s="1"/>
  <c r="S63" i="2"/>
  <c r="T63" i="2" s="1"/>
  <c r="S67" i="2"/>
  <c r="T67" i="2" s="1"/>
  <c r="S82" i="2"/>
  <c r="T82" i="2" s="1"/>
  <c r="T7" i="2"/>
  <c r="T16" i="2"/>
  <c r="T5" i="2"/>
  <c r="AA9" i="2" s="1"/>
  <c r="T3" i="2"/>
  <c r="T4" i="2"/>
  <c r="T8" i="2"/>
  <c r="T86" i="2"/>
  <c r="R3" i="2"/>
  <c r="Z8" i="2" s="1"/>
  <c r="R8" i="2"/>
  <c r="Z14" i="2" s="1"/>
  <c r="S95" i="2"/>
  <c r="T95" i="2" s="1"/>
  <c r="S104" i="2"/>
  <c r="T104" i="2" s="1"/>
  <c r="S113" i="2"/>
  <c r="T113" i="2" s="1"/>
  <c r="S101" i="2"/>
  <c r="T101" i="2" s="1"/>
  <c r="S110" i="2"/>
  <c r="T110" i="2" s="1"/>
  <c r="S194" i="2"/>
  <c r="T194" i="2" s="1"/>
  <c r="S206" i="2"/>
  <c r="T206" i="2" s="1"/>
  <c r="S196" i="2"/>
  <c r="T196" i="2" s="1"/>
  <c r="S268" i="2"/>
  <c r="T268" i="2" s="1"/>
  <c r="S133" i="2"/>
  <c r="T133" i="2" s="1"/>
  <c r="S142" i="2"/>
  <c r="T142" i="2" s="1"/>
  <c r="S151" i="2"/>
  <c r="T151" i="2" s="1"/>
  <c r="S160" i="2"/>
  <c r="T160" i="2" s="1"/>
  <c r="S169" i="2"/>
  <c r="T169" i="2" s="1"/>
  <c r="S178" i="2"/>
  <c r="T178" i="2" s="1"/>
  <c r="S187" i="2"/>
  <c r="T187" i="2" s="1"/>
  <c r="S200" i="2"/>
  <c r="T200" i="2" s="1"/>
  <c r="S286" i="2"/>
  <c r="T286" i="2" s="1"/>
  <c r="S212" i="2"/>
  <c r="T212" i="2" s="1"/>
  <c r="S230" i="2"/>
  <c r="T230" i="2" s="1"/>
  <c r="S248" i="2"/>
  <c r="T248" i="2" s="1"/>
  <c r="S266" i="2"/>
  <c r="T266" i="2" s="1"/>
  <c r="S284" i="2"/>
  <c r="T284" i="2" s="1"/>
  <c r="S303" i="2"/>
  <c r="T303" i="2" s="1"/>
  <c r="S400" i="2"/>
  <c r="T400" i="2" s="1"/>
  <c r="S454" i="2"/>
  <c r="T454" i="2" s="1"/>
  <c r="S221" i="2"/>
  <c r="T221" i="2" s="1"/>
  <c r="S239" i="2"/>
  <c r="T239" i="2" s="1"/>
  <c r="S257" i="2"/>
  <c r="T257" i="2" s="1"/>
  <c r="S275" i="2"/>
  <c r="T275" i="2" s="1"/>
  <c r="S293" i="2"/>
  <c r="T293" i="2" s="1"/>
  <c r="S302" i="2"/>
  <c r="T302" i="2" s="1"/>
  <c r="S224" i="2"/>
  <c r="T224" i="2" s="1"/>
  <c r="S242" i="2"/>
  <c r="T242" i="2" s="1"/>
  <c r="S260" i="2"/>
  <c r="T260" i="2" s="1"/>
  <c r="S278" i="2"/>
  <c r="T278" i="2" s="1"/>
  <c r="S296" i="2"/>
  <c r="T296" i="2" s="1"/>
  <c r="S299" i="2"/>
  <c r="T299" i="2" s="1"/>
  <c r="S382" i="2"/>
  <c r="T382" i="2" s="1"/>
  <c r="S418" i="2"/>
  <c r="T418" i="2" s="1"/>
  <c r="S472" i="2"/>
  <c r="T472" i="2" s="1"/>
  <c r="S209" i="2"/>
  <c r="T209" i="2" s="1"/>
  <c r="S227" i="2"/>
  <c r="T227" i="2" s="1"/>
  <c r="S245" i="2"/>
  <c r="T245" i="2" s="1"/>
  <c r="S263" i="2"/>
  <c r="T263" i="2" s="1"/>
  <c r="S281" i="2"/>
  <c r="T281" i="2" s="1"/>
  <c r="S311" i="2"/>
  <c r="T311" i="2" s="1"/>
  <c r="S317" i="2"/>
  <c r="T317" i="2" s="1"/>
  <c r="S323" i="2"/>
  <c r="T323" i="2" s="1"/>
  <c r="S329" i="2"/>
  <c r="T329" i="2" s="1"/>
  <c r="S335" i="2"/>
  <c r="T335" i="2" s="1"/>
  <c r="S341" i="2"/>
  <c r="T341" i="2" s="1"/>
  <c r="S347" i="2"/>
  <c r="T347" i="2" s="1"/>
  <c r="S353" i="2"/>
  <c r="T353" i="2" s="1"/>
  <c r="S359" i="2"/>
  <c r="T359" i="2" s="1"/>
  <c r="S365" i="2"/>
  <c r="T365" i="2" s="1"/>
  <c r="S371" i="2"/>
  <c r="T371" i="2" s="1"/>
  <c r="S398" i="2"/>
  <c r="T398" i="2" s="1"/>
  <c r="S416" i="2"/>
  <c r="T416" i="2" s="1"/>
  <c r="S434" i="2"/>
  <c r="T434" i="2" s="1"/>
  <c r="S452" i="2"/>
  <c r="T452" i="2" s="1"/>
  <c r="S470" i="2"/>
  <c r="T470" i="2" s="1"/>
  <c r="S488" i="2"/>
  <c r="T488" i="2" s="1"/>
  <c r="S508" i="2"/>
  <c r="T508" i="2" s="1"/>
  <c r="S509" i="2"/>
  <c r="T509" i="2" s="1"/>
  <c r="S513" i="2"/>
  <c r="T513" i="2" s="1"/>
  <c r="S377" i="2"/>
  <c r="T377" i="2" s="1"/>
  <c r="S389" i="2"/>
  <c r="T389" i="2" s="1"/>
  <c r="S407" i="2"/>
  <c r="T407" i="2" s="1"/>
  <c r="S425" i="2"/>
  <c r="T425" i="2" s="1"/>
  <c r="S443" i="2"/>
  <c r="T443" i="2" s="1"/>
  <c r="S461" i="2"/>
  <c r="T461" i="2" s="1"/>
  <c r="S479" i="2"/>
  <c r="T479" i="2" s="1"/>
  <c r="S497" i="2"/>
  <c r="T497" i="2" s="1"/>
  <c r="S499" i="2"/>
  <c r="T499" i="2" s="1"/>
  <c r="S500" i="2"/>
  <c r="T500" i="2" s="1"/>
  <c r="S392" i="2"/>
  <c r="T392" i="2" s="1"/>
  <c r="S410" i="2"/>
  <c r="T410" i="2" s="1"/>
  <c r="S428" i="2"/>
  <c r="T428" i="2" s="1"/>
  <c r="S446" i="2"/>
  <c r="T446" i="2" s="1"/>
  <c r="S464" i="2"/>
  <c r="T464" i="2" s="1"/>
  <c r="S482" i="2"/>
  <c r="T482" i="2" s="1"/>
  <c r="S563" i="2"/>
  <c r="T563" i="2" s="1"/>
  <c r="S383" i="2"/>
  <c r="T383" i="2" s="1"/>
  <c r="S395" i="2"/>
  <c r="T395" i="2" s="1"/>
  <c r="S413" i="2"/>
  <c r="T413" i="2" s="1"/>
  <c r="S431" i="2"/>
  <c r="T431" i="2" s="1"/>
  <c r="S449" i="2"/>
  <c r="T449" i="2" s="1"/>
  <c r="S467" i="2"/>
  <c r="T467" i="2" s="1"/>
  <c r="S485" i="2"/>
  <c r="T485" i="2" s="1"/>
  <c r="S543" i="2"/>
  <c r="Y16" i="2" s="1"/>
  <c r="S561" i="2"/>
  <c r="T561" i="2" s="1"/>
  <c r="S579" i="2"/>
  <c r="T579" i="2" s="1"/>
  <c r="S531" i="2"/>
  <c r="T531" i="2" s="1"/>
  <c r="S549" i="2"/>
  <c r="T549" i="2" s="1"/>
  <c r="S567" i="2"/>
  <c r="T567" i="2" s="1"/>
  <c r="S534" i="2"/>
  <c r="T534" i="2" s="1"/>
  <c r="S552" i="2"/>
  <c r="T552" i="2" s="1"/>
  <c r="S570" i="2"/>
  <c r="T570" i="2" s="1"/>
  <c r="S537" i="2"/>
  <c r="T537" i="2" s="1"/>
  <c r="S555" i="2"/>
  <c r="T555" i="2" s="1"/>
  <c r="S573" i="2"/>
  <c r="T573" i="2" s="1"/>
  <c r="S540" i="2"/>
  <c r="T540" i="2" s="1"/>
  <c r="S558" i="2"/>
  <c r="T558" i="2" s="1"/>
  <c r="S576" i="2"/>
  <c r="T576" i="2" s="1"/>
  <c r="S638" i="2"/>
  <c r="T638" i="2" s="1"/>
  <c r="S644" i="2"/>
  <c r="T644" i="2" s="1"/>
  <c r="S650" i="2"/>
  <c r="T650" i="2" s="1"/>
  <c r="S656" i="2"/>
  <c r="T656" i="2" s="1"/>
  <c r="S662" i="2"/>
  <c r="T662" i="2" s="1"/>
  <c r="S668" i="2"/>
  <c r="T668" i="2" s="1"/>
  <c r="S674" i="2"/>
  <c r="T674" i="2" s="1"/>
  <c r="S677" i="2"/>
  <c r="T677" i="2" s="1"/>
  <c r="S684" i="2"/>
  <c r="T684" i="2" s="1"/>
  <c r="S719" i="2"/>
  <c r="T719" i="2" s="1"/>
  <c r="S724" i="2"/>
  <c r="T724" i="2" s="1"/>
  <c r="S734" i="2"/>
  <c r="T734" i="2" s="1"/>
  <c r="S735" i="2"/>
  <c r="T735" i="2" s="1"/>
  <c r="S699" i="2"/>
  <c r="T699" i="2" s="1"/>
  <c r="S701" i="2"/>
  <c r="T701" i="2" s="1"/>
  <c r="S706" i="2"/>
  <c r="T706" i="2" s="1"/>
  <c r="S716" i="2"/>
  <c r="T716" i="2" s="1"/>
  <c r="S755" i="2"/>
  <c r="T755" i="2" s="1"/>
  <c r="S760" i="2"/>
  <c r="T760" i="2" s="1"/>
  <c r="S708" i="2"/>
  <c r="T708" i="2" s="1"/>
  <c r="S744" i="2"/>
  <c r="T744" i="2" s="1"/>
  <c r="S687" i="2"/>
  <c r="T687" i="2" s="1"/>
  <c r="S689" i="2"/>
  <c r="T689" i="2" s="1"/>
  <c r="S696" i="2"/>
  <c r="T696" i="2" s="1"/>
  <c r="S698" i="2"/>
  <c r="T698" i="2" s="1"/>
  <c r="S704" i="2"/>
  <c r="T704" i="2" s="1"/>
  <c r="S705" i="2"/>
  <c r="T705" i="2" s="1"/>
  <c r="S713" i="2"/>
  <c r="T713" i="2" s="1"/>
  <c r="S714" i="2"/>
  <c r="T714" i="2" s="1"/>
  <c r="S722" i="2"/>
  <c r="T722" i="2" s="1"/>
  <c r="S723" i="2"/>
  <c r="T723" i="2" s="1"/>
  <c r="S731" i="2"/>
  <c r="T731" i="2" s="1"/>
  <c r="S732" i="2"/>
  <c r="T732" i="2" s="1"/>
  <c r="S740" i="2"/>
  <c r="T740" i="2" s="1"/>
  <c r="S741" i="2"/>
  <c r="T741" i="2" s="1"/>
  <c r="S749" i="2"/>
  <c r="T749" i="2" s="1"/>
  <c r="S750" i="2"/>
  <c r="T750" i="2" s="1"/>
  <c r="S758" i="2"/>
  <c r="T758" i="2" s="1"/>
  <c r="S759" i="2"/>
  <c r="T759" i="2" s="1"/>
  <c r="S862" i="1"/>
  <c r="T862" i="1" s="1"/>
  <c r="S756" i="1"/>
  <c r="T756" i="1" s="1"/>
  <c r="S826" i="1"/>
  <c r="T826" i="1" s="1"/>
  <c r="S780" i="1"/>
  <c r="T780" i="1" s="1"/>
  <c r="S744" i="1"/>
  <c r="T744" i="1" s="1"/>
  <c r="S789" i="1"/>
  <c r="T789" i="1" s="1"/>
  <c r="S847" i="1"/>
  <c r="T847" i="1" s="1"/>
  <c r="S838" i="1"/>
  <c r="T838" i="1" s="1"/>
  <c r="S860" i="1"/>
  <c r="T860" i="1" s="1"/>
  <c r="S859" i="1"/>
  <c r="T859" i="1" s="1"/>
  <c r="S851" i="1"/>
  <c r="T851" i="1" s="1"/>
  <c r="S850" i="1"/>
  <c r="T850" i="1" s="1"/>
  <c r="S842" i="1"/>
  <c r="T842" i="1" s="1"/>
  <c r="S841" i="1"/>
  <c r="T841" i="1" s="1"/>
  <c r="S833" i="1"/>
  <c r="T833" i="1" s="1"/>
  <c r="S832" i="1"/>
  <c r="T832" i="1" s="1"/>
  <c r="S824" i="1"/>
  <c r="T824" i="1" s="1"/>
  <c r="S813" i="1"/>
  <c r="T813" i="1" s="1"/>
  <c r="S803" i="1"/>
  <c r="T803" i="1" s="1"/>
  <c r="S791" i="1"/>
  <c r="T791" i="1" s="1"/>
  <c r="S764" i="1"/>
  <c r="T764" i="1" s="1"/>
  <c r="S752" i="1"/>
  <c r="T752" i="1" s="1"/>
  <c r="S740" i="1"/>
  <c r="T740" i="1" s="1"/>
  <c r="S801" i="1"/>
  <c r="T801" i="1" s="1"/>
  <c r="S779" i="1"/>
  <c r="T779" i="1" s="1"/>
  <c r="S767" i="1"/>
  <c r="T767" i="1" s="1"/>
  <c r="S794" i="1"/>
  <c r="T794" i="1" s="1"/>
  <c r="S765" i="1"/>
  <c r="T765" i="1" s="1"/>
  <c r="S753" i="1"/>
  <c r="T753" i="1" s="1"/>
  <c r="S750" i="1"/>
  <c r="T750" i="1" s="1"/>
  <c r="S739" i="1"/>
  <c r="T739" i="1" s="1"/>
  <c r="S819" i="1"/>
  <c r="T819" i="1" s="1"/>
  <c r="S817" i="1"/>
  <c r="T817" i="1" s="1"/>
  <c r="S816" i="1"/>
  <c r="T816" i="1" s="1"/>
  <c r="S807" i="1"/>
  <c r="T807" i="1" s="1"/>
  <c r="S804" i="1"/>
  <c r="T804" i="1" s="1"/>
  <c r="S797" i="1"/>
  <c r="T797" i="1" s="1"/>
  <c r="S782" i="1"/>
  <c r="T782" i="1" s="1"/>
  <c r="S770" i="1"/>
  <c r="T770" i="1" s="1"/>
  <c r="S758" i="1"/>
  <c r="T758" i="1" s="1"/>
  <c r="S746" i="1"/>
  <c r="T746" i="1" s="1"/>
  <c r="S799" i="1"/>
  <c r="T799" i="1" s="1"/>
  <c r="S786" i="1"/>
  <c r="T786" i="1" s="1"/>
  <c r="S755" i="1"/>
  <c r="T755" i="1" s="1"/>
  <c r="S743" i="1"/>
  <c r="T743" i="1" s="1"/>
  <c r="S829" i="1"/>
  <c r="T829" i="1" s="1"/>
  <c r="S821" i="1"/>
  <c r="T821" i="1" s="1"/>
  <c r="S814" i="1"/>
  <c r="T814" i="1" s="1"/>
  <c r="S809" i="1"/>
  <c r="T809" i="1" s="1"/>
  <c r="S774" i="1"/>
  <c r="T774" i="1" s="1"/>
  <c r="S763" i="1"/>
  <c r="T763" i="1" s="1"/>
  <c r="S741" i="1"/>
  <c r="T741" i="1" s="1"/>
  <c r="S812" i="1"/>
  <c r="T812" i="1" s="1"/>
  <c r="S795" i="1"/>
  <c r="T795" i="1" s="1"/>
  <c r="S785" i="1"/>
  <c r="T785" i="1" s="1"/>
  <c r="S778" i="1"/>
  <c r="T778" i="1" s="1"/>
  <c r="S773" i="1"/>
  <c r="T773" i="1" s="1"/>
  <c r="S766" i="1"/>
  <c r="T766" i="1" s="1"/>
  <c r="S761" i="1"/>
  <c r="T761" i="1" s="1"/>
  <c r="S754" i="1"/>
  <c r="T754" i="1" s="1"/>
  <c r="S749" i="1"/>
  <c r="T749" i="1" s="1"/>
  <c r="S742" i="1"/>
  <c r="T742" i="1" s="1"/>
  <c r="S798" i="1"/>
  <c r="T798" i="1" s="1"/>
  <c r="S856" i="1"/>
  <c r="T856" i="1" s="1"/>
  <c r="S777" i="1"/>
  <c r="T777" i="1" s="1"/>
  <c r="S762" i="1"/>
  <c r="T762" i="1" s="1"/>
  <c r="S751" i="1"/>
  <c r="T751" i="1" s="1"/>
  <c r="S815" i="1"/>
  <c r="T815" i="1" s="1"/>
  <c r="S800" i="1"/>
  <c r="T800" i="1" s="1"/>
  <c r="S783" i="1"/>
  <c r="T783" i="1" s="1"/>
  <c r="S771" i="1"/>
  <c r="T771" i="1" s="1"/>
  <c r="S759" i="1"/>
  <c r="T759" i="1" s="1"/>
  <c r="S747" i="1"/>
  <c r="T747" i="1" s="1"/>
  <c r="S861" i="1"/>
  <c r="T861" i="1" s="1"/>
  <c r="S855" i="1"/>
  <c r="T855" i="1" s="1"/>
  <c r="S849" i="1"/>
  <c r="T849" i="1" s="1"/>
  <c r="S843" i="1"/>
  <c r="T843" i="1" s="1"/>
  <c r="S837" i="1"/>
  <c r="T837" i="1" s="1"/>
  <c r="S831" i="1"/>
  <c r="T831" i="1" s="1"/>
  <c r="S825" i="1"/>
  <c r="T825" i="1" s="1"/>
  <c r="S823" i="1"/>
  <c r="T823" i="1" s="1"/>
  <c r="S820" i="1"/>
  <c r="T820" i="1" s="1"/>
  <c r="S805" i="1"/>
  <c r="T805" i="1" s="1"/>
  <c r="S802" i="1"/>
  <c r="T802" i="1" s="1"/>
  <c r="S787" i="1"/>
  <c r="T787" i="1" s="1"/>
  <c r="S784" i="1"/>
  <c r="T784" i="1" s="1"/>
  <c r="S776" i="1"/>
  <c r="T776" i="1" s="1"/>
  <c r="S811" i="1"/>
  <c r="T811" i="1" s="1"/>
  <c r="S808" i="1"/>
  <c r="T808" i="1" s="1"/>
  <c r="S793" i="1"/>
  <c r="T793" i="1" s="1"/>
  <c r="S790" i="1"/>
  <c r="T790" i="1" s="1"/>
  <c r="S775" i="1"/>
  <c r="T775" i="1" s="1"/>
  <c r="S864" i="1"/>
  <c r="T864" i="1" s="1"/>
  <c r="S858" i="1"/>
  <c r="T858" i="1" s="1"/>
  <c r="S852" i="1"/>
  <c r="T852" i="1" s="1"/>
  <c r="S846" i="1"/>
  <c r="T846" i="1" s="1"/>
  <c r="S840" i="1"/>
  <c r="T840" i="1" s="1"/>
  <c r="S834" i="1"/>
  <c r="T834" i="1" s="1"/>
  <c r="S828" i="1"/>
  <c r="T828" i="1" s="1"/>
  <c r="S806" i="1"/>
  <c r="T806" i="1" s="1"/>
  <c r="S788" i="1"/>
  <c r="T788" i="1" s="1"/>
  <c r="S733" i="1"/>
  <c r="T733" i="1" s="1"/>
  <c r="S715" i="1"/>
  <c r="T715" i="1" s="1"/>
  <c r="S697" i="1"/>
  <c r="T697" i="1" s="1"/>
  <c r="S679" i="1"/>
  <c r="T679" i="1" s="1"/>
  <c r="S694" i="1"/>
  <c r="T694" i="1" s="1"/>
  <c r="S727" i="1"/>
  <c r="T727" i="1" s="1"/>
  <c r="S709" i="1"/>
  <c r="T709" i="1" s="1"/>
  <c r="S691" i="1"/>
  <c r="T691" i="1" s="1"/>
  <c r="S670" i="1"/>
  <c r="T670" i="1" s="1"/>
  <c r="S520" i="1"/>
  <c r="T520" i="1" s="1"/>
  <c r="S721" i="1"/>
  <c r="T721" i="1" s="1"/>
  <c r="S703" i="1"/>
  <c r="T703" i="1" s="1"/>
  <c r="S685" i="1"/>
  <c r="T685" i="1" s="1"/>
  <c r="S650" i="1"/>
  <c r="T650" i="1" s="1"/>
  <c r="S644" i="1"/>
  <c r="T644" i="1" s="1"/>
  <c r="S638" i="1"/>
  <c r="T638" i="1" s="1"/>
  <c r="S632" i="1"/>
  <c r="T632" i="1" s="1"/>
  <c r="S626" i="1"/>
  <c r="T626" i="1" s="1"/>
  <c r="S620" i="1"/>
  <c r="T620" i="1" s="1"/>
  <c r="S614" i="1"/>
  <c r="T614" i="1" s="1"/>
  <c r="S608" i="1"/>
  <c r="T608" i="1" s="1"/>
  <c r="S602" i="1"/>
  <c r="T602" i="1" s="1"/>
  <c r="S596" i="1"/>
  <c r="T596" i="1" s="1"/>
  <c r="S590" i="1"/>
  <c r="T590" i="1" s="1"/>
  <c r="S584" i="1"/>
  <c r="T584" i="1" s="1"/>
  <c r="S580" i="1"/>
  <c r="T580" i="1" s="1"/>
  <c r="S578" i="1"/>
  <c r="T578" i="1" s="1"/>
  <c r="S571" i="1"/>
  <c r="T571" i="1" s="1"/>
  <c r="S569" i="1"/>
  <c r="T569" i="1" s="1"/>
  <c r="S562" i="1"/>
  <c r="T562" i="1" s="1"/>
  <c r="S560" i="1"/>
  <c r="T560" i="1" s="1"/>
  <c r="S553" i="1"/>
  <c r="T553" i="1" s="1"/>
  <c r="S551" i="1"/>
  <c r="T551" i="1" s="1"/>
  <c r="S544" i="1"/>
  <c r="T544" i="1" s="1"/>
  <c r="S542" i="1"/>
  <c r="T542" i="1" s="1"/>
  <c r="S531" i="1"/>
  <c r="T531" i="1" s="1"/>
  <c r="S517" i="1"/>
  <c r="T517" i="1" s="1"/>
  <c r="S513" i="1"/>
  <c r="T513" i="1" s="1"/>
  <c r="S499" i="1"/>
  <c r="T499" i="1" s="1"/>
  <c r="S712" i="1"/>
  <c r="T712" i="1" s="1"/>
  <c r="S736" i="1"/>
  <c r="T736" i="1" s="1"/>
  <c r="S718" i="1"/>
  <c r="T718" i="1" s="1"/>
  <c r="S700" i="1"/>
  <c r="T700" i="1" s="1"/>
  <c r="S682" i="1"/>
  <c r="T682" i="1" s="1"/>
  <c r="S676" i="1"/>
  <c r="T676" i="1" s="1"/>
  <c r="S664" i="1"/>
  <c r="T664" i="1" s="1"/>
  <c r="S655" i="1"/>
  <c r="T655" i="1" s="1"/>
  <c r="S540" i="1"/>
  <c r="T540" i="1" s="1"/>
  <c r="S529" i="1"/>
  <c r="T529" i="1" s="1"/>
  <c r="S511" i="1"/>
  <c r="T511" i="1" s="1"/>
  <c r="S496" i="1"/>
  <c r="T496" i="1" s="1"/>
  <c r="S484" i="1"/>
  <c r="T484" i="1" s="1"/>
  <c r="S575" i="1"/>
  <c r="T575" i="1" s="1"/>
  <c r="S566" i="1"/>
  <c r="T566" i="1" s="1"/>
  <c r="S557" i="1"/>
  <c r="T557" i="1" s="1"/>
  <c r="S548" i="1"/>
  <c r="T548" i="1" s="1"/>
  <c r="S539" i="1"/>
  <c r="T539" i="1" s="1"/>
  <c r="S530" i="1"/>
  <c r="T530" i="1" s="1"/>
  <c r="S521" i="1"/>
  <c r="T521" i="1" s="1"/>
  <c r="S512" i="1"/>
  <c r="T512" i="1" s="1"/>
  <c r="S494" i="1"/>
  <c r="T494" i="1" s="1"/>
  <c r="S476" i="1"/>
  <c r="T476" i="1" s="1"/>
  <c r="S459" i="1"/>
  <c r="T459" i="1" s="1"/>
  <c r="S453" i="1"/>
  <c r="T453" i="1" s="1"/>
  <c r="S447" i="1"/>
  <c r="T447" i="1" s="1"/>
  <c r="S441" i="1"/>
  <c r="T441" i="1" s="1"/>
  <c r="S435" i="1"/>
  <c r="T435" i="1" s="1"/>
  <c r="S429" i="1"/>
  <c r="T429" i="1" s="1"/>
  <c r="S423" i="1"/>
  <c r="T423" i="1" s="1"/>
  <c r="S419" i="1"/>
  <c r="T419" i="1" s="1"/>
  <c r="S401" i="1"/>
  <c r="T401" i="1" s="1"/>
  <c r="S383" i="1"/>
  <c r="T383" i="1" s="1"/>
  <c r="S370" i="1"/>
  <c r="T370" i="1" s="1"/>
  <c r="S358" i="1"/>
  <c r="T358" i="1" s="1"/>
  <c r="S346" i="1"/>
  <c r="T346" i="1" s="1"/>
  <c r="S314" i="1"/>
  <c r="T314" i="1" s="1"/>
  <c r="S307" i="1"/>
  <c r="T307" i="1" s="1"/>
  <c r="S524" i="1"/>
  <c r="T524" i="1" s="1"/>
  <c r="S515" i="1"/>
  <c r="T515" i="1" s="1"/>
  <c r="S506" i="1"/>
  <c r="T506" i="1" s="1"/>
  <c r="S488" i="1"/>
  <c r="T488" i="1" s="1"/>
  <c r="S470" i="1"/>
  <c r="T470" i="1" s="1"/>
  <c r="S464" i="1"/>
  <c r="T464" i="1" s="1"/>
  <c r="S457" i="1"/>
  <c r="T457" i="1" s="1"/>
  <c r="S451" i="1"/>
  <c r="T451" i="1" s="1"/>
  <c r="S445" i="1"/>
  <c r="T445" i="1" s="1"/>
  <c r="S439" i="1"/>
  <c r="T439" i="1" s="1"/>
  <c r="S433" i="1"/>
  <c r="T433" i="1" s="1"/>
  <c r="S427" i="1"/>
  <c r="T427" i="1" s="1"/>
  <c r="S421" i="1"/>
  <c r="T421" i="1" s="1"/>
  <c r="S265" i="1"/>
  <c r="T265" i="1" s="1"/>
  <c r="S503" i="1"/>
  <c r="T503" i="1" s="1"/>
  <c r="S485" i="1"/>
  <c r="T485" i="1" s="1"/>
  <c r="S467" i="1"/>
  <c r="T467" i="1" s="1"/>
  <c r="S581" i="1"/>
  <c r="T581" i="1" s="1"/>
  <c r="S572" i="1"/>
  <c r="T572" i="1" s="1"/>
  <c r="S563" i="1"/>
  <c r="T563" i="1" s="1"/>
  <c r="S554" i="1"/>
  <c r="T554" i="1" s="1"/>
  <c r="S545" i="1"/>
  <c r="T545" i="1" s="1"/>
  <c r="S536" i="1"/>
  <c r="T536" i="1" s="1"/>
  <c r="S527" i="1"/>
  <c r="T527" i="1" s="1"/>
  <c r="S518" i="1"/>
  <c r="T518" i="1" s="1"/>
  <c r="S509" i="1"/>
  <c r="T509" i="1" s="1"/>
  <c r="S500" i="1"/>
  <c r="T500" i="1" s="1"/>
  <c r="S482" i="1"/>
  <c r="T482" i="1" s="1"/>
  <c r="S413" i="1"/>
  <c r="T413" i="1" s="1"/>
  <c r="S395" i="1"/>
  <c r="T395" i="1" s="1"/>
  <c r="S377" i="1"/>
  <c r="T377" i="1" s="1"/>
  <c r="S365" i="1"/>
  <c r="T365" i="1" s="1"/>
  <c r="S353" i="1"/>
  <c r="T353" i="1" s="1"/>
  <c r="S313" i="1"/>
  <c r="T313" i="1" s="1"/>
  <c r="S278" i="1"/>
  <c r="T278" i="1" s="1"/>
  <c r="S329" i="1"/>
  <c r="T329" i="1" s="1"/>
  <c r="S316" i="1"/>
  <c r="T316" i="1" s="1"/>
  <c r="S315" i="1"/>
  <c r="T315" i="1" s="1"/>
  <c r="S293" i="1"/>
  <c r="T293" i="1" s="1"/>
  <c r="S280" i="1"/>
  <c r="T280" i="1" s="1"/>
  <c r="S279" i="1"/>
  <c r="T279" i="1" s="1"/>
  <c r="S257" i="1"/>
  <c r="T257" i="1" s="1"/>
  <c r="S247" i="1"/>
  <c r="T247" i="1" s="1"/>
  <c r="S241" i="1"/>
  <c r="T241" i="1" s="1"/>
  <c r="S233" i="1"/>
  <c r="T233" i="1" s="1"/>
  <c r="S230" i="1"/>
  <c r="T230" i="1" s="1"/>
  <c r="S227" i="1"/>
  <c r="T227" i="1" s="1"/>
  <c r="S224" i="1"/>
  <c r="T224" i="1" s="1"/>
  <c r="S341" i="1"/>
  <c r="T341" i="1" s="1"/>
  <c r="S328" i="1"/>
  <c r="T328" i="1" s="1"/>
  <c r="S327" i="1"/>
  <c r="T327" i="1" s="1"/>
  <c r="S305" i="1"/>
  <c r="T305" i="1" s="1"/>
  <c r="S292" i="1"/>
  <c r="T292" i="1" s="1"/>
  <c r="S291" i="1"/>
  <c r="T291" i="1" s="1"/>
  <c r="S269" i="1"/>
  <c r="T269" i="1" s="1"/>
  <c r="S256" i="1"/>
  <c r="T256" i="1" s="1"/>
  <c r="S255" i="1"/>
  <c r="T255" i="1" s="1"/>
  <c r="S251" i="1"/>
  <c r="T251" i="1" s="1"/>
  <c r="S239" i="1"/>
  <c r="T239" i="1" s="1"/>
  <c r="S218" i="1"/>
  <c r="T218" i="1" s="1"/>
  <c r="S334" i="1"/>
  <c r="T334" i="1" s="1"/>
  <c r="S333" i="1"/>
  <c r="T333" i="1" s="1"/>
  <c r="S311" i="1"/>
  <c r="T311" i="1" s="1"/>
  <c r="S298" i="1"/>
  <c r="T298" i="1" s="1"/>
  <c r="S297" i="1"/>
  <c r="T297" i="1" s="1"/>
  <c r="S275" i="1"/>
  <c r="T275" i="1" s="1"/>
  <c r="S262" i="1"/>
  <c r="T262" i="1" s="1"/>
  <c r="S261" i="1"/>
  <c r="T261" i="1" s="1"/>
  <c r="S317" i="1"/>
  <c r="T317" i="1" s="1"/>
  <c r="S281" i="1"/>
  <c r="T281" i="1" s="1"/>
  <c r="S250" i="1"/>
  <c r="T250" i="1" s="1"/>
  <c r="S249" i="1"/>
  <c r="T249" i="1" s="1"/>
  <c r="S244" i="1"/>
  <c r="T244" i="1" s="1"/>
  <c r="S243" i="1"/>
  <c r="T243" i="1" s="1"/>
  <c r="S238" i="1"/>
  <c r="T238" i="1" s="1"/>
  <c r="S235" i="1"/>
  <c r="T235" i="1" s="1"/>
  <c r="S323" i="1"/>
  <c r="T323" i="1" s="1"/>
  <c r="S310" i="1"/>
  <c r="T310" i="1" s="1"/>
  <c r="S309" i="1"/>
  <c r="T309" i="1" s="1"/>
  <c r="S287" i="1"/>
  <c r="T287" i="1" s="1"/>
  <c r="S274" i="1"/>
  <c r="T274" i="1" s="1"/>
  <c r="S273" i="1"/>
  <c r="T273" i="1" s="1"/>
  <c r="S191" i="1"/>
  <c r="T191" i="1" s="1"/>
  <c r="S189" i="1"/>
  <c r="T189" i="1" s="1"/>
  <c r="S172" i="1"/>
  <c r="T172" i="1" s="1"/>
  <c r="S160" i="1"/>
  <c r="T160" i="1" s="1"/>
  <c r="S148" i="1"/>
  <c r="T148" i="1" s="1"/>
  <c r="S135" i="1"/>
  <c r="T135" i="1" s="1"/>
  <c r="S131" i="1"/>
  <c r="T131" i="1" s="1"/>
  <c r="S117" i="1"/>
  <c r="T117" i="1" s="1"/>
  <c r="S197" i="1"/>
  <c r="T197" i="1" s="1"/>
  <c r="S195" i="1"/>
  <c r="T195" i="1" s="1"/>
  <c r="S179" i="1"/>
  <c r="T179" i="1" s="1"/>
  <c r="S177" i="1"/>
  <c r="T177" i="1" s="1"/>
  <c r="S167" i="1"/>
  <c r="T167" i="1" s="1"/>
  <c r="S165" i="1"/>
  <c r="T165" i="1" s="1"/>
  <c r="S155" i="1"/>
  <c r="T155" i="1" s="1"/>
  <c r="S153" i="1"/>
  <c r="T153" i="1" s="1"/>
  <c r="S143" i="1"/>
  <c r="T143" i="1" s="1"/>
  <c r="S106" i="1"/>
  <c r="T106" i="1" s="1"/>
  <c r="S203" i="1"/>
  <c r="T203" i="1" s="1"/>
  <c r="S201" i="1"/>
  <c r="T201" i="1" s="1"/>
  <c r="S185" i="1"/>
  <c r="T185" i="1" s="1"/>
  <c r="S183" i="1"/>
  <c r="T183" i="1" s="1"/>
  <c r="S141" i="1"/>
  <c r="T141" i="1" s="1"/>
  <c r="S137" i="1"/>
  <c r="T137" i="1" s="1"/>
  <c r="S123" i="1"/>
  <c r="T123" i="1" s="1"/>
  <c r="S99" i="1"/>
  <c r="T99" i="1" s="1"/>
  <c r="S91" i="1"/>
  <c r="T91" i="1" s="1"/>
  <c r="S202" i="1"/>
  <c r="T202" i="1" s="1"/>
  <c r="S184" i="1"/>
  <c r="T184" i="1" s="1"/>
  <c r="S173" i="1"/>
  <c r="T173" i="1" s="1"/>
  <c r="S171" i="1"/>
  <c r="T171" i="1" s="1"/>
  <c r="S161" i="1"/>
  <c r="T161" i="1" s="1"/>
  <c r="S159" i="1"/>
  <c r="T159" i="1" s="1"/>
  <c r="S149" i="1"/>
  <c r="T149" i="1" s="1"/>
  <c r="S147" i="1"/>
  <c r="T147" i="1" s="1"/>
  <c r="S136" i="1"/>
  <c r="T136" i="1" s="1"/>
  <c r="S118" i="1"/>
  <c r="T118" i="1" s="1"/>
  <c r="S89" i="1"/>
  <c r="T89" i="1" s="1"/>
  <c r="S66" i="1"/>
  <c r="T66" i="1" s="1"/>
  <c r="S49" i="1"/>
  <c r="T49" i="1" s="1"/>
  <c r="S30" i="1"/>
  <c r="T30" i="1" s="1"/>
  <c r="S13" i="1"/>
  <c r="T13" i="1" s="1"/>
  <c r="S95" i="1"/>
  <c r="T95" i="1" s="1"/>
  <c r="S85" i="1"/>
  <c r="T85" i="1" s="1"/>
  <c r="S82" i="1"/>
  <c r="T82" i="1" s="1"/>
  <c r="S79" i="1"/>
  <c r="T79" i="1" s="1"/>
  <c r="S61" i="1"/>
  <c r="T61" i="1" s="1"/>
  <c r="S42" i="1"/>
  <c r="T42" i="1" s="1"/>
  <c r="S25" i="1"/>
  <c r="T25" i="1" s="1"/>
  <c r="S6" i="1"/>
  <c r="T6" i="1" s="1"/>
  <c r="S67" i="1"/>
  <c r="T67" i="1" s="1"/>
  <c r="S48" i="1"/>
  <c r="T48" i="1" s="1"/>
  <c r="S31" i="1"/>
  <c r="T31" i="1" s="1"/>
  <c r="S12" i="1"/>
  <c r="T12" i="1" s="1"/>
  <c r="S92" i="1"/>
  <c r="T92" i="1" s="1"/>
  <c r="S60" i="1"/>
  <c r="T60" i="1" s="1"/>
  <c r="S43" i="1"/>
  <c r="T43" i="1" s="1"/>
  <c r="S24" i="1"/>
  <c r="T24" i="1" s="1"/>
  <c r="S7" i="1"/>
  <c r="T7" i="1" s="1"/>
  <c r="AA14" i="2" l="1"/>
  <c r="AA13" i="2"/>
  <c r="AA3" i="2"/>
  <c r="Y15" i="2"/>
  <c r="Y4" i="2"/>
  <c r="Y7" i="2"/>
  <c r="Y10" i="2"/>
  <c r="Y5" i="2"/>
  <c r="Y2" i="2"/>
  <c r="AA15" i="2"/>
  <c r="AA11" i="2"/>
  <c r="AA10" i="2"/>
  <c r="AA2" i="2"/>
  <c r="AC3" i="2" a="1"/>
  <c r="AC3" i="2" s="1"/>
  <c r="AA8" i="2"/>
  <c r="Z3" i="2"/>
  <c r="Z13" i="2"/>
  <c r="Y12" i="2"/>
  <c r="Z15" i="2"/>
  <c r="Z4" i="2"/>
  <c r="AA7" i="2"/>
  <c r="Y8" i="2"/>
  <c r="Z2" i="2"/>
  <c r="AA12" i="2"/>
  <c r="Y14" i="2"/>
  <c r="Y9" i="2"/>
  <c r="Y13" i="2"/>
  <c r="Y11" i="2"/>
  <c r="Z5" i="2"/>
  <c r="T543" i="2"/>
  <c r="AC5" i="2" s="1"/>
  <c r="AA4" i="2" l="1"/>
  <c r="AC4" i="2" a="1"/>
  <c r="AC4" i="2" s="1"/>
  <c r="AC2" i="2" a="1"/>
  <c r="AC2" i="2" s="1"/>
  <c r="AA16" i="2"/>
  <c r="AA5" i="2"/>
</calcChain>
</file>

<file path=xl/sharedStrings.xml><?xml version="1.0" encoding="utf-8"?>
<sst xmlns="http://schemas.openxmlformats.org/spreadsheetml/2006/main" count="13328" uniqueCount="1555">
  <si>
    <t>포인트명</t>
  </si>
  <si>
    <t>서비스명</t>
    <phoneticPr fontId="3" type="noConversion"/>
  </si>
  <si>
    <t>마운트포인트</t>
    <phoneticPr fontId="3" type="noConversion"/>
  </si>
  <si>
    <t>x(N)</t>
  </si>
  <si>
    <t>y(E)</t>
  </si>
  <si>
    <t>z(H)</t>
    <phoneticPr fontId="3" type="noConversion"/>
  </si>
  <si>
    <t>수평 정밀도</t>
    <phoneticPr fontId="3" type="noConversion"/>
  </si>
  <si>
    <t>수직 정밀도</t>
    <phoneticPr fontId="3" type="noConversion"/>
  </si>
  <si>
    <t>고시x</t>
    <phoneticPr fontId="4" type="noConversion"/>
  </si>
  <si>
    <t>고시y</t>
    <phoneticPr fontId="4" type="noConversion"/>
  </si>
  <si>
    <t>타원체고</t>
    <phoneticPr fontId="4" type="noConversion"/>
  </si>
  <si>
    <t>ΔX</t>
  </si>
  <si>
    <t>ΔY</t>
  </si>
  <si>
    <t>ΔZ</t>
  </si>
  <si>
    <t>ΔX2</t>
    <phoneticPr fontId="3" type="noConversion"/>
  </si>
  <si>
    <t>ΔY2</t>
    <phoneticPr fontId="3" type="noConversion"/>
  </si>
  <si>
    <t>ΔZ2</t>
    <phoneticPr fontId="3" type="noConversion"/>
  </si>
  <si>
    <t>ΔX2+ΔY2</t>
    <phoneticPr fontId="3" type="noConversion"/>
  </si>
  <si>
    <t>루트 ΔX2+ΔY2</t>
    <phoneticPr fontId="3" type="noConversion"/>
  </si>
  <si>
    <t>U모슬포10</t>
    <phoneticPr fontId="3" type="noConversion"/>
  </si>
  <si>
    <t>rts1</t>
  </si>
  <si>
    <t>vrs-cmrx</t>
    <phoneticPr fontId="3" type="noConversion"/>
  </si>
  <si>
    <t>79179.2171</t>
  </si>
  <si>
    <t>130950.9592</t>
  </si>
  <si>
    <t>130.757</t>
  </si>
  <si>
    <t>3.4</t>
  </si>
  <si>
    <t>6.5</t>
  </si>
  <si>
    <t>79179.2207</t>
    <phoneticPr fontId="4" type="noConversion"/>
  </si>
  <si>
    <t>130950.9634</t>
    <phoneticPr fontId="4" type="noConversion"/>
  </si>
  <si>
    <t>130.8539</t>
  </si>
  <si>
    <t>vrs-rtcm31</t>
    <phoneticPr fontId="3" type="noConversion"/>
  </si>
  <si>
    <t>79179.2005</t>
  </si>
  <si>
    <t>130950.9832</t>
  </si>
  <si>
    <t>130.783</t>
  </si>
  <si>
    <t>4.9</t>
  </si>
  <si>
    <t>7.6</t>
  </si>
  <si>
    <t>U모슬포10</t>
  </si>
  <si>
    <t>rtk-rtcm32</t>
    <phoneticPr fontId="3" type="noConversion"/>
  </si>
  <si>
    <t>79179.2099</t>
  </si>
  <si>
    <t>130950.9680</t>
  </si>
  <si>
    <t>130.735</t>
  </si>
  <si>
    <t>2.9</t>
  </si>
  <si>
    <t>6.1</t>
  </si>
  <si>
    <t>79179.2207</t>
  </si>
  <si>
    <t>130950.9634</t>
  </si>
  <si>
    <t>rts1</t>
    <phoneticPr fontId="3" type="noConversion"/>
  </si>
  <si>
    <t>vrs-rtcm34</t>
    <phoneticPr fontId="3" type="noConversion"/>
  </si>
  <si>
    <t>79179.2180</t>
  </si>
  <si>
    <t>130950.9656</t>
  </si>
  <si>
    <t>0.8</t>
  </si>
  <si>
    <t>1.6</t>
  </si>
  <si>
    <t>rts2</t>
  </si>
  <si>
    <t>vrs-rtcm32</t>
    <phoneticPr fontId="3" type="noConversion"/>
  </si>
  <si>
    <t>79179.1995</t>
  </si>
  <si>
    <t>130950.9713</t>
  </si>
  <si>
    <t>130.876</t>
  </si>
  <si>
    <t>1.9</t>
  </si>
  <si>
    <t>rts2</t>
    <phoneticPr fontId="3" type="noConversion"/>
  </si>
  <si>
    <t>79179.1835</t>
  </si>
  <si>
    <t>130950.9867</t>
  </si>
  <si>
    <t>130.891</t>
  </si>
  <si>
    <t>16.8</t>
  </si>
  <si>
    <t>25.6</t>
  </si>
  <si>
    <t>fkp-rtcm31</t>
    <phoneticPr fontId="3" type="noConversion"/>
  </si>
  <si>
    <t>79179.3830</t>
  </si>
  <si>
    <t>130951.0105</t>
  </si>
  <si>
    <t>130.528</t>
  </si>
  <si>
    <t>73.6</t>
  </si>
  <si>
    <t>105.4</t>
  </si>
  <si>
    <t>U제주07</t>
    <phoneticPr fontId="3" type="noConversion"/>
  </si>
  <si>
    <t>92658.4598</t>
  </si>
  <si>
    <t>163134.8502</t>
  </si>
  <si>
    <t>653.759</t>
  </si>
  <si>
    <t>1.5</t>
  </si>
  <si>
    <t>2.3</t>
  </si>
  <si>
    <t>92658.4518</t>
    <phoneticPr fontId="4" type="noConversion"/>
  </si>
  <si>
    <t>163134.8489</t>
    <phoneticPr fontId="4" type="noConversion"/>
  </si>
  <si>
    <t>653.7229</t>
  </si>
  <si>
    <t>92658.4640</t>
  </si>
  <si>
    <t>163134.8554</t>
  </si>
  <si>
    <t>653.761</t>
  </si>
  <si>
    <t>1.3</t>
  </si>
  <si>
    <t>2.5</t>
  </si>
  <si>
    <t>U제주07</t>
  </si>
  <si>
    <t>92658.4544</t>
  </si>
  <si>
    <t>163134.8570</t>
  </si>
  <si>
    <t>653.763</t>
  </si>
  <si>
    <t>1.2</t>
  </si>
  <si>
    <t>4.3</t>
  </si>
  <si>
    <t>92658.4518</t>
  </si>
  <si>
    <t>163134.8489</t>
  </si>
  <si>
    <t>92658.4656</t>
  </si>
  <si>
    <t>163134.8594</t>
  </si>
  <si>
    <t>653.746</t>
  </si>
  <si>
    <t>0.6</t>
  </si>
  <si>
    <t>1.4</t>
  </si>
  <si>
    <t>92657.4247</t>
  </si>
  <si>
    <t>163135.2331</t>
  </si>
  <si>
    <t>655.145</t>
  </si>
  <si>
    <t>58.0</t>
  </si>
  <si>
    <t>75.0</t>
  </si>
  <si>
    <t>92658.4562</t>
  </si>
  <si>
    <t>163134.8488</t>
  </si>
  <si>
    <t>653.805</t>
  </si>
  <si>
    <t>92658.4577</t>
  </si>
  <si>
    <t>163134.8504</t>
  </si>
  <si>
    <t>653.823</t>
  </si>
  <si>
    <t>0.5</t>
  </si>
  <si>
    <t>1.7</t>
  </si>
  <si>
    <t>U한림07</t>
    <phoneticPr fontId="3" type="noConversion"/>
  </si>
  <si>
    <t>vrs-rtcm23</t>
    <phoneticPr fontId="3" type="noConversion"/>
  </si>
  <si>
    <t>96905.7285</t>
  </si>
  <si>
    <t>150761.8429</t>
  </si>
  <si>
    <t>162.626</t>
  </si>
  <si>
    <t>2.8</t>
  </si>
  <si>
    <t>96905.7006</t>
  </si>
  <si>
    <t>150761.8203</t>
  </si>
  <si>
    <t>162.723</t>
  </si>
  <si>
    <t>96905.7160</t>
  </si>
  <si>
    <t>150761.8266</t>
  </si>
  <si>
    <t>162.619</t>
  </si>
  <si>
    <t>1.0</t>
  </si>
  <si>
    <t>U한림07</t>
  </si>
  <si>
    <t>96905.7211</t>
  </si>
  <si>
    <t>150761.8443</t>
  </si>
  <si>
    <t>162.622</t>
  </si>
  <si>
    <t>96905.7216</t>
  </si>
  <si>
    <t>150761.8351</t>
  </si>
  <si>
    <t>162.637</t>
  </si>
  <si>
    <t>2.7</t>
  </si>
  <si>
    <t>96905.7336</t>
  </si>
  <si>
    <t>150761.8501</t>
  </si>
  <si>
    <t>162.630</t>
  </si>
  <si>
    <t>96905.7117</t>
  </si>
  <si>
    <t>150761.8406</t>
  </si>
  <si>
    <t>162.669</t>
  </si>
  <si>
    <t>96905.7149</t>
  </si>
  <si>
    <t>150761.8434</t>
  </si>
  <si>
    <t>162.685</t>
  </si>
  <si>
    <t>0.4</t>
  </si>
  <si>
    <t>U모슬포20</t>
    <phoneticPr fontId="3" type="noConversion"/>
  </si>
  <si>
    <t>84698.8542</t>
  </si>
  <si>
    <t>129961.9493</t>
  </si>
  <si>
    <t>101.199</t>
  </si>
  <si>
    <t>4.7</t>
  </si>
  <si>
    <t>84698.8541</t>
    <phoneticPr fontId="4" type="noConversion"/>
  </si>
  <si>
    <t>129961.9374</t>
    <phoneticPr fontId="4" type="noConversion"/>
  </si>
  <si>
    <t>101.3247</t>
  </si>
  <si>
    <t>84698.8435</t>
  </si>
  <si>
    <t>129961.9445</t>
  </si>
  <si>
    <t>101.200</t>
  </si>
  <si>
    <t>U모슬포20</t>
  </si>
  <si>
    <t>84698.8521</t>
  </si>
  <si>
    <t>129961.9544</t>
  </si>
  <si>
    <t>101.217</t>
  </si>
  <si>
    <t>4.1</t>
  </si>
  <si>
    <t>84698.8541</t>
  </si>
  <si>
    <t>129961.9374</t>
  </si>
  <si>
    <t>84698.8443</t>
  </si>
  <si>
    <t>129961.9459</t>
  </si>
  <si>
    <t>101.232</t>
  </si>
  <si>
    <t>3.0</t>
  </si>
  <si>
    <t>84698.5667</t>
  </si>
  <si>
    <t>129961.7063</t>
  </si>
  <si>
    <t>106.230</t>
  </si>
  <si>
    <t>5.4</t>
  </si>
  <si>
    <t>4.6</t>
  </si>
  <si>
    <t>84698.8755</t>
  </si>
  <si>
    <t>129961.9440</t>
  </si>
  <si>
    <t>101.375</t>
  </si>
  <si>
    <t>2.0</t>
  </si>
  <si>
    <t>84698.8812</t>
  </si>
  <si>
    <t>129961.9363</t>
  </si>
  <si>
    <t>101.381</t>
  </si>
  <si>
    <t>U서귀05</t>
    <phoneticPr fontId="3" type="noConversion"/>
  </si>
  <si>
    <t>74801.3890</t>
  </si>
  <si>
    <t>152151.5954</t>
  </si>
  <si>
    <t>195.414</t>
  </si>
  <si>
    <t>4.2</t>
  </si>
  <si>
    <t>11.7</t>
  </si>
  <si>
    <t>74801.3367</t>
    <phoneticPr fontId="4" type="noConversion"/>
  </si>
  <si>
    <t>152151.5758</t>
    <phoneticPr fontId="4" type="noConversion"/>
  </si>
  <si>
    <t>195.4833</t>
  </si>
  <si>
    <t>74801.3789</t>
  </si>
  <si>
    <t>152151.5841</t>
  </si>
  <si>
    <t>195.429</t>
  </si>
  <si>
    <t>14.7</t>
  </si>
  <si>
    <t>20.1</t>
  </si>
  <si>
    <t>U서귀05</t>
  </si>
  <si>
    <t>74801.3203</t>
  </si>
  <si>
    <t>152151.5575</t>
  </si>
  <si>
    <t>195.372</t>
  </si>
  <si>
    <t>12.2</t>
  </si>
  <si>
    <t>74801.3367</t>
  </si>
  <si>
    <t>152151.5758</t>
  </si>
  <si>
    <t>74801.3509</t>
  </si>
  <si>
    <t>152151.5789</t>
  </si>
  <si>
    <t>195.436</t>
  </si>
  <si>
    <t>2.4</t>
  </si>
  <si>
    <t>74801.4255</t>
  </si>
  <si>
    <t>152151.6047</t>
  </si>
  <si>
    <t>195.444</t>
  </si>
  <si>
    <t>74801.3720</t>
  </si>
  <si>
    <t>152151.5977</t>
  </si>
  <si>
    <t>195.495</t>
  </si>
  <si>
    <t>74801.3630</t>
  </si>
  <si>
    <t>152151.6011</t>
  </si>
  <si>
    <t>195.483</t>
  </si>
  <si>
    <t>U서귀14</t>
    <phoneticPr fontId="3" type="noConversion"/>
  </si>
  <si>
    <t>75218.9174</t>
  </si>
  <si>
    <t>167027.7167</t>
  </si>
  <si>
    <t>38.925</t>
  </si>
  <si>
    <t>7.1</t>
  </si>
  <si>
    <t>8.3</t>
  </si>
  <si>
    <t>75218.8771</t>
    <phoneticPr fontId="4" type="noConversion"/>
  </si>
  <si>
    <t>167027.7362</t>
    <phoneticPr fontId="4" type="noConversion"/>
  </si>
  <si>
    <t>38.8798</t>
  </si>
  <si>
    <t>75218.9284</t>
  </si>
  <si>
    <t>167027.7053</t>
  </si>
  <si>
    <t>38.940</t>
  </si>
  <si>
    <t>3.9</t>
  </si>
  <si>
    <t>5.3</t>
  </si>
  <si>
    <t>U서귀14</t>
  </si>
  <si>
    <t>75218.9314</t>
  </si>
  <si>
    <t>167027.7052</t>
  </si>
  <si>
    <t>38.995</t>
  </si>
  <si>
    <t>8.9</t>
  </si>
  <si>
    <t>75218.8771</t>
  </si>
  <si>
    <t>167027.7362</t>
  </si>
  <si>
    <t>75218.9122</t>
  </si>
  <si>
    <t>167027.7005</t>
  </si>
  <si>
    <t>38.971</t>
  </si>
  <si>
    <t>75218.9089</t>
  </si>
  <si>
    <t>167027.6299</t>
  </si>
  <si>
    <t>39.154</t>
  </si>
  <si>
    <t>75218.9109</t>
  </si>
  <si>
    <t>167027.7079</t>
  </si>
  <si>
    <t>39.044</t>
  </si>
  <si>
    <t>3.2</t>
  </si>
  <si>
    <t>75218.9261</t>
  </si>
  <si>
    <t>167027.7122</t>
  </si>
  <si>
    <t>39.016</t>
  </si>
  <si>
    <t>U표선09</t>
    <phoneticPr fontId="3" type="noConversion"/>
  </si>
  <si>
    <t>84968.7440</t>
  </si>
  <si>
    <t>175405.1078</t>
  </si>
  <si>
    <t>215.763</t>
  </si>
  <si>
    <t>2.1</t>
  </si>
  <si>
    <t>84968.7177</t>
    <phoneticPr fontId="4" type="noConversion"/>
  </si>
  <si>
    <t>175405.0843</t>
    <phoneticPr fontId="4" type="noConversion"/>
  </si>
  <si>
    <t>215.6735</t>
  </si>
  <si>
    <t>84968.7399</t>
  </si>
  <si>
    <t>175405.1089</t>
  </si>
  <si>
    <t>215.754</t>
  </si>
  <si>
    <t>U표선09</t>
  </si>
  <si>
    <t>84968.7456</t>
  </si>
  <si>
    <t>175405.1006</t>
  </si>
  <si>
    <t>215.721</t>
  </si>
  <si>
    <t>4.0</t>
  </si>
  <si>
    <t>84968.7177</t>
  </si>
  <si>
    <t>175405.0843</t>
  </si>
  <si>
    <t>84968.7351</t>
  </si>
  <si>
    <t>175405.0966</t>
  </si>
  <si>
    <t>215.748</t>
  </si>
  <si>
    <t>84968.7462</t>
  </si>
  <si>
    <t>175405.1095</t>
  </si>
  <si>
    <t>215.720</t>
  </si>
  <si>
    <t>84968.7161</t>
  </si>
  <si>
    <t>175405.0932</t>
  </si>
  <si>
    <t>215.764</t>
  </si>
  <si>
    <t>84968.7308</t>
  </si>
  <si>
    <t>175405.0906</t>
  </si>
  <si>
    <t>215.760</t>
  </si>
  <si>
    <t>U김해07</t>
    <phoneticPr fontId="3" type="noConversion"/>
  </si>
  <si>
    <t>294656.7180</t>
  </si>
  <si>
    <t>188027.5731</t>
  </si>
  <si>
    <t>45.157</t>
  </si>
  <si>
    <t>12.6</t>
  </si>
  <si>
    <t>294656.7047</t>
    <phoneticPr fontId="4" type="noConversion"/>
  </si>
  <si>
    <t>188027.5701</t>
    <phoneticPr fontId="4" type="noConversion"/>
  </si>
  <si>
    <t>45.1499</t>
  </si>
  <si>
    <t>294656.6980</t>
  </si>
  <si>
    <t>188027.5965</t>
  </si>
  <si>
    <t>45.280</t>
  </si>
  <si>
    <t>10.2</t>
  </si>
  <si>
    <t>28.5</t>
  </si>
  <si>
    <t>U김해07</t>
  </si>
  <si>
    <t>294656.7102</t>
  </si>
  <si>
    <t>188027.5714</t>
  </si>
  <si>
    <t>45.131</t>
  </si>
  <si>
    <t>294656.7047</t>
  </si>
  <si>
    <t>188027.5701</t>
  </si>
  <si>
    <t>294656.6982</t>
  </si>
  <si>
    <t>188027.5449</t>
  </si>
  <si>
    <t>45.119</t>
  </si>
  <si>
    <t>294656.6870</t>
  </si>
  <si>
    <t>188027.5619</t>
  </si>
  <si>
    <t>45.171</t>
  </si>
  <si>
    <t>294656.6900</t>
  </si>
  <si>
    <t>188027.5437</t>
  </si>
  <si>
    <t>45.185</t>
  </si>
  <si>
    <t>11.2</t>
  </si>
  <si>
    <t>7.9</t>
  </si>
  <si>
    <t>294656.7014</t>
  </si>
  <si>
    <t>188027.5504</t>
  </si>
  <si>
    <t>0.7</t>
  </si>
  <si>
    <t>U0983</t>
    <phoneticPr fontId="3" type="noConversion"/>
  </si>
  <si>
    <t>291725.9533</t>
  </si>
  <si>
    <t>161699.9469</t>
  </si>
  <si>
    <t>48.910</t>
  </si>
  <si>
    <t>291725.9452</t>
    <phoneticPr fontId="4" type="noConversion"/>
  </si>
  <si>
    <t>161699.9594</t>
    <phoneticPr fontId="4" type="noConversion"/>
  </si>
  <si>
    <t>48.8775</t>
  </si>
  <si>
    <t>291725.9488</t>
  </si>
  <si>
    <t>161699.9475</t>
  </si>
  <si>
    <t>48.882</t>
  </si>
  <si>
    <t>3.8</t>
  </si>
  <si>
    <t>U0983</t>
  </si>
  <si>
    <t>291725.9570</t>
  </si>
  <si>
    <t>161699.9618</t>
  </si>
  <si>
    <t>48.836</t>
  </si>
  <si>
    <t>5.5</t>
  </si>
  <si>
    <t>291725.9452</t>
  </si>
  <si>
    <t>161699.9594</t>
  </si>
  <si>
    <t>291725.9451</t>
  </si>
  <si>
    <t>161699.9540</t>
  </si>
  <si>
    <t>48.934</t>
  </si>
  <si>
    <t>291725.9431</t>
  </si>
  <si>
    <t>161699.9623</t>
  </si>
  <si>
    <t>48.763</t>
  </si>
  <si>
    <t>18.0</t>
  </si>
  <si>
    <t>46.3</t>
  </si>
  <si>
    <t>291725.9616</t>
  </si>
  <si>
    <t>161699.9458</t>
  </si>
  <si>
    <t>48.793</t>
  </si>
  <si>
    <t>3.3</t>
  </si>
  <si>
    <t>291725.9640</t>
  </si>
  <si>
    <t>161699.9492</t>
  </si>
  <si>
    <t>48.837</t>
  </si>
  <si>
    <t>U김해10</t>
    <phoneticPr fontId="3" type="noConversion"/>
  </si>
  <si>
    <t>290931.2795</t>
  </si>
  <si>
    <t>194085.6766</t>
  </si>
  <si>
    <t>32.527</t>
  </si>
  <si>
    <t>290931.2677</t>
    <phoneticPr fontId="4" type="noConversion"/>
  </si>
  <si>
    <t>194085.6958</t>
    <phoneticPr fontId="4" type="noConversion"/>
  </si>
  <si>
    <t>32.596</t>
  </si>
  <si>
    <t>290931.2737</t>
  </si>
  <si>
    <t>194085.6836</t>
  </si>
  <si>
    <t>32.520</t>
  </si>
  <si>
    <t>U김해10</t>
  </si>
  <si>
    <t>290931.2382</t>
  </si>
  <si>
    <t>194085.6804</t>
  </si>
  <si>
    <t>32.583</t>
  </si>
  <si>
    <t>290931.2677</t>
  </si>
  <si>
    <t>194085.6958</t>
  </si>
  <si>
    <t>290931.2493</t>
  </si>
  <si>
    <t>194085.6737</t>
  </si>
  <si>
    <t>32.562</t>
  </si>
  <si>
    <t>290931.2097</t>
  </si>
  <si>
    <t>32.578</t>
  </si>
  <si>
    <t>290931.2372</t>
  </si>
  <si>
    <t>194085.6749</t>
  </si>
  <si>
    <t>32.586</t>
  </si>
  <si>
    <t>290931.2498</t>
  </si>
  <si>
    <t>194085.6748</t>
  </si>
  <si>
    <t>32.599</t>
  </si>
  <si>
    <t>U양산20</t>
    <phoneticPr fontId="3" type="noConversion"/>
  </si>
  <si>
    <t>300180.5010</t>
  </si>
  <si>
    <t>209612.5307</t>
  </si>
  <si>
    <t>81.399</t>
  </si>
  <si>
    <t>10.0</t>
  </si>
  <si>
    <t>13.5</t>
  </si>
  <si>
    <t>300180.5193</t>
    <phoneticPr fontId="4" type="noConversion"/>
  </si>
  <si>
    <t>209612.4996</t>
    <phoneticPr fontId="4" type="noConversion"/>
  </si>
  <si>
    <t>81.3878</t>
  </si>
  <si>
    <t>300180.5066</t>
  </si>
  <si>
    <t>209612.5104</t>
  </si>
  <si>
    <t>81.356</t>
  </si>
  <si>
    <t>6.4</t>
  </si>
  <si>
    <t>8.4</t>
  </si>
  <si>
    <t>U양산20</t>
  </si>
  <si>
    <t>300180.5304</t>
  </si>
  <si>
    <t>209612.5317</t>
  </si>
  <si>
    <t>81.353</t>
  </si>
  <si>
    <t>300180.5193</t>
  </si>
  <si>
    <t>209612.4996</t>
  </si>
  <si>
    <t>300180.5031</t>
  </si>
  <si>
    <t>209612.5372</t>
  </si>
  <si>
    <t>81.389</t>
  </si>
  <si>
    <t>300180.5168</t>
  </si>
  <si>
    <t>209612.5131</t>
  </si>
  <si>
    <t>81.314</t>
  </si>
  <si>
    <t>300180.4492</t>
  </si>
  <si>
    <t>209612.4665</t>
  </si>
  <si>
    <t>81.339</t>
  </si>
  <si>
    <t>33.8</t>
  </si>
  <si>
    <t>54.5</t>
  </si>
  <si>
    <t>300180.5267</t>
  </si>
  <si>
    <t>209612.5174</t>
  </si>
  <si>
    <t>81.321</t>
  </si>
  <si>
    <t>제주</t>
    <phoneticPr fontId="3" type="noConversion"/>
  </si>
  <si>
    <t>U0535</t>
    <phoneticPr fontId="3" type="noConversion"/>
  </si>
  <si>
    <t>428181.6859</t>
  </si>
  <si>
    <t>163393.6808</t>
  </si>
  <si>
    <t>46.587</t>
  </si>
  <si>
    <t>428181.6817</t>
  </si>
  <si>
    <t>163393.6875</t>
  </si>
  <si>
    <t>46.605</t>
  </si>
  <si>
    <t>U0535</t>
  </si>
  <si>
    <t>428181.6841</t>
  </si>
  <si>
    <t>163393.6912</t>
  </si>
  <si>
    <t>46.589</t>
  </si>
  <si>
    <t>428181.6761</t>
  </si>
  <si>
    <t>163393.6926</t>
  </si>
  <si>
    <t>46.383</t>
  </si>
  <si>
    <t>428181.6693</t>
  </si>
  <si>
    <t>163393.6951</t>
  </si>
  <si>
    <t>46.620</t>
  </si>
  <si>
    <t>163393.6719</t>
  </si>
  <si>
    <t>46.581</t>
  </si>
  <si>
    <t>428181.6750</t>
  </si>
  <si>
    <t>163393.6797</t>
  </si>
  <si>
    <t>46.514</t>
  </si>
  <si>
    <t>gvrs</t>
  </si>
  <si>
    <t>양방향</t>
    <phoneticPr fontId="3" type="noConversion"/>
  </si>
  <si>
    <t>428181.6756</t>
  </si>
  <si>
    <t>163393.6704</t>
  </si>
  <si>
    <t>46.623</t>
  </si>
  <si>
    <t>428181.6733</t>
  </si>
  <si>
    <t>163393.6770</t>
  </si>
  <si>
    <t>46.516</t>
  </si>
  <si>
    <t>U서천35</t>
    <phoneticPr fontId="3" type="noConversion"/>
  </si>
  <si>
    <t>397283.4098</t>
  </si>
  <si>
    <t>165249.0835</t>
  </si>
  <si>
    <t>37.159</t>
  </si>
  <si>
    <t>397283.3966</t>
  </si>
  <si>
    <t>165249.0761</t>
  </si>
  <si>
    <t>37.2087</t>
  </si>
  <si>
    <t>397283.4104</t>
  </si>
  <si>
    <t>165249.0866</t>
  </si>
  <si>
    <t>37.146</t>
  </si>
  <si>
    <t>U서천35</t>
  </si>
  <si>
    <t>397283.4136</t>
  </si>
  <si>
    <t>165249.0861</t>
  </si>
  <si>
    <t>397283.4115</t>
  </si>
  <si>
    <t>165249.0891</t>
  </si>
  <si>
    <t>37.178</t>
  </si>
  <si>
    <t>397283.4145</t>
  </si>
  <si>
    <t>165249.0853</t>
  </si>
  <si>
    <t>37.180</t>
  </si>
  <si>
    <t>397283.4190</t>
  </si>
  <si>
    <t>165249.0149</t>
  </si>
  <si>
    <t>37.072</t>
  </si>
  <si>
    <t>397283.4146</t>
  </si>
  <si>
    <t>165249.0844</t>
  </si>
  <si>
    <t>37.204</t>
  </si>
  <si>
    <t>397283.4129</t>
  </si>
  <si>
    <t>165249.0895</t>
  </si>
  <si>
    <t>37.194</t>
  </si>
  <si>
    <t>397283.3934</t>
  </si>
  <si>
    <t>165249.1175</t>
  </si>
  <si>
    <t>37.329</t>
  </si>
  <si>
    <t>u0769</t>
  </si>
  <si>
    <t>344945.9039</t>
  </si>
  <si>
    <t>180876.3467</t>
  </si>
  <si>
    <t>42.443</t>
  </si>
  <si>
    <t>344945.9096</t>
  </si>
  <si>
    <t>180876.3426</t>
  </si>
  <si>
    <t>42.439</t>
  </si>
  <si>
    <t>344945.9133</t>
  </si>
  <si>
    <t>180876.3367</t>
  </si>
  <si>
    <t>42.437</t>
  </si>
  <si>
    <t>344945.9143</t>
  </si>
  <si>
    <t>180876.3400</t>
  </si>
  <si>
    <t>42.472</t>
  </si>
  <si>
    <t>344945.9290</t>
  </si>
  <si>
    <t>180876.3406</t>
  </si>
  <si>
    <t>42.425</t>
  </si>
  <si>
    <t>344945.9400</t>
  </si>
  <si>
    <t>180876.3531</t>
  </si>
  <si>
    <t>42.251</t>
  </si>
  <si>
    <t>344945.9371</t>
  </si>
  <si>
    <t>180876.3623</t>
  </si>
  <si>
    <t>42.240</t>
  </si>
  <si>
    <t>344945.9379</t>
  </si>
  <si>
    <t>180876.3220</t>
  </si>
  <si>
    <t>42.426</t>
  </si>
  <si>
    <t>U부안07</t>
    <phoneticPr fontId="3" type="noConversion"/>
  </si>
  <si>
    <t>341461.4240</t>
  </si>
  <si>
    <t>170962.6918</t>
  </si>
  <si>
    <t>38.218</t>
  </si>
  <si>
    <t>341461.4401</t>
    <phoneticPr fontId="4" type="noConversion"/>
  </si>
  <si>
    <t>170962.684</t>
    <phoneticPr fontId="4" type="noConversion"/>
  </si>
  <si>
    <t>38.1984</t>
  </si>
  <si>
    <t>341461.4151</t>
  </si>
  <si>
    <t>170962.6923</t>
  </si>
  <si>
    <t>38.219</t>
  </si>
  <si>
    <t>38.1985</t>
  </si>
  <si>
    <t>U부안07</t>
  </si>
  <si>
    <t>341461.4215</t>
  </si>
  <si>
    <t>170962.6924</t>
  </si>
  <si>
    <t>38.210</t>
  </si>
  <si>
    <t>341461.4401</t>
  </si>
  <si>
    <t>170962.684</t>
  </si>
  <si>
    <t>38.1986</t>
  </si>
  <si>
    <t>341461.4253</t>
  </si>
  <si>
    <t>170962.6890</t>
  </si>
  <si>
    <t>38.214</t>
  </si>
  <si>
    <t>38.1987</t>
  </si>
  <si>
    <t>341461.4158</t>
  </si>
  <si>
    <t>170962.6823</t>
  </si>
  <si>
    <t>38.243</t>
  </si>
  <si>
    <t>38.1988</t>
  </si>
  <si>
    <t>341461.4041</t>
  </si>
  <si>
    <t>170962.7111</t>
  </si>
  <si>
    <t>38.149</t>
  </si>
  <si>
    <t>38.1989</t>
  </si>
  <si>
    <t>341461.4173</t>
  </si>
  <si>
    <t>170962.6951</t>
  </si>
  <si>
    <t>38.155</t>
  </si>
  <si>
    <t>38.1990</t>
  </si>
  <si>
    <t>170962.6986</t>
  </si>
  <si>
    <t>38.169</t>
  </si>
  <si>
    <t>38.1991</t>
  </si>
  <si>
    <t>341461.4092</t>
  </si>
  <si>
    <t>170962.6852</t>
  </si>
  <si>
    <t>38.337</t>
  </si>
  <si>
    <t>38.1992</t>
  </si>
  <si>
    <t>u고창21</t>
    <phoneticPr fontId="3" type="noConversion"/>
  </si>
  <si>
    <t>301910.5332</t>
  </si>
  <si>
    <t>159504.6156</t>
  </si>
  <si>
    <t>40.050</t>
  </si>
  <si>
    <t>301910.5169</t>
    <phoneticPr fontId="4" type="noConversion"/>
  </si>
  <si>
    <t>159504.7246</t>
    <phoneticPr fontId="4" type="noConversion"/>
  </si>
  <si>
    <t>40.1252</t>
  </si>
  <si>
    <t>301910.5306</t>
  </si>
  <si>
    <t>159504.6178</t>
  </si>
  <si>
    <t>40.047</t>
  </si>
  <si>
    <t>40.1253</t>
  </si>
  <si>
    <t>u고창21</t>
  </si>
  <si>
    <t>301910.5342</t>
  </si>
  <si>
    <t>159504.6233</t>
  </si>
  <si>
    <t>301910.5169</t>
  </si>
  <si>
    <t>159504.7246</t>
  </si>
  <si>
    <t>40.1254</t>
  </si>
  <si>
    <t>301910.5457</t>
  </si>
  <si>
    <t>159504.6062</t>
  </si>
  <si>
    <t>40.066</t>
  </si>
  <si>
    <t>40.1255</t>
  </si>
  <si>
    <t>301910.5425</t>
  </si>
  <si>
    <t>159504.6148</t>
  </si>
  <si>
    <t>40.069</t>
  </si>
  <si>
    <t>40.1256</t>
  </si>
  <si>
    <t>301910.5335</t>
  </si>
  <si>
    <t>159504.6182</t>
  </si>
  <si>
    <t>40.024</t>
  </si>
  <si>
    <t>40.1257</t>
  </si>
  <si>
    <t>301910.5314</t>
  </si>
  <si>
    <t>159504.6234</t>
  </si>
  <si>
    <t>40.023</t>
  </si>
  <si>
    <t>40.1258</t>
  </si>
  <si>
    <t>301910.5373</t>
  </si>
  <si>
    <t>159504.6258</t>
  </si>
  <si>
    <t>40.026</t>
  </si>
  <si>
    <t>40.1259</t>
  </si>
  <si>
    <t>301910.5413</t>
  </si>
  <si>
    <t>159504.6251</t>
  </si>
  <si>
    <t>40.241</t>
  </si>
  <si>
    <t>40.1260</t>
  </si>
  <si>
    <t>U담양18</t>
    <phoneticPr fontId="3" type="noConversion"/>
  </si>
  <si>
    <t>306978.4924</t>
  </si>
  <si>
    <t>177702.6684</t>
  </si>
  <si>
    <t>117.375</t>
  </si>
  <si>
    <t>306978.4994</t>
    <phoneticPr fontId="4" type="noConversion"/>
  </si>
  <si>
    <t>177702.632</t>
    <phoneticPr fontId="4" type="noConversion"/>
  </si>
  <si>
    <t>117.3741</t>
  </si>
  <si>
    <t>306978.5058</t>
  </si>
  <si>
    <t>177702.6477</t>
  </si>
  <si>
    <t>117.344</t>
  </si>
  <si>
    <t>U담양18</t>
  </si>
  <si>
    <t>306978.4974</t>
  </si>
  <si>
    <t>177702.6649</t>
  </si>
  <si>
    <t>117.400</t>
  </si>
  <si>
    <t>306978.4994</t>
  </si>
  <si>
    <t>177702.632</t>
  </si>
  <si>
    <t>306978.5002</t>
  </si>
  <si>
    <t>177702.6577</t>
  </si>
  <si>
    <t>306978.5125</t>
  </si>
  <si>
    <t>177702.6665</t>
  </si>
  <si>
    <t>117.399</t>
  </si>
  <si>
    <t>306978.4773</t>
  </si>
  <si>
    <t>177702.6467</t>
  </si>
  <si>
    <t>117.504</t>
  </si>
  <si>
    <t>U정읍26</t>
    <phoneticPr fontId="3" type="noConversion"/>
  </si>
  <si>
    <t>329606.5861</t>
  </si>
  <si>
    <t>185261.1620</t>
  </si>
  <si>
    <t>85.417</t>
  </si>
  <si>
    <t>329606.5796</t>
    <phoneticPr fontId="4" type="noConversion"/>
  </si>
  <si>
    <t>185261.188</t>
    <phoneticPr fontId="4" type="noConversion"/>
  </si>
  <si>
    <t>85.4422</t>
  </si>
  <si>
    <t>329606.5843</t>
  </si>
  <si>
    <t>185261.1561</t>
  </si>
  <si>
    <t>85.430</t>
  </si>
  <si>
    <t>U정읍26</t>
  </si>
  <si>
    <t>329606.5828</t>
  </si>
  <si>
    <t>185261.1580</t>
  </si>
  <si>
    <t>85.420</t>
  </si>
  <si>
    <t>329606.5796</t>
  </si>
  <si>
    <t>185261.188</t>
  </si>
  <si>
    <t>329606.5766</t>
  </si>
  <si>
    <t>185261.1621</t>
  </si>
  <si>
    <t>85.404</t>
  </si>
  <si>
    <t>329606.5795</t>
  </si>
  <si>
    <t>185261.1656</t>
  </si>
  <si>
    <t>85.413</t>
  </si>
  <si>
    <t>329606.5818</t>
  </si>
  <si>
    <t>185261.1591</t>
  </si>
  <si>
    <t>85.287</t>
  </si>
  <si>
    <t>329606.5866</t>
  </si>
  <si>
    <t>185261.1606</t>
  </si>
  <si>
    <t>85.294</t>
  </si>
  <si>
    <t>329606.5779</t>
  </si>
  <si>
    <t>185261.1626</t>
  </si>
  <si>
    <t>85.273</t>
  </si>
  <si>
    <t>329606.5799</t>
  </si>
  <si>
    <t>185261.1786</t>
  </si>
  <si>
    <t>85.579</t>
  </si>
  <si>
    <t>U정읍34</t>
    <phoneticPr fontId="3" type="noConversion"/>
  </si>
  <si>
    <t>339257.5756</t>
  </si>
  <si>
    <t>193931.4138</t>
  </si>
  <si>
    <t>38.706</t>
  </si>
  <si>
    <t>339257.618</t>
    <phoneticPr fontId="4" type="noConversion"/>
  </si>
  <si>
    <t>193931.4067</t>
    <phoneticPr fontId="4" type="noConversion"/>
  </si>
  <si>
    <t>38.7448</t>
  </si>
  <si>
    <t>339257.5734</t>
  </si>
  <si>
    <t>193931.4126</t>
  </si>
  <si>
    <t>38.708</t>
  </si>
  <si>
    <t>U정읍34</t>
  </si>
  <si>
    <t>339257.5707</t>
  </si>
  <si>
    <t>193931.4215</t>
  </si>
  <si>
    <t>38.732</t>
  </si>
  <si>
    <t>339257.618</t>
  </si>
  <si>
    <t>193931.4067</t>
  </si>
  <si>
    <t>339257.5763</t>
  </si>
  <si>
    <t>193931.4158</t>
  </si>
  <si>
    <t>38.725</t>
  </si>
  <si>
    <t>339257.5751</t>
  </si>
  <si>
    <t>193931.4143</t>
  </si>
  <si>
    <t>38.712</t>
  </si>
  <si>
    <t>339257.5728</t>
  </si>
  <si>
    <t>193931.4204</t>
  </si>
  <si>
    <t>38.633</t>
  </si>
  <si>
    <t>339257.5748</t>
  </si>
  <si>
    <t>193931.4146</t>
  </si>
  <si>
    <t>38.605</t>
  </si>
  <si>
    <t>339257.5718</t>
  </si>
  <si>
    <t>193931.4129</t>
  </si>
  <si>
    <t>38.600</t>
  </si>
  <si>
    <t>339257.5911</t>
  </si>
  <si>
    <t>193931.4074</t>
  </si>
  <si>
    <t>38.877</t>
  </si>
  <si>
    <t>u0695</t>
  </si>
  <si>
    <t>358366.2484</t>
  </si>
  <si>
    <t>203018.8061</t>
  </si>
  <si>
    <t>65.678</t>
  </si>
  <si>
    <t>358366.2549</t>
  </si>
  <si>
    <t>203018.8066</t>
  </si>
  <si>
    <t>65.667</t>
  </si>
  <si>
    <t>358366.2504</t>
  </si>
  <si>
    <t>203018.8048</t>
  </si>
  <si>
    <t>65.692</t>
  </si>
  <si>
    <t>358366.2497</t>
  </si>
  <si>
    <t>203018.8042</t>
  </si>
  <si>
    <t>65.646</t>
  </si>
  <si>
    <t>358366.2511</t>
  </si>
  <si>
    <t>203018.8019</t>
  </si>
  <si>
    <t>65.653</t>
  </si>
  <si>
    <t>358366.2589</t>
  </si>
  <si>
    <t>203018.7998</t>
  </si>
  <si>
    <t>65.663</t>
  </si>
  <si>
    <t>358366.2507</t>
  </si>
  <si>
    <t>203018.8014</t>
  </si>
  <si>
    <t>65.687</t>
  </si>
  <si>
    <t>358366.2495</t>
  </si>
  <si>
    <t>203018.8087</t>
  </si>
  <si>
    <t>65.674</t>
  </si>
  <si>
    <t>203018.8124</t>
  </si>
  <si>
    <t>65.763</t>
  </si>
  <si>
    <t>u0690</t>
  </si>
  <si>
    <t>377029.6122</t>
  </si>
  <si>
    <t>209181.6309</t>
  </si>
  <si>
    <t>69.245</t>
  </si>
  <si>
    <t>377029.6213</t>
  </si>
  <si>
    <t>209181.6227</t>
  </si>
  <si>
    <t>69.274</t>
  </si>
  <si>
    <t>377029.6065</t>
  </si>
  <si>
    <t>209181.6353</t>
  </si>
  <si>
    <t>69.268</t>
  </si>
  <si>
    <t>377029.6022</t>
  </si>
  <si>
    <t>209181.6329</t>
  </si>
  <si>
    <t>69.266</t>
  </si>
  <si>
    <t>377029.6045</t>
  </si>
  <si>
    <t>209181.6279</t>
  </si>
  <si>
    <t>69.260</t>
  </si>
  <si>
    <t>377029.6143</t>
  </si>
  <si>
    <t>209181.6319</t>
  </si>
  <si>
    <t>69.271</t>
  </si>
  <si>
    <t>377029.6119</t>
  </si>
  <si>
    <t>209181.6264</t>
  </si>
  <si>
    <t>69.286</t>
  </si>
  <si>
    <t>209181.6303</t>
  </si>
  <si>
    <t>69.265</t>
  </si>
  <si>
    <t>377029.6116</t>
  </si>
  <si>
    <t>209181.6350</t>
  </si>
  <si>
    <t>69.356</t>
  </si>
  <si>
    <t>u0697</t>
  </si>
  <si>
    <t>355521.5558</t>
  </si>
  <si>
    <t>216079.5811</t>
  </si>
  <si>
    <t>89.816</t>
  </si>
  <si>
    <t>355521.5549</t>
  </si>
  <si>
    <t>216079.5828</t>
  </si>
  <si>
    <t>89.829</t>
  </si>
  <si>
    <t>355521.5545</t>
  </si>
  <si>
    <t>216079.5870</t>
  </si>
  <si>
    <t>89.794</t>
  </si>
  <si>
    <t>355521.5339</t>
  </si>
  <si>
    <t>216079.5526</t>
  </si>
  <si>
    <t>89.779</t>
  </si>
  <si>
    <t>355521.5312</t>
  </si>
  <si>
    <t>216079.5525</t>
  </si>
  <si>
    <t>89.783</t>
  </si>
  <si>
    <t>355521.5318</t>
  </si>
  <si>
    <t>216079.5590</t>
  </si>
  <si>
    <t>89.773</t>
  </si>
  <si>
    <t>355521.5268</t>
  </si>
  <si>
    <t>216079.5624</t>
  </si>
  <si>
    <t>89.800</t>
  </si>
  <si>
    <t>355521.5298</t>
  </si>
  <si>
    <t>216079.5608</t>
  </si>
  <si>
    <t>89.808</t>
  </si>
  <si>
    <t>355521.5376</t>
  </si>
  <si>
    <t>216079.5573</t>
  </si>
  <si>
    <t>89.907</t>
  </si>
  <si>
    <t>U임실03</t>
    <phoneticPr fontId="3" type="noConversion"/>
  </si>
  <si>
    <t>333856.0840</t>
  </si>
  <si>
    <t>229045.5736</t>
  </si>
  <si>
    <t>183.951</t>
  </si>
  <si>
    <t>333856.1438</t>
    <phoneticPr fontId="4" type="noConversion"/>
  </si>
  <si>
    <t>229045.6094</t>
    <phoneticPr fontId="4" type="noConversion"/>
  </si>
  <si>
    <t>183.9509</t>
  </si>
  <si>
    <t>333856.0796</t>
  </si>
  <si>
    <t>229045.5729</t>
  </si>
  <si>
    <t>183.940</t>
  </si>
  <si>
    <t>U임실03</t>
  </si>
  <si>
    <t>333856.0888</t>
  </si>
  <si>
    <t>229045.5849</t>
  </si>
  <si>
    <t>183.923</t>
  </si>
  <si>
    <t>333856.1438</t>
  </si>
  <si>
    <t>229045.6094</t>
  </si>
  <si>
    <t>333856.0991</t>
  </si>
  <si>
    <t>229045.5802</t>
  </si>
  <si>
    <t>183.944</t>
  </si>
  <si>
    <t>333856.0999</t>
  </si>
  <si>
    <t>229045.5840</t>
  </si>
  <si>
    <t>183.929</t>
  </si>
  <si>
    <t>333856.0712</t>
  </si>
  <si>
    <t>229045.5870</t>
  </si>
  <si>
    <t>183.957</t>
  </si>
  <si>
    <t>333856.0705</t>
  </si>
  <si>
    <t>229045.5862</t>
  </si>
  <si>
    <t>183.914</t>
  </si>
  <si>
    <t>333856.0752</t>
  </si>
  <si>
    <t>229045.5740</t>
  </si>
  <si>
    <t>183.897</t>
  </si>
  <si>
    <t>U임실24</t>
    <phoneticPr fontId="3" type="noConversion"/>
  </si>
  <si>
    <t>328167.2839</t>
  </si>
  <si>
    <t>226592.8004</t>
  </si>
  <si>
    <t>191.469</t>
  </si>
  <si>
    <t>328167.2856</t>
    <phoneticPr fontId="4" type="noConversion"/>
  </si>
  <si>
    <t>226592.6554</t>
    <phoneticPr fontId="4" type="noConversion"/>
  </si>
  <si>
    <t>191.4988</t>
  </si>
  <si>
    <t>328167.2824</t>
  </si>
  <si>
    <t>226592.7997</t>
  </si>
  <si>
    <t>191.473</t>
  </si>
  <si>
    <t>U임실24</t>
  </si>
  <si>
    <t>328167.2770</t>
  </si>
  <si>
    <t>226592.7998</t>
  </si>
  <si>
    <t>191.483</t>
  </si>
  <si>
    <t>328167.2856</t>
  </si>
  <si>
    <t>226592.6554</t>
  </si>
  <si>
    <t>328167.2636</t>
  </si>
  <si>
    <t>226592.8015</t>
  </si>
  <si>
    <t>191.486</t>
  </si>
  <si>
    <t>328167.2767</t>
  </si>
  <si>
    <t>191.487</t>
  </si>
  <si>
    <t>328167.2779</t>
  </si>
  <si>
    <t>226592.7929</t>
  </si>
  <si>
    <t>191.403</t>
  </si>
  <si>
    <t>328167.2817</t>
  </si>
  <si>
    <t>226592.7887</t>
  </si>
  <si>
    <t>328167.2751</t>
  </si>
  <si>
    <t>226592.7937</t>
  </si>
  <si>
    <t>191.481</t>
  </si>
  <si>
    <t>328167.2801</t>
  </si>
  <si>
    <t>226592.7806</t>
  </si>
  <si>
    <t>191.670</t>
  </si>
  <si>
    <t>U남원26</t>
    <phoneticPr fontId="3" type="noConversion"/>
  </si>
  <si>
    <t>312765.4848</t>
  </si>
  <si>
    <t>229031.7311</t>
  </si>
  <si>
    <t>131.899</t>
  </si>
  <si>
    <t>312765.4816</t>
  </si>
  <si>
    <t>229031.7377</t>
  </si>
  <si>
    <t>131.908</t>
  </si>
  <si>
    <t>U남원26</t>
  </si>
  <si>
    <t>312765.4791</t>
  </si>
  <si>
    <t>229031.7305</t>
  </si>
  <si>
    <t>131.909</t>
  </si>
  <si>
    <t>312765.4771</t>
  </si>
  <si>
    <t>229031.7451</t>
  </si>
  <si>
    <t>131.885</t>
  </si>
  <si>
    <t>312765.4812</t>
  </si>
  <si>
    <t>229031.7365</t>
  </si>
  <si>
    <t>131.896</t>
  </si>
  <si>
    <t>312765.4811</t>
  </si>
  <si>
    <t>229031.7372</t>
  </si>
  <si>
    <t>131.858</t>
  </si>
  <si>
    <t>312765.4941</t>
  </si>
  <si>
    <t>229031.7272</t>
  </si>
  <si>
    <t>131.849</t>
  </si>
  <si>
    <t>312765.4852</t>
  </si>
  <si>
    <t>229031.7322</t>
  </si>
  <si>
    <t>312765.4778</t>
  </si>
  <si>
    <t>229031.7434</t>
  </si>
  <si>
    <t>132.013</t>
  </si>
  <si>
    <t>u0867</t>
  </si>
  <si>
    <t>305473.6269</t>
  </si>
  <si>
    <t>220747.4383</t>
  </si>
  <si>
    <t>95.930</t>
  </si>
  <si>
    <t>305473.5492</t>
  </si>
  <si>
    <t>220747.5184</t>
  </si>
  <si>
    <t>95.8579</t>
  </si>
  <si>
    <t>305473.6303</t>
  </si>
  <si>
    <t>220747.4421</t>
  </si>
  <si>
    <t>95.909</t>
  </si>
  <si>
    <t>305473.6234</t>
  </si>
  <si>
    <t>220747.4350</t>
  </si>
  <si>
    <t>95.933</t>
  </si>
  <si>
    <t>220747.4572</t>
  </si>
  <si>
    <t>95.892</t>
  </si>
  <si>
    <t>305473.6170</t>
  </si>
  <si>
    <t>220747.4393</t>
  </si>
  <si>
    <t>95.907</t>
  </si>
  <si>
    <t>305473.6622</t>
  </si>
  <si>
    <t>220747.3663</t>
  </si>
  <si>
    <t>96.069</t>
  </si>
  <si>
    <t>305473.6264</t>
  </si>
  <si>
    <t>220747.4310</t>
  </si>
  <si>
    <t>95.877</t>
  </si>
  <si>
    <t>305473.6314</t>
  </si>
  <si>
    <t>220747.4436</t>
  </si>
  <si>
    <t>95.879</t>
  </si>
  <si>
    <t>305473.6283</t>
  </si>
  <si>
    <t>220747.4563</t>
  </si>
  <si>
    <t>96.046</t>
  </si>
  <si>
    <t>U순창13</t>
    <phoneticPr fontId="3" type="noConversion"/>
  </si>
  <si>
    <t>306439.3316</t>
  </si>
  <si>
    <t>205300.9339</t>
  </si>
  <si>
    <t>153.128</t>
  </si>
  <si>
    <t>306439.3886</t>
    <phoneticPr fontId="4" type="noConversion"/>
  </si>
  <si>
    <t>205300.9075</t>
    <phoneticPr fontId="4" type="noConversion"/>
  </si>
  <si>
    <t>153.1032</t>
  </si>
  <si>
    <t>306439.3431</t>
  </si>
  <si>
    <t>205300.9288</t>
  </si>
  <si>
    <t>153.094</t>
  </si>
  <si>
    <t>U순창13</t>
  </si>
  <si>
    <t>306439.3422</t>
  </si>
  <si>
    <t>205300.9294</t>
  </si>
  <si>
    <t>153.098</t>
  </si>
  <si>
    <t>306439.3886</t>
  </si>
  <si>
    <t>205300.9075</t>
  </si>
  <si>
    <t>306439.3391</t>
  </si>
  <si>
    <t>205300.9329</t>
  </si>
  <si>
    <t>153.123</t>
  </si>
  <si>
    <t>306439.3423</t>
  </si>
  <si>
    <t>205300.9334</t>
  </si>
  <si>
    <t>153.105</t>
  </si>
  <si>
    <t>306439.3360</t>
  </si>
  <si>
    <t>205300.9344</t>
  </si>
  <si>
    <t>153.111</t>
  </si>
  <si>
    <t>306439.3312</t>
  </si>
  <si>
    <t>205300.9298</t>
  </si>
  <si>
    <t>153.118</t>
  </si>
  <si>
    <t>306439.3335</t>
  </si>
  <si>
    <t>205300.9331</t>
  </si>
  <si>
    <t>306439.3361</t>
  </si>
  <si>
    <t>205300.9376</t>
  </si>
  <si>
    <t>153.278</t>
  </si>
  <si>
    <t>u0878</t>
  </si>
  <si>
    <t>320671.7491</t>
  </si>
  <si>
    <t>262528.6935</t>
  </si>
  <si>
    <t>277.662</t>
  </si>
  <si>
    <t>320671.8382</t>
  </si>
  <si>
    <t>262528.6387</t>
  </si>
  <si>
    <t>277.727</t>
  </si>
  <si>
    <t>320671.7489</t>
  </si>
  <si>
    <t>262528.6928</t>
  </si>
  <si>
    <t>277.658</t>
  </si>
  <si>
    <t>320671.7556</t>
  </si>
  <si>
    <t>262528.6898</t>
  </si>
  <si>
    <t>277.720</t>
  </si>
  <si>
    <t>320671.7554</t>
  </si>
  <si>
    <t>262528.6936</t>
  </si>
  <si>
    <t>320671.7433</t>
  </si>
  <si>
    <t>262528.6860</t>
  </si>
  <si>
    <t>277.741</t>
  </si>
  <si>
    <t>320671.7390</t>
  </si>
  <si>
    <t>262528.7003</t>
  </si>
  <si>
    <t>277.674</t>
  </si>
  <si>
    <t>320671.7516</t>
  </si>
  <si>
    <t>262528.7001</t>
  </si>
  <si>
    <t>277.716</t>
  </si>
  <si>
    <t>320671.7631</t>
  </si>
  <si>
    <t>262528.6891</t>
  </si>
  <si>
    <t>277.673</t>
  </si>
  <si>
    <t>320671.7635</t>
  </si>
  <si>
    <t>262528.7175</t>
  </si>
  <si>
    <t>277.851</t>
  </si>
  <si>
    <t>u0799</t>
  </si>
  <si>
    <t>325423.1954</t>
  </si>
  <si>
    <t>271617.0469</t>
  </si>
  <si>
    <t>171.161</t>
  </si>
  <si>
    <t>325423.3094</t>
  </si>
  <si>
    <t>271617.0874</t>
  </si>
  <si>
    <t>171.1225</t>
  </si>
  <si>
    <t>325423.1975</t>
  </si>
  <si>
    <t>271617.0400</t>
  </si>
  <si>
    <t>171.167</t>
  </si>
  <si>
    <t>325423.1983</t>
  </si>
  <si>
    <t>271617.0344</t>
  </si>
  <si>
    <t>171.198</t>
  </si>
  <si>
    <t>325423.1991</t>
  </si>
  <si>
    <t>171.172</t>
  </si>
  <si>
    <t>325423.1978</t>
  </si>
  <si>
    <t>271617.0374</t>
  </si>
  <si>
    <t>171.153</t>
  </si>
  <si>
    <t>325423.2250</t>
  </si>
  <si>
    <t>271617.0386</t>
  </si>
  <si>
    <t>171.037</t>
  </si>
  <si>
    <t>325423.2249</t>
  </si>
  <si>
    <t>271617.0388</t>
  </si>
  <si>
    <t>171.046</t>
  </si>
  <si>
    <t>325423.2162</t>
  </si>
  <si>
    <t>271617.0412</t>
  </si>
  <si>
    <t>171.035</t>
  </si>
  <si>
    <t>325423.2203</t>
  </si>
  <si>
    <t>271617.0520</t>
  </si>
  <si>
    <t>171.241</t>
  </si>
  <si>
    <t>u산청36</t>
    <phoneticPr fontId="3" type="noConversion"/>
  </si>
  <si>
    <t>312742.0643</t>
  </si>
  <si>
    <t>281606.8972</t>
  </si>
  <si>
    <t>149.272</t>
  </si>
  <si>
    <t>312742.2102</t>
    <phoneticPr fontId="4" type="noConversion"/>
  </si>
  <si>
    <t>281606.9451</t>
    <phoneticPr fontId="4" type="noConversion"/>
  </si>
  <si>
    <t>149.216</t>
  </si>
  <si>
    <t>312742.0672</t>
  </si>
  <si>
    <t>281606.8999</t>
  </si>
  <si>
    <t>149.261</t>
  </si>
  <si>
    <t>u산청36</t>
  </si>
  <si>
    <t>312742.0714</t>
  </si>
  <si>
    <t>281606.8943</t>
  </si>
  <si>
    <t>149.269</t>
  </si>
  <si>
    <t>312742.2102</t>
  </si>
  <si>
    <t>281606.9451</t>
  </si>
  <si>
    <t>312742.0720</t>
  </si>
  <si>
    <t>281606.9027</t>
  </si>
  <si>
    <t>312742.0743</t>
  </si>
  <si>
    <t>281606.8987</t>
  </si>
  <si>
    <t>149.255</t>
  </si>
  <si>
    <t>312742.0332</t>
  </si>
  <si>
    <t>149.129</t>
  </si>
  <si>
    <t>312742.0696</t>
  </si>
  <si>
    <t>281606.8923</t>
  </si>
  <si>
    <t>149.088</t>
  </si>
  <si>
    <t>312742.0634</t>
  </si>
  <si>
    <t>281606.8955</t>
  </si>
  <si>
    <t>149.109</t>
  </si>
  <si>
    <t>312742.0613</t>
  </si>
  <si>
    <t>281606.8974</t>
  </si>
  <si>
    <t>149.108</t>
  </si>
  <si>
    <t>312742.0576</t>
  </si>
  <si>
    <t>281606.8712</t>
  </si>
  <si>
    <t>149.293</t>
  </si>
  <si>
    <t>u0790</t>
  </si>
  <si>
    <t>339217.8577</t>
  </si>
  <si>
    <t>262774.1379</t>
  </si>
  <si>
    <t>385.877</t>
  </si>
  <si>
    <t>339218.0097</t>
  </si>
  <si>
    <t>262774.0608</t>
  </si>
  <si>
    <t>385.8617</t>
  </si>
  <si>
    <t>339217.8537</t>
  </si>
  <si>
    <t>262774.1516</t>
  </si>
  <si>
    <t>339217.8642</t>
  </si>
  <si>
    <t>262774.1524</t>
  </si>
  <si>
    <t>339217.8630</t>
  </si>
  <si>
    <t>262774.1461</t>
  </si>
  <si>
    <t>385.898</t>
  </si>
  <si>
    <t>339217.8617</t>
  </si>
  <si>
    <t>262774.1439</t>
  </si>
  <si>
    <t>385.910</t>
  </si>
  <si>
    <t>339217.8587</t>
  </si>
  <si>
    <t>262774.1681</t>
  </si>
  <si>
    <t>385.893</t>
  </si>
  <si>
    <t>339217.8715</t>
  </si>
  <si>
    <t>262774.1557</t>
  </si>
  <si>
    <t>385.881</t>
  </si>
  <si>
    <t>339217.8475</t>
  </si>
  <si>
    <t>262774.2036</t>
  </si>
  <si>
    <t>385.813</t>
  </si>
  <si>
    <t>339217.8676</t>
  </si>
  <si>
    <t>386.069</t>
  </si>
  <si>
    <t>단방향</t>
    <phoneticPr fontId="3" type="noConversion"/>
  </si>
  <si>
    <t>339217.8579</t>
  </si>
  <si>
    <t>262774.1457</t>
  </si>
  <si>
    <t>386.119</t>
  </si>
  <si>
    <t>U논산15</t>
    <phoneticPr fontId="3" type="noConversion"/>
  </si>
  <si>
    <t>U논산15</t>
  </si>
  <si>
    <t>U진안96</t>
    <phoneticPr fontId="3" type="noConversion"/>
  </si>
  <si>
    <t>U진안96</t>
  </si>
  <si>
    <t>U무주66</t>
    <phoneticPr fontId="3" type="noConversion"/>
  </si>
  <si>
    <t>U무주66</t>
  </si>
  <si>
    <t>U무풍63</t>
    <phoneticPr fontId="3" type="noConversion"/>
  </si>
  <si>
    <t>U무풍63</t>
  </si>
  <si>
    <t>U0711</t>
    <phoneticPr fontId="3" type="noConversion"/>
  </si>
  <si>
    <t>U0711</t>
  </si>
  <si>
    <t>U0631</t>
    <phoneticPr fontId="3" type="noConversion"/>
  </si>
  <si>
    <t>U0631</t>
  </si>
  <si>
    <t>U금산77</t>
    <phoneticPr fontId="3" type="noConversion"/>
  </si>
  <si>
    <t>U금산77</t>
  </si>
  <si>
    <t>U대전11</t>
    <phoneticPr fontId="3" type="noConversion"/>
  </si>
  <si>
    <t>U대전11</t>
  </si>
  <si>
    <t>U보은22</t>
    <phoneticPr fontId="3" type="noConversion"/>
  </si>
  <si>
    <t>U보은22</t>
  </si>
  <si>
    <t>U보은25</t>
    <phoneticPr fontId="3" type="noConversion"/>
  </si>
  <si>
    <t>U보은25</t>
  </si>
  <si>
    <t>U영동06</t>
    <phoneticPr fontId="3" type="noConversion"/>
  </si>
  <si>
    <t>U영동06</t>
  </si>
  <si>
    <t>U0562</t>
    <phoneticPr fontId="3" type="noConversion"/>
  </si>
  <si>
    <t>U0562</t>
  </si>
  <si>
    <t>U미원34</t>
    <phoneticPr fontId="3" type="noConversion"/>
  </si>
  <si>
    <t>U미원34</t>
  </si>
  <si>
    <t>U미원28</t>
    <phoneticPr fontId="3" type="noConversion"/>
  </si>
  <si>
    <t>U미원28</t>
  </si>
  <si>
    <t>U청주13</t>
    <phoneticPr fontId="3" type="noConversion"/>
  </si>
  <si>
    <t>U청주13</t>
  </si>
  <si>
    <t>U청주18</t>
    <phoneticPr fontId="3" type="noConversion"/>
  </si>
  <si>
    <t>U청주18</t>
  </si>
  <si>
    <t>U공주13</t>
    <phoneticPr fontId="3" type="noConversion"/>
  </si>
  <si>
    <t>U공주13</t>
  </si>
  <si>
    <t>U대전09</t>
    <phoneticPr fontId="3" type="noConversion"/>
  </si>
  <si>
    <t>U대전09</t>
  </si>
  <si>
    <t>U한산88</t>
    <phoneticPr fontId="3" type="noConversion"/>
  </si>
  <si>
    <t>U한산88</t>
  </si>
  <si>
    <t>U한산84</t>
    <phoneticPr fontId="3" type="noConversion"/>
  </si>
  <si>
    <t>U한산84</t>
  </si>
  <si>
    <t>U0546</t>
    <phoneticPr fontId="3" type="noConversion"/>
  </si>
  <si>
    <t>U0546</t>
  </si>
  <si>
    <t>U0545</t>
    <phoneticPr fontId="3" type="noConversion"/>
  </si>
  <si>
    <t>U0545</t>
  </si>
  <si>
    <t>U청양05</t>
    <phoneticPr fontId="3" type="noConversion"/>
  </si>
  <si>
    <t>U청양05</t>
  </si>
  <si>
    <t>U예산32</t>
    <phoneticPr fontId="3" type="noConversion"/>
  </si>
  <si>
    <t>U예산32</t>
  </si>
  <si>
    <t>U청양32</t>
    <phoneticPr fontId="3" type="noConversion"/>
  </si>
  <si>
    <t>U청양32</t>
  </si>
  <si>
    <t>U0457</t>
    <phoneticPr fontId="3" type="noConversion"/>
  </si>
  <si>
    <t>U0457</t>
  </si>
  <si>
    <t>U홍성20</t>
    <phoneticPr fontId="3" type="noConversion"/>
  </si>
  <si>
    <t>U홍성20</t>
  </si>
  <si>
    <t>U0443</t>
    <phoneticPr fontId="3" type="noConversion"/>
  </si>
  <si>
    <t>U0443</t>
  </si>
  <si>
    <t>U0493</t>
  </si>
  <si>
    <t>U상주64</t>
  </si>
  <si>
    <t>U상주83</t>
  </si>
  <si>
    <t>U상주37</t>
  </si>
  <si>
    <t>U예천91</t>
  </si>
  <si>
    <t>U예천88</t>
  </si>
  <si>
    <t>U안동62</t>
  </si>
  <si>
    <t>144.3811</t>
  </si>
  <si>
    <t>437413.0645</t>
  </si>
  <si>
    <t>116871.5531</t>
  </si>
  <si>
    <t>119.2992</t>
  </si>
  <si>
    <t>416556.1816</t>
  </si>
  <si>
    <t>117433.591</t>
  </si>
  <si>
    <t>118.216</t>
  </si>
  <si>
    <t>409770.4354</t>
  </si>
  <si>
    <t>116793.0732</t>
  </si>
  <si>
    <t>81.0794</t>
  </si>
  <si>
    <t>425144.3602</t>
  </si>
  <si>
    <t>126800.9052</t>
  </si>
  <si>
    <t>86.3673</t>
  </si>
  <si>
    <t>436447.5718</t>
  </si>
  <si>
    <t>134010.0666</t>
  </si>
  <si>
    <t>95.8367</t>
  </si>
  <si>
    <t>437916.7087</t>
  </si>
  <si>
    <t>150120.9378</t>
  </si>
  <si>
    <t>107.6702</t>
  </si>
  <si>
    <t>442260.3065</t>
  </si>
  <si>
    <t>159681.0296</t>
  </si>
  <si>
    <t>U0244</t>
    <phoneticPr fontId="3" type="noConversion"/>
  </si>
  <si>
    <t>RTS1</t>
    <phoneticPr fontId="3" type="noConversion"/>
  </si>
  <si>
    <t>519207.8695</t>
  </si>
  <si>
    <t>256209.7849</t>
  </si>
  <si>
    <t>138.8098</t>
  </si>
  <si>
    <t>vrs-CMRx</t>
    <phoneticPr fontId="3" type="noConversion"/>
  </si>
  <si>
    <t>U0244</t>
  </si>
  <si>
    <t>RTS2</t>
    <phoneticPr fontId="3" type="noConversion"/>
  </si>
  <si>
    <t>U여주77</t>
    <phoneticPr fontId="3" type="noConversion"/>
  </si>
  <si>
    <t>96.8139</t>
  </si>
  <si>
    <t>U여주77</t>
  </si>
  <si>
    <t>525128.4429</t>
  </si>
  <si>
    <t>257638.732</t>
  </si>
  <si>
    <t>GVRS</t>
    <phoneticPr fontId="3" type="noConversion"/>
  </si>
  <si>
    <t>U장호원34</t>
    <phoneticPr fontId="3" type="noConversion"/>
  </si>
  <si>
    <t>511557.446</t>
  </si>
  <si>
    <t>255133.18</t>
  </si>
  <si>
    <t>107.146</t>
  </si>
  <si>
    <t>U장호원34</t>
  </si>
  <si>
    <t>U0144</t>
    <phoneticPr fontId="3" type="noConversion"/>
  </si>
  <si>
    <t>68.1984</t>
  </si>
  <si>
    <t>U0144</t>
  </si>
  <si>
    <t>557917.3139</t>
  </si>
  <si>
    <t>191406.3889</t>
  </si>
  <si>
    <t>U김포15</t>
    <phoneticPr fontId="3" type="noConversion"/>
  </si>
  <si>
    <t>30.8036</t>
  </si>
  <si>
    <t>U김포15</t>
  </si>
  <si>
    <t>557546.0324</t>
  </si>
  <si>
    <t>158979.4595</t>
  </si>
  <si>
    <t>U0214</t>
    <phoneticPr fontId="3" type="noConversion"/>
  </si>
  <si>
    <t>30.5817</t>
  </si>
  <si>
    <t>U0214</t>
  </si>
  <si>
    <t>527340.3975</t>
  </si>
  <si>
    <t>172722.1324</t>
  </si>
  <si>
    <t>U양구84</t>
  </si>
  <si>
    <t>vrs23</t>
  </si>
  <si>
    <t>vrs34</t>
  </si>
  <si>
    <t>fkp31</t>
  </si>
  <si>
    <t>vrs32</t>
  </si>
  <si>
    <t>u용두31</t>
  </si>
  <si>
    <t>fkprtcm31</t>
  </si>
  <si>
    <t>91.5424</t>
  </si>
  <si>
    <t>vrsrtcm32</t>
  </si>
  <si>
    <t>vrsrtcm23</t>
  </si>
  <si>
    <t>vrsrtcm34</t>
  </si>
  <si>
    <t>U춘천03</t>
  </si>
  <si>
    <t>168.9371</t>
  </si>
  <si>
    <t>vrscmrx</t>
  </si>
  <si>
    <t>rtcm34</t>
  </si>
  <si>
    <t>U춘천09</t>
  </si>
  <si>
    <t>75.9548</t>
  </si>
  <si>
    <t>vrs31</t>
  </si>
  <si>
    <t>rtk34</t>
  </si>
  <si>
    <t>u춘천14</t>
  </si>
  <si>
    <t>66.3155</t>
  </si>
  <si>
    <t>U0248</t>
  </si>
  <si>
    <t>66.6758</t>
  </si>
  <si>
    <t>rts34</t>
  </si>
  <si>
    <t>경기</t>
    <phoneticPr fontId="3" type="noConversion"/>
  </si>
  <si>
    <t>경상</t>
    <phoneticPr fontId="3" type="noConversion"/>
  </si>
  <si>
    <t>U0493</t>
    <phoneticPr fontId="3" type="noConversion"/>
  </si>
  <si>
    <t>충북</t>
    <phoneticPr fontId="3" type="noConversion"/>
  </si>
  <si>
    <t>563570.3071</t>
  </si>
  <si>
    <t>245492.8807</t>
  </si>
  <si>
    <t>593090.7664</t>
  </si>
  <si>
    <t>249153.8922</t>
  </si>
  <si>
    <t>588053.4569</t>
  </si>
  <si>
    <t>263201.7883</t>
  </si>
  <si>
    <t>581735.7225</t>
  </si>
  <si>
    <t>249015.9518</t>
  </si>
  <si>
    <t>527868.5848</t>
  </si>
  <si>
    <t>274958.4517</t>
  </si>
  <si>
    <t>U홍천15</t>
    <phoneticPr fontId="3" type="noConversion"/>
  </si>
  <si>
    <t>U홍천15</t>
  </si>
  <si>
    <t>U0169</t>
    <phoneticPr fontId="3" type="noConversion"/>
  </si>
  <si>
    <t>U0169</t>
  </si>
  <si>
    <t>U0098</t>
    <phoneticPr fontId="3" type="noConversion"/>
  </si>
  <si>
    <t>U0098</t>
  </si>
  <si>
    <t>U0042</t>
    <phoneticPr fontId="3" type="noConversion"/>
  </si>
  <si>
    <t>U0042</t>
  </si>
  <si>
    <t>U0043</t>
  </si>
  <si>
    <t>U0104</t>
    <phoneticPr fontId="3" type="noConversion"/>
  </si>
  <si>
    <t>U0104</t>
  </si>
  <si>
    <t>U0105</t>
    <phoneticPr fontId="3" type="noConversion"/>
  </si>
  <si>
    <t>U0105</t>
  </si>
  <si>
    <t>U봉평04</t>
    <phoneticPr fontId="3" type="noConversion"/>
  </si>
  <si>
    <t>U봉평04</t>
  </si>
  <si>
    <t>U도암15</t>
    <phoneticPr fontId="3" type="noConversion"/>
  </si>
  <si>
    <t>U도암15</t>
  </si>
  <si>
    <t>U연곡13</t>
    <phoneticPr fontId="3" type="noConversion"/>
  </si>
  <si>
    <t>U연곡13</t>
  </si>
  <si>
    <t>U연곡07</t>
    <phoneticPr fontId="3" type="noConversion"/>
  </si>
  <si>
    <t>U속초10</t>
    <phoneticPr fontId="3" type="noConversion"/>
  </si>
  <si>
    <t>U속초10</t>
  </si>
  <si>
    <t>U0193</t>
    <phoneticPr fontId="3" type="noConversion"/>
  </si>
  <si>
    <t>U0193</t>
  </si>
  <si>
    <t>U0195</t>
    <phoneticPr fontId="3" type="noConversion"/>
  </si>
  <si>
    <t>U0195</t>
  </si>
  <si>
    <t>U임계19</t>
    <phoneticPr fontId="3" type="noConversion"/>
  </si>
  <si>
    <t>U임계19</t>
  </si>
  <si>
    <t>U정선04</t>
    <phoneticPr fontId="3" type="noConversion"/>
  </si>
  <si>
    <t>U정선04</t>
  </si>
  <si>
    <t>U봉평18</t>
    <phoneticPr fontId="3" type="noConversion"/>
  </si>
  <si>
    <t>U봉평18</t>
  </si>
  <si>
    <t>U0253</t>
    <phoneticPr fontId="3" type="noConversion"/>
  </si>
  <si>
    <t>U0253</t>
  </si>
  <si>
    <t>554380.7711</t>
    <phoneticPr fontId="4" type="noConversion"/>
  </si>
  <si>
    <t>286933.7806</t>
    <phoneticPr fontId="4" type="noConversion"/>
  </si>
  <si>
    <t>554380.7711</t>
  </si>
  <si>
    <t>286933.7806</t>
  </si>
  <si>
    <t>568029.3648</t>
    <phoneticPr fontId="4" type="noConversion"/>
  </si>
  <si>
    <t>280126.4356</t>
    <phoneticPr fontId="4" type="noConversion"/>
  </si>
  <si>
    <t>568029.3648</t>
  </si>
  <si>
    <t>280126.4356</t>
  </si>
  <si>
    <t>592908.7343</t>
    <phoneticPr fontId="4" type="noConversion"/>
  </si>
  <si>
    <t>117532.8693</t>
    <phoneticPr fontId="4" type="noConversion"/>
  </si>
  <si>
    <t>592908.7343</t>
  </si>
  <si>
    <t>117532.8693</t>
  </si>
  <si>
    <t>624875.9031</t>
    <phoneticPr fontId="4" type="noConversion"/>
  </si>
  <si>
    <t>155946.9567</t>
    <phoneticPr fontId="4" type="noConversion"/>
  </si>
  <si>
    <t>624875.9031</t>
  </si>
  <si>
    <t>155946.9567</t>
  </si>
  <si>
    <t>615786.7862</t>
    <phoneticPr fontId="4" type="noConversion"/>
  </si>
  <si>
    <t>134911.5881</t>
    <phoneticPr fontId="4" type="noConversion"/>
  </si>
  <si>
    <t>615786.7862</t>
  </si>
  <si>
    <t>134911.5881</t>
  </si>
  <si>
    <t>586109.7404</t>
    <phoneticPr fontId="4" type="noConversion"/>
  </si>
  <si>
    <t>134675.7107</t>
    <phoneticPr fontId="4" type="noConversion"/>
  </si>
  <si>
    <t>586109.7404</t>
  </si>
  <si>
    <t>134675.7107</t>
  </si>
  <si>
    <t>571161.486</t>
    <phoneticPr fontId="4" type="noConversion"/>
  </si>
  <si>
    <t>147440.3742</t>
    <phoneticPr fontId="4" type="noConversion"/>
  </si>
  <si>
    <t>571161.486</t>
  </si>
  <si>
    <t>147440.3742</t>
  </si>
  <si>
    <t>562216.3863</t>
    <phoneticPr fontId="4" type="noConversion"/>
  </si>
  <si>
    <t>157485.1921</t>
    <phoneticPr fontId="4" type="noConversion"/>
  </si>
  <si>
    <t>562216.3863</t>
  </si>
  <si>
    <t>157485.1921</t>
  </si>
  <si>
    <t>574002.3013</t>
    <phoneticPr fontId="4" type="noConversion"/>
  </si>
  <si>
    <t>165875.1092</t>
    <phoneticPr fontId="4" type="noConversion"/>
  </si>
  <si>
    <t>574002.3013</t>
  </si>
  <si>
    <t>165875.1092</t>
  </si>
  <si>
    <t>583187.5938</t>
    <phoneticPr fontId="4" type="noConversion"/>
  </si>
  <si>
    <t>177239.2433</t>
    <phoneticPr fontId="4" type="noConversion"/>
  </si>
  <si>
    <t>602314.3377</t>
    <phoneticPr fontId="4" type="noConversion"/>
  </si>
  <si>
    <t>160755.7242</t>
    <phoneticPr fontId="4" type="noConversion"/>
  </si>
  <si>
    <t>602314.3377</t>
  </si>
  <si>
    <t>160755.7242</t>
  </si>
  <si>
    <t>557542.4678</t>
    <phoneticPr fontId="4" type="noConversion"/>
  </si>
  <si>
    <t>199259.1961</t>
    <phoneticPr fontId="4" type="noConversion"/>
  </si>
  <si>
    <t>557542.4678</t>
  </si>
  <si>
    <t>199259.1961</t>
  </si>
  <si>
    <t>547579.7127</t>
    <phoneticPr fontId="4" type="noConversion"/>
  </si>
  <si>
    <t>194891.5285</t>
    <phoneticPr fontId="4" type="noConversion"/>
  </si>
  <si>
    <t>547579.7127</t>
  </si>
  <si>
    <t>194891.5285</t>
  </si>
  <si>
    <t>541112.8246</t>
    <phoneticPr fontId="4" type="noConversion"/>
  </si>
  <si>
    <t>182324.5832</t>
    <phoneticPr fontId="4" type="noConversion"/>
  </si>
  <si>
    <t>541112.8246</t>
  </si>
  <si>
    <t>182324.5832</t>
  </si>
  <si>
    <t>540492.9506</t>
    <phoneticPr fontId="4" type="noConversion"/>
  </si>
  <si>
    <t>172014.3242</t>
    <phoneticPr fontId="4" type="noConversion"/>
  </si>
  <si>
    <t>540492.9506</t>
  </si>
  <si>
    <t>172014.3242</t>
  </si>
  <si>
    <t>548373.6159</t>
    <phoneticPr fontId="4" type="noConversion"/>
  </si>
  <si>
    <t>151948.1902</t>
    <phoneticPr fontId="4" type="noConversion"/>
  </si>
  <si>
    <t>548373.6159</t>
  </si>
  <si>
    <t>151948.1902</t>
  </si>
  <si>
    <t>537781.5759</t>
    <phoneticPr fontId="4" type="noConversion"/>
  </si>
  <si>
    <t>116367.3564</t>
    <phoneticPr fontId="4" type="noConversion"/>
  </si>
  <si>
    <t>537781.5759</t>
  </si>
  <si>
    <t>116367.3564</t>
  </si>
  <si>
    <t>강원</t>
    <phoneticPr fontId="3" type="noConversion"/>
  </si>
  <si>
    <t>232.8829</t>
  </si>
  <si>
    <t>167.8885</t>
  </si>
  <si>
    <t>286.2186</t>
  </si>
  <si>
    <t>204.2051</t>
  </si>
  <si>
    <t>297.9566</t>
  </si>
  <si>
    <t>385.3399</t>
  </si>
  <si>
    <t>419.4233</t>
  </si>
  <si>
    <t>674.3976</t>
  </si>
  <si>
    <t>733.8265</t>
  </si>
  <si>
    <t>978.5622</t>
  </si>
  <si>
    <t>87.6585</t>
  </si>
  <si>
    <t>154.5806</t>
  </si>
  <si>
    <t>52.821</t>
  </si>
  <si>
    <t>709.0874</t>
  </si>
  <si>
    <t>481.2198</t>
  </si>
  <si>
    <t>386.8193</t>
  </si>
  <si>
    <t>507.874</t>
  </si>
  <si>
    <t>252.5813</t>
  </si>
  <si>
    <t>수평</t>
    <phoneticPr fontId="3" type="noConversion"/>
  </si>
  <si>
    <t>수직</t>
    <phoneticPr fontId="3" type="noConversion"/>
  </si>
  <si>
    <t>평균(수평)</t>
    <phoneticPr fontId="3" type="noConversion"/>
  </si>
  <si>
    <t>평균(수직)</t>
    <phoneticPr fontId="3" type="noConversion"/>
  </si>
  <si>
    <t>최대(수평)</t>
    <phoneticPr fontId="3" type="noConversion"/>
  </si>
  <si>
    <t>최대(수직)</t>
    <phoneticPr fontId="3" type="noConversion"/>
  </si>
  <si>
    <t>전체</t>
    <phoneticPr fontId="3" type="noConversion"/>
  </si>
  <si>
    <t>경상</t>
    <phoneticPr fontId="3" type="noConversion"/>
  </si>
  <si>
    <t>U안계16</t>
    <phoneticPr fontId="3" type="noConversion"/>
  </si>
  <si>
    <t>U안계16</t>
  </si>
  <si>
    <t>GVRS</t>
    <phoneticPr fontId="3" type="noConversion"/>
  </si>
  <si>
    <t>양방향</t>
    <phoneticPr fontId="3" type="noConversion"/>
  </si>
  <si>
    <t>단방향</t>
    <phoneticPr fontId="3" type="noConversion"/>
  </si>
  <si>
    <t>U의성11</t>
    <phoneticPr fontId="3" type="noConversion"/>
  </si>
  <si>
    <t>U의성11</t>
  </si>
  <si>
    <t>U0513</t>
    <phoneticPr fontId="3" type="noConversion"/>
  </si>
  <si>
    <t>U0513</t>
  </si>
  <si>
    <t>U영양87</t>
    <phoneticPr fontId="3" type="noConversion"/>
  </si>
  <si>
    <t>U영양87</t>
  </si>
  <si>
    <t>GVRS</t>
  </si>
  <si>
    <t>U청송07</t>
    <phoneticPr fontId="3" type="noConversion"/>
  </si>
  <si>
    <t>U청송07</t>
  </si>
  <si>
    <t>U청송73</t>
    <phoneticPr fontId="3" type="noConversion"/>
  </si>
  <si>
    <t>U청송73</t>
  </si>
  <si>
    <t>U기계54</t>
    <phoneticPr fontId="3" type="noConversion"/>
  </si>
  <si>
    <t>U기계54</t>
  </si>
  <si>
    <t>U0662</t>
    <phoneticPr fontId="3" type="noConversion"/>
  </si>
  <si>
    <t>U0662</t>
  </si>
  <si>
    <t>U포항66</t>
    <phoneticPr fontId="3" type="noConversion"/>
  </si>
  <si>
    <t>U포항66</t>
  </si>
  <si>
    <t>U경주20</t>
    <phoneticPr fontId="3" type="noConversion"/>
  </si>
  <si>
    <t>U경주20</t>
  </si>
  <si>
    <t>U경주59</t>
    <phoneticPr fontId="3" type="noConversion"/>
  </si>
  <si>
    <t>U경주59</t>
  </si>
  <si>
    <t>U0742</t>
    <phoneticPr fontId="3" type="noConversion"/>
  </si>
  <si>
    <t>U0742</t>
  </si>
  <si>
    <t>U언양10</t>
    <phoneticPr fontId="3" type="noConversion"/>
  </si>
  <si>
    <t>U언양10</t>
  </si>
  <si>
    <t>U언양12</t>
    <phoneticPr fontId="3" type="noConversion"/>
  </si>
  <si>
    <t>U언양12</t>
  </si>
  <si>
    <t>U0836</t>
    <phoneticPr fontId="3" type="noConversion"/>
  </si>
  <si>
    <t>U0836</t>
  </si>
  <si>
    <t>U울산32</t>
    <phoneticPr fontId="3" type="noConversion"/>
  </si>
  <si>
    <t>U울산32</t>
  </si>
  <si>
    <t>U0918</t>
    <phoneticPr fontId="3" type="noConversion"/>
  </si>
  <si>
    <t>U0918</t>
  </si>
  <si>
    <t>U밀양13</t>
    <phoneticPr fontId="3" type="noConversion"/>
  </si>
  <si>
    <t>U밀양13</t>
  </si>
  <si>
    <t>U0915</t>
    <phoneticPr fontId="3" type="noConversion"/>
  </si>
  <si>
    <t>U0915</t>
  </si>
  <si>
    <t>U청도20</t>
    <phoneticPr fontId="3" type="noConversion"/>
  </si>
  <si>
    <t>U청도20</t>
  </si>
  <si>
    <t>U청도16</t>
    <phoneticPr fontId="3" type="noConversion"/>
  </si>
  <si>
    <t>U청도16</t>
  </si>
  <si>
    <t>U창원05</t>
    <phoneticPr fontId="3" type="noConversion"/>
  </si>
  <si>
    <t>U창원05</t>
  </si>
  <si>
    <t>U김천38</t>
    <phoneticPr fontId="3" type="noConversion"/>
  </si>
  <si>
    <t>U김천38</t>
  </si>
  <si>
    <t>11.4</t>
  </si>
  <si>
    <t>21.3</t>
  </si>
  <si>
    <t>27.2</t>
  </si>
  <si>
    <t>87.5</t>
  </si>
  <si>
    <t>28.7</t>
  </si>
  <si>
    <t>14.8</t>
  </si>
  <si>
    <t>17.8</t>
  </si>
  <si>
    <t>93.4</t>
  </si>
  <si>
    <t>119.3</t>
  </si>
  <si>
    <t>19.2</t>
  </si>
  <si>
    <t>101.8</t>
  </si>
  <si>
    <t>81.6</t>
  </si>
  <si>
    <t>140.6</t>
  </si>
  <si>
    <t>33.7</t>
  </si>
  <si>
    <t>72.8</t>
  </si>
  <si>
    <t>53.0</t>
  </si>
  <si>
    <t>96.6</t>
  </si>
  <si>
    <t>68.6</t>
  </si>
  <si>
    <t>89.6</t>
  </si>
  <si>
    <t>42.0</t>
  </si>
  <si>
    <t>94.3</t>
  </si>
  <si>
    <t>65.0</t>
  </si>
  <si>
    <t>117.3</t>
  </si>
  <si>
    <t>19.5</t>
  </si>
  <si>
    <t>39.4</t>
  </si>
  <si>
    <t>53.3</t>
  </si>
  <si>
    <t>103.2</t>
  </si>
  <si>
    <t>27.5</t>
  </si>
  <si>
    <t>126.2</t>
  </si>
  <si>
    <t>80.5</t>
  </si>
  <si>
    <t>159.8</t>
  </si>
  <si>
    <t>23.0</t>
  </si>
  <si>
    <t>22.6</t>
  </si>
  <si>
    <t>13.8</t>
  </si>
  <si>
    <t>9.6</t>
  </si>
  <si>
    <t>7.0</t>
  </si>
  <si>
    <t>14.0</t>
  </si>
  <si>
    <t>8.7</t>
  </si>
  <si>
    <t>15.9</t>
  </si>
  <si>
    <t>430715.8813</t>
    <phoneticPr fontId="4" type="noConversion"/>
  </si>
  <si>
    <t>144939.5718</t>
    <phoneticPr fontId="4" type="noConversion"/>
  </si>
  <si>
    <t>111.9996</t>
  </si>
  <si>
    <t>430715.8813</t>
  </si>
  <si>
    <t>144939.5718</t>
  </si>
  <si>
    <t>430718.1066</t>
    <phoneticPr fontId="4" type="noConversion"/>
  </si>
  <si>
    <t>155573.4213</t>
    <phoneticPr fontId="4" type="noConversion"/>
  </si>
  <si>
    <t>137.9817</t>
  </si>
  <si>
    <t>430718.1066</t>
  </si>
  <si>
    <t>155573.4213</t>
  </si>
  <si>
    <t>441275.4034</t>
    <phoneticPr fontId="4" type="noConversion"/>
  </si>
  <si>
    <t>193008.0107</t>
    <phoneticPr fontId="4" type="noConversion"/>
  </si>
  <si>
    <t>245.8276</t>
  </si>
  <si>
    <t>441275.4034</t>
  </si>
  <si>
    <t>193008.0107</t>
  </si>
  <si>
    <t>437849.3555</t>
    <phoneticPr fontId="4" type="noConversion"/>
  </si>
  <si>
    <t>214156.7241</t>
    <phoneticPr fontId="4" type="noConversion"/>
  </si>
  <si>
    <t>255.3274</t>
  </si>
  <si>
    <t>437849.3555</t>
  </si>
  <si>
    <t>214156.7241</t>
  </si>
  <si>
    <t>432381.292</t>
    <phoneticPr fontId="4" type="noConversion"/>
  </si>
  <si>
    <t>213716.2509</t>
    <phoneticPr fontId="4" type="noConversion"/>
  </si>
  <si>
    <t>364.4155</t>
  </si>
  <si>
    <t>432381.292</t>
  </si>
  <si>
    <t>213716.2509</t>
  </si>
  <si>
    <t>412183.4862</t>
    <phoneticPr fontId="4" type="noConversion"/>
  </si>
  <si>
    <t>204634.4846</t>
    <phoneticPr fontId="4" type="noConversion"/>
  </si>
  <si>
    <t>544.5898</t>
  </si>
  <si>
    <t>412183.4862</t>
  </si>
  <si>
    <t>204634.4846</t>
  </si>
  <si>
    <t>391620.2601</t>
    <phoneticPr fontId="4" type="noConversion"/>
  </si>
  <si>
    <t>207404.9639</t>
    <phoneticPr fontId="4" type="noConversion"/>
  </si>
  <si>
    <t>202.8309</t>
  </si>
  <si>
    <t>391620.2601</t>
  </si>
  <si>
    <t>207404.9639</t>
  </si>
  <si>
    <t>405408.6311</t>
    <phoneticPr fontId="4" type="noConversion"/>
  </si>
  <si>
    <t>219257.8667</t>
    <phoneticPr fontId="4" type="noConversion"/>
  </si>
  <si>
    <t>406.5613</t>
  </si>
  <si>
    <t>405408.6311</t>
  </si>
  <si>
    <t>219257.8667</t>
  </si>
  <si>
    <t>388773.9788</t>
    <phoneticPr fontId="4" type="noConversion"/>
  </si>
  <si>
    <t>233695.0128</t>
    <phoneticPr fontId="4" type="noConversion"/>
  </si>
  <si>
    <t>62.5226</t>
  </si>
  <si>
    <t>388773.9788</t>
  </si>
  <si>
    <t>233695.0128</t>
  </si>
  <si>
    <t>374502.7838</t>
    <phoneticPr fontId="4" type="noConversion"/>
  </si>
  <si>
    <t>221048.9506</t>
    <phoneticPr fontId="4" type="noConversion"/>
  </si>
  <si>
    <t>41.3384</t>
  </si>
  <si>
    <t>374502.7838</t>
  </si>
  <si>
    <t>221048.9506</t>
  </si>
  <si>
    <t>363334.9729</t>
    <phoneticPr fontId="4" type="noConversion"/>
  </si>
  <si>
    <t>220308.706</t>
    <phoneticPr fontId="4" type="noConversion"/>
  </si>
  <si>
    <t>66.9443</t>
  </si>
  <si>
    <t>363334.9729</t>
  </si>
  <si>
    <t>220308.706</t>
  </si>
  <si>
    <t>356458.1818</t>
    <phoneticPr fontId="4" type="noConversion"/>
  </si>
  <si>
    <t>197200.2251</t>
    <phoneticPr fontId="4" type="noConversion"/>
  </si>
  <si>
    <t>235.9803</t>
  </si>
  <si>
    <t>356458.1818</t>
  </si>
  <si>
    <t>197200.2251</t>
  </si>
  <si>
    <t>341754.0567</t>
    <phoneticPr fontId="4" type="noConversion"/>
  </si>
  <si>
    <t>204660.3693</t>
    <phoneticPr fontId="4" type="noConversion"/>
  </si>
  <si>
    <t>457.7192</t>
  </si>
  <si>
    <t>341754.0567</t>
  </si>
  <si>
    <t>204660.3693</t>
  </si>
  <si>
    <t>339704.2056</t>
    <phoneticPr fontId="4" type="noConversion"/>
  </si>
  <si>
    <t>220043.4811</t>
    <phoneticPr fontId="4" type="noConversion"/>
  </si>
  <si>
    <t>186.8971</t>
  </si>
  <si>
    <t>339704.2056</t>
  </si>
  <si>
    <t>220043.4811</t>
  </si>
  <si>
    <t>346692.6365</t>
    <phoneticPr fontId="4" type="noConversion"/>
  </si>
  <si>
    <t>229301.263</t>
    <phoneticPr fontId="4" type="noConversion"/>
  </si>
  <si>
    <t>119.978</t>
  </si>
  <si>
    <t>346692.6365</t>
  </si>
  <si>
    <t>229301.263</t>
  </si>
  <si>
    <t>324580.5537</t>
    <phoneticPr fontId="4" type="noConversion"/>
  </si>
  <si>
    <t>230152.866</t>
    <phoneticPr fontId="4" type="noConversion"/>
  </si>
  <si>
    <t>43.2004</t>
  </si>
  <si>
    <t>324580.5537</t>
  </si>
  <si>
    <t>230152.866</t>
  </si>
  <si>
    <t>313729.9989</t>
    <phoneticPr fontId="4" type="noConversion"/>
  </si>
  <si>
    <t>215986.442</t>
    <phoneticPr fontId="4" type="noConversion"/>
  </si>
  <si>
    <t>111.497</t>
  </si>
  <si>
    <t>313729.9989</t>
  </si>
  <si>
    <t>215986.442</t>
  </si>
  <si>
    <t>308382.7393</t>
    <phoneticPr fontId="4" type="noConversion"/>
  </si>
  <si>
    <t>191359.5859</t>
    <phoneticPr fontId="4" type="noConversion"/>
  </si>
  <si>
    <t>39.5732</t>
  </si>
  <si>
    <t>308382.7393</t>
  </si>
  <si>
    <t>191359.5859</t>
  </si>
  <si>
    <t>302942.2213</t>
    <phoneticPr fontId="4" type="noConversion"/>
  </si>
  <si>
    <t>186804.665</t>
    <phoneticPr fontId="4" type="noConversion"/>
  </si>
  <si>
    <t>49.1897</t>
  </si>
  <si>
    <t>302942.2213</t>
  </si>
  <si>
    <t>186804.665</t>
  </si>
  <si>
    <t>323605.5542</t>
    <phoneticPr fontId="4" type="noConversion"/>
  </si>
  <si>
    <t>175549.7382</t>
    <phoneticPr fontId="4" type="noConversion"/>
  </si>
  <si>
    <t>50.8415</t>
  </si>
  <si>
    <t>323605.5542</t>
  </si>
  <si>
    <t>175549.7382</t>
  </si>
  <si>
    <t>324566.5893</t>
    <phoneticPr fontId="4" type="noConversion"/>
  </si>
  <si>
    <t>168170.2104</t>
    <phoneticPr fontId="4" type="noConversion"/>
  </si>
  <si>
    <t>64.1298</t>
  </si>
  <si>
    <t>324566.5893</t>
  </si>
  <si>
    <t>168170.2104</t>
  </si>
  <si>
    <t>322395.61</t>
    <phoneticPr fontId="4" type="noConversion"/>
  </si>
  <si>
    <t>164106.7752</t>
    <phoneticPr fontId="4" type="noConversion"/>
  </si>
  <si>
    <t>115.1354</t>
  </si>
  <si>
    <t>322395.61</t>
  </si>
  <si>
    <t>164106.7752</t>
  </si>
  <si>
    <t>392363.0261</t>
    <phoneticPr fontId="4" type="noConversion"/>
  </si>
  <si>
    <t>121537.5241</t>
    <phoneticPr fontId="4" type="noConversion"/>
  </si>
  <si>
    <t>90.3793</t>
  </si>
  <si>
    <t>392363.0261</t>
  </si>
  <si>
    <t>121537.5241</t>
  </si>
  <si>
    <t>U0313</t>
    <phoneticPr fontId="3" type="noConversion"/>
  </si>
  <si>
    <t>U0313</t>
  </si>
  <si>
    <t>U0317</t>
    <phoneticPr fontId="3" type="noConversion"/>
  </si>
  <si>
    <t>U0317</t>
  </si>
  <si>
    <t>U덕산21</t>
    <phoneticPr fontId="3" type="noConversion"/>
  </si>
  <si>
    <t>U덕산21</t>
  </si>
  <si>
    <t>U덕산24</t>
    <phoneticPr fontId="3" type="noConversion"/>
  </si>
  <si>
    <t>U덕산24</t>
  </si>
  <si>
    <t>U영주84</t>
    <phoneticPr fontId="3" type="noConversion"/>
  </si>
  <si>
    <t>U영주84</t>
  </si>
  <si>
    <t>GVRS</t>
    <phoneticPr fontId="3" type="noConversion"/>
  </si>
  <si>
    <t>단방향</t>
    <phoneticPr fontId="3" type="noConversion"/>
  </si>
  <si>
    <t>U예천08</t>
    <phoneticPr fontId="3" type="noConversion"/>
  </si>
  <si>
    <t>U예천08</t>
  </si>
  <si>
    <t>497552.9395</t>
  </si>
  <si>
    <t>285550.96</t>
  </si>
  <si>
    <t>101.5433</t>
  </si>
  <si>
    <t>496776.3382</t>
  </si>
  <si>
    <t>125800.5777</t>
  </si>
  <si>
    <t>151.222</t>
  </si>
  <si>
    <t>462063.206</t>
  </si>
  <si>
    <t>117836.8412</t>
  </si>
  <si>
    <t>207.9064</t>
  </si>
  <si>
    <t>466824.3733</t>
  </si>
  <si>
    <t>127346.3785</t>
  </si>
  <si>
    <t>327.0757</t>
  </si>
  <si>
    <t>464317.2864</t>
  </si>
  <si>
    <t>163094.3893</t>
  </si>
  <si>
    <t>135.227</t>
  </si>
  <si>
    <t>459390.0589</t>
  </si>
  <si>
    <t>149724.3932</t>
  </si>
  <si>
    <t>144.2609</t>
  </si>
  <si>
    <t>강원</t>
    <phoneticPr fontId="3" type="noConversion"/>
  </si>
  <si>
    <t>U0248</t>
    <phoneticPr fontId="3" type="noConversion"/>
  </si>
  <si>
    <t>563570.3071</t>
    <phoneticPr fontId="4" type="noConversion"/>
  </si>
  <si>
    <t>245492.8807</t>
    <phoneticPr fontId="4" type="noConversion"/>
  </si>
  <si>
    <t>593090.7664</t>
    <phoneticPr fontId="4" type="noConversion"/>
  </si>
  <si>
    <t>249153.8922</t>
    <phoneticPr fontId="4" type="noConversion"/>
  </si>
  <si>
    <t>588053.4569</t>
    <phoneticPr fontId="4" type="noConversion"/>
  </si>
  <si>
    <t>263201.7883</t>
    <phoneticPr fontId="4" type="noConversion"/>
  </si>
  <si>
    <t>581735.7225</t>
    <phoneticPr fontId="4" type="noConversion"/>
  </si>
  <si>
    <t>249015.9518</t>
    <phoneticPr fontId="4" type="noConversion"/>
  </si>
  <si>
    <t>527868.5848</t>
    <phoneticPr fontId="4" type="noConversion"/>
  </si>
  <si>
    <t>274958.4517</t>
    <phoneticPr fontId="4" type="noConversion"/>
  </si>
  <si>
    <t>FIX안됨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</si>
</sst>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49" fontId="2" fillId="0" borderId="0" xfId="0" applyNumberFormat="1" applyFont="1" applyFill="1" applyAlignment="1">
      <alignment horizontal="center" vertical="center"/>
    </xf>
    <xf numFmtId="0" fontId="0" fillId="0" borderId="0" xfId="0" applyNumberFormat="1" applyAlignment="1"/>
    <xf numFmtId="0" fontId="0" fillId="0" borderId="0" xfId="0" applyAlignme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12">
    <dxf>
      <font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64"/>
  <sheetViews>
    <sheetView zoomScale="70" zoomScaleNormal="70" workbookViewId="0">
      <selection activeCell="Z23" sqref="Z23"/>
    </sheetView>
  </sheetViews>
  <sheetFormatPr defaultRowHeight="16.5" x14ac:dyDescent="0.3"/>
  <cols>
    <col min="1" max="1" width="9" style="2"/>
    <col min="2" max="2" width="10.5" bestFit="1" customWidth="1"/>
  </cols>
  <sheetData>
    <row r="1" spans="1:30" x14ac:dyDescent="0.3"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X1" s="2"/>
      <c r="Y1" s="10"/>
      <c r="Z1" s="10"/>
      <c r="AA1" s="2"/>
      <c r="AB1" s="2"/>
      <c r="AC1" s="2"/>
      <c r="AD1" s="2"/>
    </row>
    <row r="2" spans="1:30" x14ac:dyDescent="0.3">
      <c r="A2" s="2" t="s">
        <v>399</v>
      </c>
      <c r="B2" s="4" t="s">
        <v>19</v>
      </c>
      <c r="C2" s="2" t="s">
        <v>20</v>
      </c>
      <c r="D2" s="4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5" t="s">
        <v>27</v>
      </c>
      <c r="K2" s="5" t="s">
        <v>28</v>
      </c>
      <c r="L2" s="5" t="s">
        <v>29</v>
      </c>
      <c r="M2" s="3">
        <f t="shared" ref="M2:N2" si="0">J2-E2</f>
        <v>3.6000000109197572E-3</v>
      </c>
      <c r="N2" s="3">
        <f t="shared" si="0"/>
        <v>4.1999999957624823E-3</v>
      </c>
      <c r="O2" s="3">
        <f>ABS(L2-G2)</f>
        <v>9.6900000000005093E-2</v>
      </c>
      <c r="P2">
        <f>POWER(M2,2)</f>
        <v>1.2960000078622252E-5</v>
      </c>
      <c r="Q2">
        <f t="shared" ref="Q2:R2" si="1">POWER(N2,2)</f>
        <v>1.763999996440485E-5</v>
      </c>
      <c r="R2">
        <f t="shared" si="1"/>
        <v>9.3896100000009867E-3</v>
      </c>
      <c r="S2">
        <f>P2+Q2</f>
        <v>3.0600000043027104E-5</v>
      </c>
      <c r="T2">
        <f>SQRT(S2)</f>
        <v>5.531726678264853E-3</v>
      </c>
      <c r="X2" s="2"/>
      <c r="Y2" s="11"/>
      <c r="Z2" s="11"/>
      <c r="AA2" s="11"/>
      <c r="AB2" s="11"/>
      <c r="AC2" s="11"/>
      <c r="AD2" s="11"/>
    </row>
    <row r="3" spans="1:30" x14ac:dyDescent="0.3">
      <c r="A3" s="2" t="s">
        <v>399</v>
      </c>
      <c r="B3" s="4" t="s">
        <v>19</v>
      </c>
      <c r="C3" s="2" t="s">
        <v>20</v>
      </c>
      <c r="D3" s="4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5" t="s">
        <v>27</v>
      </c>
      <c r="K3" s="5" t="s">
        <v>28</v>
      </c>
      <c r="L3" s="5" t="s">
        <v>29</v>
      </c>
      <c r="M3" s="3">
        <f t="shared" ref="M3:M66" si="2">J3-E3</f>
        <v>2.0199999999022111E-2</v>
      </c>
      <c r="N3" s="3">
        <f t="shared" ref="N3:N66" si="3">K3-F3</f>
        <v>-1.9800000009126961E-2</v>
      </c>
      <c r="O3" s="3">
        <f t="shared" ref="O3:O66" si="4">ABS(L3-G3)</f>
        <v>7.0900000000023056E-2</v>
      </c>
      <c r="P3">
        <f t="shared" ref="P3:P66" si="5">POWER(M3,2)</f>
        <v>4.0803999996049328E-4</v>
      </c>
      <c r="Q3">
        <f t="shared" ref="Q3:Q66" si="6">POWER(N3,2)</f>
        <v>3.9204000036142765E-4</v>
      </c>
      <c r="R3">
        <f t="shared" ref="R3:R66" si="7">POWER(O3,2)</f>
        <v>5.0268100000032696E-3</v>
      </c>
      <c r="S3">
        <f t="shared" ref="S3:S66" si="8">P3+Q3</f>
        <v>8.0008000032192098E-4</v>
      </c>
      <c r="T3">
        <f t="shared" ref="T3:T66" si="9">SQRT(S3)</f>
        <v>2.8285685431361229E-2</v>
      </c>
      <c r="X3" s="2"/>
      <c r="Y3" s="11"/>
      <c r="Z3" s="11"/>
      <c r="AA3" s="11"/>
      <c r="AB3" s="11"/>
      <c r="AC3" s="11"/>
      <c r="AD3" s="11"/>
    </row>
    <row r="4" spans="1:30" x14ac:dyDescent="0.3">
      <c r="A4" s="2" t="s">
        <v>399</v>
      </c>
      <c r="B4" s="4" t="s">
        <v>36</v>
      </c>
      <c r="C4" s="2" t="s">
        <v>20</v>
      </c>
      <c r="D4" s="4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5" t="s">
        <v>43</v>
      </c>
      <c r="K4" s="5" t="s">
        <v>44</v>
      </c>
      <c r="L4" s="5" t="s">
        <v>29</v>
      </c>
      <c r="M4" s="3">
        <f t="shared" si="2"/>
        <v>1.0800000003655441E-2</v>
      </c>
      <c r="N4" s="3">
        <f t="shared" si="3"/>
        <v>-4.6000000002095476E-3</v>
      </c>
      <c r="O4" s="3">
        <f t="shared" si="4"/>
        <v>0.11889999999999645</v>
      </c>
      <c r="P4">
        <f t="shared" si="5"/>
        <v>1.1664000007895753E-4</v>
      </c>
      <c r="Q4">
        <f t="shared" si="6"/>
        <v>2.1160000001927838E-5</v>
      </c>
      <c r="R4">
        <f t="shared" si="7"/>
        <v>1.4137209999999156E-2</v>
      </c>
      <c r="S4">
        <f t="shared" si="8"/>
        <v>1.3780000008088537E-4</v>
      </c>
      <c r="T4">
        <f t="shared" si="9"/>
        <v>1.1738824476108559E-2</v>
      </c>
      <c r="X4" s="2"/>
      <c r="Y4" s="11"/>
      <c r="Z4" s="11"/>
      <c r="AA4" s="11"/>
      <c r="AB4" s="11"/>
      <c r="AC4" s="11"/>
      <c r="AD4" s="11"/>
    </row>
    <row r="5" spans="1:30" x14ac:dyDescent="0.3">
      <c r="A5" s="2" t="s">
        <v>399</v>
      </c>
      <c r="B5" s="4" t="s">
        <v>36</v>
      </c>
      <c r="C5" s="2" t="s">
        <v>45</v>
      </c>
      <c r="D5" s="4" t="s">
        <v>46</v>
      </c>
      <c r="E5" s="3" t="s">
        <v>47</v>
      </c>
      <c r="F5" s="3" t="s">
        <v>48</v>
      </c>
      <c r="G5" s="3" t="s">
        <v>24</v>
      </c>
      <c r="H5" s="3" t="s">
        <v>49</v>
      </c>
      <c r="I5" s="3" t="s">
        <v>50</v>
      </c>
      <c r="J5" s="5" t="s">
        <v>43</v>
      </c>
      <c r="K5" s="5" t="s">
        <v>44</v>
      </c>
      <c r="L5" s="5" t="s">
        <v>29</v>
      </c>
      <c r="M5" s="3">
        <f t="shared" si="2"/>
        <v>2.7000000118277967E-3</v>
      </c>
      <c r="N5" s="3">
        <f t="shared" si="3"/>
        <v>-2.2000000026309863E-3</v>
      </c>
      <c r="O5" s="3">
        <f t="shared" si="4"/>
        <v>9.6900000000005093E-2</v>
      </c>
      <c r="P5">
        <f t="shared" si="5"/>
        <v>7.2900000638701023E-6</v>
      </c>
      <c r="Q5">
        <f t="shared" si="6"/>
        <v>4.8400000115763394E-6</v>
      </c>
      <c r="R5">
        <f t="shared" si="7"/>
        <v>9.3896100000009867E-3</v>
      </c>
      <c r="S5">
        <f t="shared" si="8"/>
        <v>1.2130000075446442E-5</v>
      </c>
      <c r="T5">
        <f t="shared" si="9"/>
        <v>3.4828149642848446E-3</v>
      </c>
    </row>
    <row r="6" spans="1:30" x14ac:dyDescent="0.3">
      <c r="A6" s="2" t="s">
        <v>399</v>
      </c>
      <c r="B6" s="4" t="s">
        <v>36</v>
      </c>
      <c r="C6" s="2" t="s">
        <v>51</v>
      </c>
      <c r="D6" s="4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26</v>
      </c>
      <c r="J6" s="5" t="s">
        <v>43</v>
      </c>
      <c r="K6" s="5" t="s">
        <v>44</v>
      </c>
      <c r="L6" s="5" t="s">
        <v>29</v>
      </c>
      <c r="M6" s="3">
        <f t="shared" si="2"/>
        <v>2.1200000002863817E-2</v>
      </c>
      <c r="N6" s="3">
        <f t="shared" si="3"/>
        <v>-7.9000000114319846E-3</v>
      </c>
      <c r="O6" s="3">
        <f t="shared" si="4"/>
        <v>2.2099999999994679E-2</v>
      </c>
      <c r="P6">
        <f t="shared" si="5"/>
        <v>4.4944000012142583E-4</v>
      </c>
      <c r="Q6">
        <f t="shared" si="6"/>
        <v>6.2410000180625352E-5</v>
      </c>
      <c r="R6">
        <f t="shared" si="7"/>
        <v>4.8840999999976483E-4</v>
      </c>
      <c r="S6">
        <f t="shared" si="8"/>
        <v>5.1185000030205114E-4</v>
      </c>
      <c r="T6">
        <f t="shared" si="9"/>
        <v>2.2624102198806721E-2</v>
      </c>
    </row>
    <row r="7" spans="1:30" x14ac:dyDescent="0.3">
      <c r="A7" s="2" t="s">
        <v>399</v>
      </c>
      <c r="B7" s="4" t="s">
        <v>36</v>
      </c>
      <c r="C7" s="2" t="s">
        <v>57</v>
      </c>
      <c r="D7" s="4" t="s">
        <v>30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5" t="s">
        <v>43</v>
      </c>
      <c r="K7" s="5" t="s">
        <v>44</v>
      </c>
      <c r="L7" s="5" t="s">
        <v>29</v>
      </c>
      <c r="M7" s="3">
        <f t="shared" si="2"/>
        <v>3.7200000006123446E-2</v>
      </c>
      <c r="N7" s="3">
        <f t="shared" si="3"/>
        <v>-2.3300000000745058E-2</v>
      </c>
      <c r="O7" s="3">
        <f t="shared" si="4"/>
        <v>3.7099999999981037E-2</v>
      </c>
      <c r="P7">
        <f t="shared" si="5"/>
        <v>1.3838400004555845E-3</v>
      </c>
      <c r="Q7">
        <f t="shared" si="6"/>
        <v>5.4289000003471971E-4</v>
      </c>
      <c r="R7">
        <f t="shared" si="7"/>
        <v>1.3764099999985929E-3</v>
      </c>
      <c r="S7">
        <f t="shared" si="8"/>
        <v>1.9267300004903042E-3</v>
      </c>
      <c r="T7">
        <f t="shared" si="9"/>
        <v>4.3894532694748037E-2</v>
      </c>
      <c r="W7" s="2"/>
      <c r="X7" s="2"/>
      <c r="Y7" s="11"/>
      <c r="Z7" s="11"/>
      <c r="AA7" s="11"/>
      <c r="AB7" s="11"/>
    </row>
    <row r="8" spans="1:30" x14ac:dyDescent="0.3">
      <c r="A8" s="2" t="s">
        <v>399</v>
      </c>
      <c r="B8" s="4" t="s">
        <v>36</v>
      </c>
      <c r="C8" s="2" t="s">
        <v>57</v>
      </c>
      <c r="D8" s="4" t="s">
        <v>63</v>
      </c>
      <c r="E8" s="3" t="s">
        <v>64</v>
      </c>
      <c r="F8" s="3" t="s">
        <v>65</v>
      </c>
      <c r="G8" s="3" t="s">
        <v>66</v>
      </c>
      <c r="H8" s="3" t="s">
        <v>67</v>
      </c>
      <c r="I8" s="3" t="s">
        <v>68</v>
      </c>
      <c r="J8" s="5" t="s">
        <v>43</v>
      </c>
      <c r="K8" s="5" t="s">
        <v>44</v>
      </c>
      <c r="L8" s="5" t="s">
        <v>29</v>
      </c>
      <c r="M8" s="3">
        <f t="shared" si="2"/>
        <v>-0.16229999999632128</v>
      </c>
      <c r="N8" s="3">
        <f t="shared" si="3"/>
        <v>-4.7100000010686927E-2</v>
      </c>
      <c r="O8" s="3">
        <f t="shared" si="4"/>
        <v>0.32590000000001851</v>
      </c>
      <c r="P8">
        <f t="shared" si="5"/>
        <v>2.6341289998805886E-2</v>
      </c>
      <c r="Q8">
        <f t="shared" si="6"/>
        <v>2.2184100010067087E-3</v>
      </c>
      <c r="R8">
        <f t="shared" si="7"/>
        <v>0.10621081000001206</v>
      </c>
      <c r="S8">
        <f t="shared" si="8"/>
        <v>2.8559699999812595E-2</v>
      </c>
      <c r="T8">
        <f t="shared" si="9"/>
        <v>0.16899615380183242</v>
      </c>
      <c r="W8" s="2"/>
      <c r="X8" s="2"/>
      <c r="Y8" s="11"/>
      <c r="Z8" s="11"/>
      <c r="AA8" s="11"/>
      <c r="AB8" s="11"/>
    </row>
    <row r="9" spans="1:30" x14ac:dyDescent="0.3">
      <c r="A9" s="2" t="s">
        <v>399</v>
      </c>
      <c r="B9" s="4" t="s">
        <v>69</v>
      </c>
      <c r="C9" s="2" t="s">
        <v>45</v>
      </c>
      <c r="D9" s="4" t="s">
        <v>30</v>
      </c>
      <c r="E9" s="3" t="s">
        <v>70</v>
      </c>
      <c r="F9" s="3" t="s">
        <v>71</v>
      </c>
      <c r="G9" s="3" t="s">
        <v>72</v>
      </c>
      <c r="H9" s="2" t="s">
        <v>73</v>
      </c>
      <c r="I9" s="2" t="s">
        <v>74</v>
      </c>
      <c r="J9" s="5" t="s">
        <v>75</v>
      </c>
      <c r="K9" s="5" t="s">
        <v>76</v>
      </c>
      <c r="L9" s="5" t="s">
        <v>77</v>
      </c>
      <c r="M9" s="3">
        <f t="shared" si="2"/>
        <v>-8.0000000016298145E-3</v>
      </c>
      <c r="N9" s="3">
        <f t="shared" si="3"/>
        <v>-1.2999999744351953E-3</v>
      </c>
      <c r="O9" s="3">
        <f t="shared" si="4"/>
        <v>3.6100000000033106E-2</v>
      </c>
      <c r="P9">
        <f t="shared" si="5"/>
        <v>6.4000000026077038E-5</v>
      </c>
      <c r="Q9">
        <f t="shared" si="6"/>
        <v>1.6899999335315085E-6</v>
      </c>
      <c r="R9">
        <f t="shared" si="7"/>
        <v>1.3032100000023902E-3</v>
      </c>
      <c r="S9">
        <f t="shared" si="8"/>
        <v>6.5689999959608552E-5</v>
      </c>
      <c r="T9">
        <f t="shared" si="9"/>
        <v>8.1049367646890708E-3</v>
      </c>
      <c r="W9" s="2"/>
      <c r="X9" s="2"/>
      <c r="Y9" s="11"/>
      <c r="Z9" s="11"/>
      <c r="AA9" s="11"/>
      <c r="AB9" s="11"/>
    </row>
    <row r="10" spans="1:30" x14ac:dyDescent="0.3">
      <c r="A10" s="2" t="s">
        <v>399</v>
      </c>
      <c r="B10" s="4" t="s">
        <v>69</v>
      </c>
      <c r="C10" s="2" t="s">
        <v>45</v>
      </c>
      <c r="D10" s="4" t="s">
        <v>21</v>
      </c>
      <c r="E10" s="3" t="s">
        <v>78</v>
      </c>
      <c r="F10" s="3" t="s">
        <v>79</v>
      </c>
      <c r="G10" s="3" t="s">
        <v>80</v>
      </c>
      <c r="H10" s="2" t="s">
        <v>81</v>
      </c>
      <c r="I10" s="2" t="s">
        <v>82</v>
      </c>
      <c r="J10" s="5" t="s">
        <v>75</v>
      </c>
      <c r="K10" s="5" t="s">
        <v>76</v>
      </c>
      <c r="L10" s="5" t="s">
        <v>77</v>
      </c>
      <c r="M10" s="3">
        <f t="shared" si="2"/>
        <v>-1.2200000011944212E-2</v>
      </c>
      <c r="N10" s="3">
        <f t="shared" si="3"/>
        <v>-6.4999999885912985E-3</v>
      </c>
      <c r="O10" s="3">
        <f t="shared" si="4"/>
        <v>3.8099999999985812E-2</v>
      </c>
      <c r="P10">
        <f t="shared" si="5"/>
        <v>1.4884000029143877E-4</v>
      </c>
      <c r="Q10">
        <f t="shared" si="6"/>
        <v>4.2249999851686879E-5</v>
      </c>
      <c r="R10">
        <f t="shared" si="7"/>
        <v>1.4516099999989189E-3</v>
      </c>
      <c r="S10">
        <f t="shared" si="8"/>
        <v>1.9109000014312565E-4</v>
      </c>
      <c r="T10">
        <f t="shared" si="9"/>
        <v>1.3823530668505989E-2</v>
      </c>
      <c r="W10" s="2"/>
      <c r="X10" s="2"/>
      <c r="Y10" s="11"/>
      <c r="Z10" s="11"/>
      <c r="AA10" s="11"/>
      <c r="AB10" s="11"/>
    </row>
    <row r="11" spans="1:30" x14ac:dyDescent="0.3">
      <c r="A11" s="2" t="s">
        <v>399</v>
      </c>
      <c r="B11" s="4" t="s">
        <v>83</v>
      </c>
      <c r="C11" s="2" t="s">
        <v>20</v>
      </c>
      <c r="D11" s="4" t="s">
        <v>37</v>
      </c>
      <c r="E11" s="3" t="s">
        <v>84</v>
      </c>
      <c r="F11" s="3" t="s">
        <v>85</v>
      </c>
      <c r="G11" s="3" t="s">
        <v>86</v>
      </c>
      <c r="H11" s="2" t="s">
        <v>87</v>
      </c>
      <c r="I11" s="2" t="s">
        <v>88</v>
      </c>
      <c r="J11" s="5" t="s">
        <v>89</v>
      </c>
      <c r="K11" s="5" t="s">
        <v>90</v>
      </c>
      <c r="L11" s="5" t="s">
        <v>77</v>
      </c>
      <c r="M11" s="3">
        <f t="shared" si="2"/>
        <v>-2.6000000070780516E-3</v>
      </c>
      <c r="N11" s="3">
        <f t="shared" si="3"/>
        <v>-8.0999999772757292E-3</v>
      </c>
      <c r="O11" s="3">
        <f t="shared" si="4"/>
        <v>4.0100000000052205E-2</v>
      </c>
      <c r="P11">
        <f t="shared" si="5"/>
        <v>6.7600000368058682E-6</v>
      </c>
      <c r="Q11">
        <f t="shared" si="6"/>
        <v>6.5609999631866813E-5</v>
      </c>
      <c r="R11">
        <f t="shared" si="7"/>
        <v>1.6080100000041868E-3</v>
      </c>
      <c r="S11">
        <f t="shared" si="8"/>
        <v>7.2369999668672681E-5</v>
      </c>
      <c r="T11">
        <f t="shared" si="9"/>
        <v>8.5070558754878692E-3</v>
      </c>
      <c r="W11" s="2"/>
      <c r="X11" s="2"/>
      <c r="Y11" s="11"/>
      <c r="Z11" s="11"/>
      <c r="AA11" s="11"/>
      <c r="AB11" s="11"/>
    </row>
    <row r="12" spans="1:30" x14ac:dyDescent="0.3">
      <c r="A12" s="2" t="s">
        <v>399</v>
      </c>
      <c r="B12" s="4" t="s">
        <v>83</v>
      </c>
      <c r="C12" s="2" t="s">
        <v>20</v>
      </c>
      <c r="D12" s="4" t="s">
        <v>46</v>
      </c>
      <c r="E12" s="3" t="s">
        <v>91</v>
      </c>
      <c r="F12" s="3" t="s">
        <v>92</v>
      </c>
      <c r="G12" s="3" t="s">
        <v>93</v>
      </c>
      <c r="H12" s="2" t="s">
        <v>94</v>
      </c>
      <c r="I12" s="2" t="s">
        <v>95</v>
      </c>
      <c r="J12" s="5" t="s">
        <v>89</v>
      </c>
      <c r="K12" s="5" t="s">
        <v>90</v>
      </c>
      <c r="L12" s="5" t="s">
        <v>77</v>
      </c>
      <c r="M12" s="3">
        <f t="shared" si="2"/>
        <v>-1.3800000000628643E-2</v>
      </c>
      <c r="N12" s="3">
        <f t="shared" si="3"/>
        <v>-1.049999997485429E-2</v>
      </c>
      <c r="O12" s="3">
        <f t="shared" si="4"/>
        <v>2.3099999999999454E-2</v>
      </c>
      <c r="P12">
        <f t="shared" si="5"/>
        <v>1.9044000001735054E-4</v>
      </c>
      <c r="Q12">
        <f t="shared" si="6"/>
        <v>1.102499994719401E-4</v>
      </c>
      <c r="R12">
        <f t="shared" si="7"/>
        <v>5.3360999999997475E-4</v>
      </c>
      <c r="S12">
        <f t="shared" si="8"/>
        <v>3.0068999948929063E-4</v>
      </c>
      <c r="T12">
        <f t="shared" si="9"/>
        <v>1.7340415205216127E-2</v>
      </c>
      <c r="W12" s="2"/>
      <c r="X12" s="2"/>
      <c r="Y12" s="11"/>
      <c r="Z12" s="11"/>
      <c r="AA12" s="11"/>
      <c r="AB12" s="11"/>
    </row>
    <row r="13" spans="1:30" x14ac:dyDescent="0.3">
      <c r="A13" s="2" t="s">
        <v>399</v>
      </c>
      <c r="B13" s="4" t="s">
        <v>83</v>
      </c>
      <c r="C13" s="2" t="s">
        <v>51</v>
      </c>
      <c r="D13" s="4" t="s">
        <v>63</v>
      </c>
      <c r="E13" s="3" t="s">
        <v>96</v>
      </c>
      <c r="F13" s="3" t="s">
        <v>97</v>
      </c>
      <c r="G13" s="3" t="s">
        <v>98</v>
      </c>
      <c r="H13" s="2" t="s">
        <v>99</v>
      </c>
      <c r="I13" s="2" t="s">
        <v>100</v>
      </c>
      <c r="J13" s="5" t="s">
        <v>89</v>
      </c>
      <c r="K13" s="5" t="s">
        <v>90</v>
      </c>
      <c r="L13" s="5" t="s">
        <v>77</v>
      </c>
      <c r="M13" s="3">
        <f t="shared" si="2"/>
        <v>1.0270999999920605</v>
      </c>
      <c r="N13" s="3">
        <f t="shared" si="3"/>
        <v>-0.3842000000004191</v>
      </c>
      <c r="O13" s="3">
        <f t="shared" si="4"/>
        <v>1.4221000000000004</v>
      </c>
      <c r="P13">
        <f t="shared" si="5"/>
        <v>1.0549344099836906</v>
      </c>
      <c r="Q13">
        <f t="shared" si="6"/>
        <v>0.14760964000032203</v>
      </c>
      <c r="R13">
        <f t="shared" si="7"/>
        <v>2.0223684100000012</v>
      </c>
      <c r="S13">
        <f t="shared" si="8"/>
        <v>1.2025440499840125</v>
      </c>
      <c r="T13">
        <f t="shared" si="9"/>
        <v>1.0966056948529916</v>
      </c>
      <c r="W13" s="2"/>
      <c r="X13" s="2"/>
      <c r="Y13" s="11"/>
      <c r="Z13" s="11"/>
      <c r="AA13" s="11"/>
      <c r="AB13" s="11"/>
    </row>
    <row r="14" spans="1:30" x14ac:dyDescent="0.3">
      <c r="A14" s="2" t="s">
        <v>399</v>
      </c>
      <c r="B14" s="4" t="s">
        <v>83</v>
      </c>
      <c r="C14" s="2" t="s">
        <v>57</v>
      </c>
      <c r="D14" s="4" t="s">
        <v>30</v>
      </c>
      <c r="E14" s="3" t="s">
        <v>101</v>
      </c>
      <c r="F14" s="3" t="s">
        <v>102</v>
      </c>
      <c r="G14" s="3" t="s">
        <v>103</v>
      </c>
      <c r="H14" s="2" t="s">
        <v>94</v>
      </c>
      <c r="I14" s="2" t="s">
        <v>50</v>
      </c>
      <c r="J14" s="5" t="s">
        <v>89</v>
      </c>
      <c r="K14" s="5" t="s">
        <v>90</v>
      </c>
      <c r="L14" s="5" t="s">
        <v>77</v>
      </c>
      <c r="M14" s="3">
        <f t="shared" si="2"/>
        <v>-4.4000000052619725E-3</v>
      </c>
      <c r="N14" s="3">
        <f t="shared" si="3"/>
        <v>1.0000000474974513E-4</v>
      </c>
      <c r="O14" s="3">
        <f t="shared" si="4"/>
        <v>8.2099999999968531E-2</v>
      </c>
      <c r="P14">
        <f t="shared" si="5"/>
        <v>1.9360000046305358E-5</v>
      </c>
      <c r="Q14">
        <f t="shared" si="6"/>
        <v>1.0000000949949049E-8</v>
      </c>
      <c r="R14">
        <f t="shared" si="7"/>
        <v>6.7404099999948328E-3</v>
      </c>
      <c r="S14">
        <f t="shared" si="8"/>
        <v>1.9370000047255307E-5</v>
      </c>
      <c r="T14">
        <f t="shared" si="9"/>
        <v>4.401136222301612E-3</v>
      </c>
      <c r="W14" s="2"/>
      <c r="X14" s="2"/>
      <c r="Y14" s="11"/>
      <c r="Z14" s="11"/>
      <c r="AA14" s="11"/>
      <c r="AB14" s="11"/>
    </row>
    <row r="15" spans="1:30" x14ac:dyDescent="0.3">
      <c r="A15" s="2" t="s">
        <v>399</v>
      </c>
      <c r="B15" s="4" t="s">
        <v>83</v>
      </c>
      <c r="C15" s="2" t="s">
        <v>57</v>
      </c>
      <c r="D15" s="4" t="s">
        <v>52</v>
      </c>
      <c r="E15" s="3" t="s">
        <v>104</v>
      </c>
      <c r="F15" s="3" t="s">
        <v>105</v>
      </c>
      <c r="G15" s="3" t="s">
        <v>106</v>
      </c>
      <c r="H15" s="2" t="s">
        <v>107</v>
      </c>
      <c r="I15" s="2" t="s">
        <v>108</v>
      </c>
      <c r="J15" s="5" t="s">
        <v>89</v>
      </c>
      <c r="K15" s="5" t="s">
        <v>90</v>
      </c>
      <c r="L15" s="5" t="s">
        <v>77</v>
      </c>
      <c r="M15" s="3">
        <f t="shared" si="2"/>
        <v>-5.9000000037485734E-3</v>
      </c>
      <c r="N15" s="3">
        <f t="shared" si="3"/>
        <v>-1.4999999839346856E-3</v>
      </c>
      <c r="O15" s="3">
        <f t="shared" si="4"/>
        <v>0.10009999999999764</v>
      </c>
      <c r="P15">
        <f t="shared" si="5"/>
        <v>3.4810000044233165E-5</v>
      </c>
      <c r="Q15">
        <f t="shared" si="6"/>
        <v>2.249999951804057E-6</v>
      </c>
      <c r="R15">
        <f t="shared" si="7"/>
        <v>1.0020009999999526E-2</v>
      </c>
      <c r="S15">
        <f t="shared" si="8"/>
        <v>3.7059999996037222E-5</v>
      </c>
      <c r="T15">
        <f t="shared" si="9"/>
        <v>6.0876925017642955E-3</v>
      </c>
      <c r="W15" s="2"/>
      <c r="X15" s="2"/>
      <c r="Y15" s="11"/>
      <c r="Z15" s="11"/>
      <c r="AA15" s="11"/>
      <c r="AB15" s="11"/>
    </row>
    <row r="16" spans="1:30" x14ac:dyDescent="0.3">
      <c r="A16" s="2" t="s">
        <v>399</v>
      </c>
      <c r="B16" s="4" t="s">
        <v>109</v>
      </c>
      <c r="C16" s="2" t="s">
        <v>45</v>
      </c>
      <c r="D16" s="4" t="s">
        <v>110</v>
      </c>
      <c r="E16" s="3" t="s">
        <v>111</v>
      </c>
      <c r="F16" s="3" t="s">
        <v>112</v>
      </c>
      <c r="G16" s="3" t="s">
        <v>113</v>
      </c>
      <c r="H16" s="2" t="s">
        <v>73</v>
      </c>
      <c r="I16" s="2" t="s">
        <v>114</v>
      </c>
      <c r="J16" s="5" t="s">
        <v>115</v>
      </c>
      <c r="K16" s="5" t="s">
        <v>116</v>
      </c>
      <c r="L16" s="5" t="s">
        <v>117</v>
      </c>
      <c r="M16" s="3">
        <f t="shared" si="2"/>
        <v>-2.7900000000954606E-2</v>
      </c>
      <c r="N16" s="3">
        <f t="shared" si="3"/>
        <v>-2.2599999996600673E-2</v>
      </c>
      <c r="O16" s="3">
        <f t="shared" si="4"/>
        <v>9.7000000000008413E-2</v>
      </c>
      <c r="P16">
        <f t="shared" si="5"/>
        <v>7.7841000005326696E-4</v>
      </c>
      <c r="Q16">
        <f t="shared" si="6"/>
        <v>5.1075999984635041E-4</v>
      </c>
      <c r="R16">
        <f t="shared" si="7"/>
        <v>9.4090000000016313E-3</v>
      </c>
      <c r="S16">
        <f t="shared" si="8"/>
        <v>1.2891699998996173E-3</v>
      </c>
      <c r="T16">
        <f t="shared" si="9"/>
        <v>3.5905013576095712E-2</v>
      </c>
      <c r="W16" s="2"/>
      <c r="X16" s="2"/>
      <c r="Y16" s="11"/>
      <c r="Z16" s="11"/>
      <c r="AA16" s="11"/>
      <c r="AB16" s="11"/>
    </row>
    <row r="17" spans="1:20" x14ac:dyDescent="0.3">
      <c r="A17" s="2" t="s">
        <v>399</v>
      </c>
      <c r="B17" s="4" t="s">
        <v>109</v>
      </c>
      <c r="C17" s="2" t="s">
        <v>45</v>
      </c>
      <c r="D17" s="4" t="s">
        <v>37</v>
      </c>
      <c r="E17" s="3" t="s">
        <v>118</v>
      </c>
      <c r="F17" s="3" t="s">
        <v>119</v>
      </c>
      <c r="G17" s="3" t="s">
        <v>120</v>
      </c>
      <c r="H17" s="2" t="s">
        <v>121</v>
      </c>
      <c r="I17" s="2" t="s">
        <v>114</v>
      </c>
      <c r="J17" s="5" t="s">
        <v>115</v>
      </c>
      <c r="K17" s="5" t="s">
        <v>116</v>
      </c>
      <c r="L17" s="5" t="s">
        <v>117</v>
      </c>
      <c r="M17" s="3">
        <f t="shared" si="2"/>
        <v>-1.5400000003864989E-2</v>
      </c>
      <c r="N17" s="3">
        <f t="shared" si="3"/>
        <v>-6.3000000081956387E-3</v>
      </c>
      <c r="O17" s="3">
        <f t="shared" si="4"/>
        <v>0.10400000000001342</v>
      </c>
      <c r="P17">
        <f t="shared" si="5"/>
        <v>2.3716000011904164E-4</v>
      </c>
      <c r="Q17">
        <f t="shared" si="6"/>
        <v>3.9690000103265047E-5</v>
      </c>
      <c r="R17">
        <f t="shared" si="7"/>
        <v>1.081600000000279E-2</v>
      </c>
      <c r="S17">
        <f t="shared" si="8"/>
        <v>2.7685000022230669E-4</v>
      </c>
      <c r="T17">
        <f t="shared" si="9"/>
        <v>1.6638810060286963E-2</v>
      </c>
    </row>
    <row r="18" spans="1:20" x14ac:dyDescent="0.3">
      <c r="A18" s="2" t="s">
        <v>399</v>
      </c>
      <c r="B18" s="4" t="s">
        <v>122</v>
      </c>
      <c r="C18" s="2" t="s">
        <v>20</v>
      </c>
      <c r="D18" s="4" t="s">
        <v>46</v>
      </c>
      <c r="E18" s="3" t="s">
        <v>123</v>
      </c>
      <c r="F18" s="3" t="s">
        <v>124</v>
      </c>
      <c r="G18" s="3" t="s">
        <v>125</v>
      </c>
      <c r="H18" s="2" t="s">
        <v>107</v>
      </c>
      <c r="I18" s="2" t="s">
        <v>121</v>
      </c>
      <c r="J18" s="5" t="s">
        <v>115</v>
      </c>
      <c r="K18" s="5" t="s">
        <v>116</v>
      </c>
      <c r="L18" s="5" t="s">
        <v>117</v>
      </c>
      <c r="M18" s="3">
        <f t="shared" si="2"/>
        <v>-2.0499999998719431E-2</v>
      </c>
      <c r="N18" s="3">
        <f t="shared" si="3"/>
        <v>-2.4000000004889444E-2</v>
      </c>
      <c r="O18" s="3">
        <f t="shared" si="4"/>
        <v>0.10099999999999909</v>
      </c>
      <c r="P18">
        <f t="shared" si="5"/>
        <v>4.2024999994749669E-4</v>
      </c>
      <c r="Q18">
        <f t="shared" si="6"/>
        <v>5.7600000023469325E-4</v>
      </c>
      <c r="R18">
        <f t="shared" si="7"/>
        <v>1.0200999999999816E-2</v>
      </c>
      <c r="S18">
        <f t="shared" si="8"/>
        <v>9.9625000018218994E-4</v>
      </c>
      <c r="T18">
        <f t="shared" si="9"/>
        <v>3.1563428207059353E-2</v>
      </c>
    </row>
    <row r="19" spans="1:20" x14ac:dyDescent="0.3">
      <c r="A19" s="2" t="s">
        <v>399</v>
      </c>
      <c r="B19" s="4" t="s">
        <v>122</v>
      </c>
      <c r="C19" s="2" t="s">
        <v>20</v>
      </c>
      <c r="D19" s="4" t="s">
        <v>21</v>
      </c>
      <c r="E19" s="3" t="s">
        <v>126</v>
      </c>
      <c r="F19" s="3" t="s">
        <v>127</v>
      </c>
      <c r="G19" s="3" t="s">
        <v>128</v>
      </c>
      <c r="H19" s="2" t="s">
        <v>108</v>
      </c>
      <c r="I19" s="2" t="s">
        <v>129</v>
      </c>
      <c r="J19" s="5" t="s">
        <v>115</v>
      </c>
      <c r="K19" s="5" t="s">
        <v>116</v>
      </c>
      <c r="L19" s="5" t="s">
        <v>117</v>
      </c>
      <c r="M19" s="3">
        <f t="shared" si="2"/>
        <v>-2.1000000007916242E-2</v>
      </c>
      <c r="N19" s="3">
        <f t="shared" si="3"/>
        <v>-1.4800000004470348E-2</v>
      </c>
      <c r="O19" s="3">
        <f t="shared" si="4"/>
        <v>8.6000000000012733E-2</v>
      </c>
      <c r="P19">
        <f t="shared" si="5"/>
        <v>4.4100000033248218E-4</v>
      </c>
      <c r="Q19">
        <f t="shared" si="6"/>
        <v>2.1904000013232231E-4</v>
      </c>
      <c r="R19">
        <f t="shared" si="7"/>
        <v>7.3960000000021899E-3</v>
      </c>
      <c r="S19">
        <f t="shared" si="8"/>
        <v>6.6004000046480449E-4</v>
      </c>
      <c r="T19">
        <f t="shared" si="9"/>
        <v>2.5691243653525309E-2</v>
      </c>
    </row>
    <row r="20" spans="1:20" x14ac:dyDescent="0.3">
      <c r="A20" s="2" t="s">
        <v>399</v>
      </c>
      <c r="B20" s="4" t="s">
        <v>122</v>
      </c>
      <c r="C20" s="2" t="s">
        <v>51</v>
      </c>
      <c r="D20" s="4" t="s">
        <v>63</v>
      </c>
      <c r="E20" s="3" t="s">
        <v>130</v>
      </c>
      <c r="F20" s="3" t="s">
        <v>131</v>
      </c>
      <c r="G20" s="3" t="s">
        <v>132</v>
      </c>
      <c r="H20" s="2" t="s">
        <v>49</v>
      </c>
      <c r="I20" s="2" t="s">
        <v>108</v>
      </c>
      <c r="J20" s="5" t="s">
        <v>115</v>
      </c>
      <c r="K20" s="5" t="s">
        <v>116</v>
      </c>
      <c r="L20" s="5" t="s">
        <v>117</v>
      </c>
      <c r="M20" s="3">
        <f t="shared" si="2"/>
        <v>-3.3000000010360964E-2</v>
      </c>
      <c r="N20" s="3">
        <f t="shared" si="3"/>
        <v>-2.9800000018440187E-2</v>
      </c>
      <c r="O20" s="3">
        <f t="shared" si="4"/>
        <v>9.3000000000017735E-2</v>
      </c>
      <c r="P20">
        <f t="shared" si="5"/>
        <v>1.0890000006838236E-3</v>
      </c>
      <c r="Q20">
        <f t="shared" si="6"/>
        <v>8.8804000109903513E-4</v>
      </c>
      <c r="R20">
        <f t="shared" si="7"/>
        <v>8.6490000000032981E-3</v>
      </c>
      <c r="S20">
        <f t="shared" si="8"/>
        <v>1.9770400017828588E-3</v>
      </c>
      <c r="T20">
        <f t="shared" si="9"/>
        <v>4.4463917976072E-2</v>
      </c>
    </row>
    <row r="21" spans="1:20" x14ac:dyDescent="0.3">
      <c r="A21" s="2" t="s">
        <v>399</v>
      </c>
      <c r="B21" s="4" t="s">
        <v>122</v>
      </c>
      <c r="C21" s="2" t="s">
        <v>57</v>
      </c>
      <c r="D21" s="4" t="s">
        <v>30</v>
      </c>
      <c r="E21" s="3" t="s">
        <v>133</v>
      </c>
      <c r="F21" s="3" t="s">
        <v>134</v>
      </c>
      <c r="G21" s="3" t="s">
        <v>135</v>
      </c>
      <c r="H21" s="2" t="s">
        <v>94</v>
      </c>
      <c r="I21" s="2" t="s">
        <v>87</v>
      </c>
      <c r="J21" s="5" t="s">
        <v>115</v>
      </c>
      <c r="K21" s="5" t="s">
        <v>116</v>
      </c>
      <c r="L21" s="5" t="s">
        <v>117</v>
      </c>
      <c r="M21" s="3">
        <f t="shared" si="2"/>
        <v>-1.1100000003352761E-2</v>
      </c>
      <c r="N21" s="3">
        <f t="shared" si="3"/>
        <v>-2.0300000003771856E-2</v>
      </c>
      <c r="O21" s="3">
        <f t="shared" si="4"/>
        <v>5.4000000000002046E-2</v>
      </c>
      <c r="P21">
        <f t="shared" si="5"/>
        <v>1.232100000744313E-4</v>
      </c>
      <c r="Q21">
        <f t="shared" si="6"/>
        <v>4.1209000015313737E-4</v>
      </c>
      <c r="R21">
        <f t="shared" si="7"/>
        <v>2.9160000000002209E-3</v>
      </c>
      <c r="S21">
        <f t="shared" si="8"/>
        <v>5.3530000022756867E-4</v>
      </c>
      <c r="T21">
        <f t="shared" si="9"/>
        <v>2.313655117400968E-2</v>
      </c>
    </row>
    <row r="22" spans="1:20" x14ac:dyDescent="0.3">
      <c r="A22" s="2" t="s">
        <v>399</v>
      </c>
      <c r="B22" s="4" t="s">
        <v>122</v>
      </c>
      <c r="C22" s="2" t="s">
        <v>57</v>
      </c>
      <c r="D22" s="4" t="s">
        <v>52</v>
      </c>
      <c r="E22" s="3" t="s">
        <v>136</v>
      </c>
      <c r="F22" s="3" t="s">
        <v>137</v>
      </c>
      <c r="G22" s="3" t="s">
        <v>138</v>
      </c>
      <c r="H22" s="2" t="s">
        <v>139</v>
      </c>
      <c r="I22" s="2" t="s">
        <v>49</v>
      </c>
      <c r="J22" s="5" t="s">
        <v>115</v>
      </c>
      <c r="K22" s="5" t="s">
        <v>116</v>
      </c>
      <c r="L22" s="5" t="s">
        <v>117</v>
      </c>
      <c r="M22" s="3">
        <f t="shared" si="2"/>
        <v>-1.4300000009825453E-2</v>
      </c>
      <c r="N22" s="3">
        <f t="shared" si="3"/>
        <v>-2.3100000020349398E-2</v>
      </c>
      <c r="O22" s="3">
        <f t="shared" si="4"/>
        <v>3.8000000000010914E-2</v>
      </c>
      <c r="P22">
        <f t="shared" si="5"/>
        <v>2.0449000028100795E-4</v>
      </c>
      <c r="Q22">
        <f t="shared" si="6"/>
        <v>5.3361000094014218E-4</v>
      </c>
      <c r="R22">
        <f t="shared" si="7"/>
        <v>1.4440000000008294E-3</v>
      </c>
      <c r="S22">
        <f t="shared" si="8"/>
        <v>7.3810000122115013E-4</v>
      </c>
      <c r="T22">
        <f t="shared" si="9"/>
        <v>2.7167995899976687E-2</v>
      </c>
    </row>
    <row r="23" spans="1:20" x14ac:dyDescent="0.3">
      <c r="A23" s="2" t="s">
        <v>399</v>
      </c>
      <c r="B23" s="4" t="s">
        <v>140</v>
      </c>
      <c r="C23" s="2" t="s">
        <v>45</v>
      </c>
      <c r="D23" s="4" t="s">
        <v>37</v>
      </c>
      <c r="E23" s="3" t="s">
        <v>141</v>
      </c>
      <c r="F23" s="3" t="s">
        <v>142</v>
      </c>
      <c r="G23" s="3" t="s">
        <v>143</v>
      </c>
      <c r="H23" s="2" t="s">
        <v>81</v>
      </c>
      <c r="I23" s="2" t="s">
        <v>144</v>
      </c>
      <c r="J23" s="5" t="s">
        <v>145</v>
      </c>
      <c r="K23" s="5" t="s">
        <v>146</v>
      </c>
      <c r="L23" s="5" t="s">
        <v>147</v>
      </c>
      <c r="M23" s="3">
        <f t="shared" si="2"/>
        <v>-1.0000000474974513E-4</v>
      </c>
      <c r="N23" s="3">
        <f t="shared" si="3"/>
        <v>-1.1899999997694977E-2</v>
      </c>
      <c r="O23" s="3">
        <f t="shared" si="4"/>
        <v>0.12570000000000903</v>
      </c>
      <c r="P23">
        <f t="shared" si="5"/>
        <v>1.0000000949949049E-8</v>
      </c>
      <c r="Q23">
        <f t="shared" si="6"/>
        <v>1.4160999994514045E-4</v>
      </c>
      <c r="R23">
        <f t="shared" si="7"/>
        <v>1.5800490000002269E-2</v>
      </c>
      <c r="S23">
        <f t="shared" si="8"/>
        <v>1.4161999994609039E-4</v>
      </c>
      <c r="T23">
        <f t="shared" si="9"/>
        <v>1.1900420158384762E-2</v>
      </c>
    </row>
    <row r="24" spans="1:20" x14ac:dyDescent="0.3">
      <c r="A24" s="2" t="s">
        <v>399</v>
      </c>
      <c r="B24" s="4" t="s">
        <v>140</v>
      </c>
      <c r="C24" s="2" t="s">
        <v>45</v>
      </c>
      <c r="D24" s="4" t="s">
        <v>21</v>
      </c>
      <c r="E24" s="3" t="s">
        <v>148</v>
      </c>
      <c r="F24" s="3" t="s">
        <v>149</v>
      </c>
      <c r="G24" s="3" t="s">
        <v>150</v>
      </c>
      <c r="H24" s="2" t="s">
        <v>81</v>
      </c>
      <c r="I24" s="2" t="s">
        <v>114</v>
      </c>
      <c r="J24" s="5" t="s">
        <v>145</v>
      </c>
      <c r="K24" s="5" t="s">
        <v>146</v>
      </c>
      <c r="L24" s="5" t="s">
        <v>147</v>
      </c>
      <c r="M24" s="3">
        <f t="shared" si="2"/>
        <v>1.0599999994155951E-2</v>
      </c>
      <c r="N24" s="3">
        <f t="shared" si="3"/>
        <v>-7.100000002537854E-3</v>
      </c>
      <c r="O24" s="3">
        <f t="shared" si="4"/>
        <v>0.12470000000000425</v>
      </c>
      <c r="P24">
        <f t="shared" si="5"/>
        <v>1.1235999987610616E-4</v>
      </c>
      <c r="Q24">
        <f t="shared" si="6"/>
        <v>5.0410000036037525E-5</v>
      </c>
      <c r="R24">
        <f t="shared" si="7"/>
        <v>1.5550090000001061E-2</v>
      </c>
      <c r="S24">
        <f t="shared" si="8"/>
        <v>1.627699999121437E-4</v>
      </c>
      <c r="T24">
        <f t="shared" si="9"/>
        <v>1.2758134656451299E-2</v>
      </c>
    </row>
    <row r="25" spans="1:20" x14ac:dyDescent="0.3">
      <c r="A25" s="2" t="s">
        <v>399</v>
      </c>
      <c r="B25" s="4" t="s">
        <v>151</v>
      </c>
      <c r="C25" s="2" t="s">
        <v>20</v>
      </c>
      <c r="D25" s="4" t="s">
        <v>30</v>
      </c>
      <c r="E25" s="3" t="s">
        <v>152</v>
      </c>
      <c r="F25" s="3" t="s">
        <v>153</v>
      </c>
      <c r="G25" s="3" t="s">
        <v>154</v>
      </c>
      <c r="H25" s="2" t="s">
        <v>73</v>
      </c>
      <c r="I25" s="2" t="s">
        <v>155</v>
      </c>
      <c r="J25" s="5" t="s">
        <v>156</v>
      </c>
      <c r="K25" s="5" t="s">
        <v>157</v>
      </c>
      <c r="L25" s="5" t="s">
        <v>147</v>
      </c>
      <c r="M25" s="3">
        <f t="shared" si="2"/>
        <v>1.999999993131496E-3</v>
      </c>
      <c r="N25" s="3">
        <f t="shared" si="3"/>
        <v>-1.7000000007101335E-2</v>
      </c>
      <c r="O25" s="3">
        <f t="shared" si="4"/>
        <v>0.10770000000000834</v>
      </c>
      <c r="P25">
        <f t="shared" si="5"/>
        <v>3.9999999725259839E-6</v>
      </c>
      <c r="Q25">
        <f t="shared" si="6"/>
        <v>2.890000002414454E-4</v>
      </c>
      <c r="R25">
        <f t="shared" si="7"/>
        <v>1.1599290000001797E-2</v>
      </c>
      <c r="S25">
        <f t="shared" si="8"/>
        <v>2.9300000021397138E-4</v>
      </c>
      <c r="T25">
        <f t="shared" si="9"/>
        <v>1.7117242774873861E-2</v>
      </c>
    </row>
    <row r="26" spans="1:20" x14ac:dyDescent="0.3">
      <c r="A26" s="2" t="s">
        <v>399</v>
      </c>
      <c r="B26" s="4" t="s">
        <v>151</v>
      </c>
      <c r="C26" s="2" t="s">
        <v>20</v>
      </c>
      <c r="D26" s="4" t="s">
        <v>46</v>
      </c>
      <c r="E26" s="3" t="s">
        <v>158</v>
      </c>
      <c r="F26" s="3" t="s">
        <v>159</v>
      </c>
      <c r="G26" s="3" t="s">
        <v>160</v>
      </c>
      <c r="H26" s="2" t="s">
        <v>121</v>
      </c>
      <c r="I26" s="2" t="s">
        <v>161</v>
      </c>
      <c r="J26" s="5" t="s">
        <v>156</v>
      </c>
      <c r="K26" s="5" t="s">
        <v>157</v>
      </c>
      <c r="L26" s="5" t="s">
        <v>147</v>
      </c>
      <c r="M26" s="3">
        <f t="shared" si="2"/>
        <v>9.7999999998137355E-3</v>
      </c>
      <c r="N26" s="3">
        <f t="shared" si="3"/>
        <v>-8.5000000108266249E-3</v>
      </c>
      <c r="O26" s="3">
        <f t="shared" si="4"/>
        <v>9.2700000000007776E-2</v>
      </c>
      <c r="P26">
        <f t="shared" si="5"/>
        <v>9.6039999996349216E-5</v>
      </c>
      <c r="Q26">
        <f t="shared" si="6"/>
        <v>7.2250000184052624E-5</v>
      </c>
      <c r="R26">
        <f t="shared" si="7"/>
        <v>8.5932900000014415E-3</v>
      </c>
      <c r="S26">
        <f t="shared" si="8"/>
        <v>1.6829000018040184E-4</v>
      </c>
      <c r="T26">
        <f t="shared" si="9"/>
        <v>1.2972663573083279E-2</v>
      </c>
    </row>
    <row r="27" spans="1:20" x14ac:dyDescent="0.3">
      <c r="A27" s="2" t="s">
        <v>399</v>
      </c>
      <c r="B27" s="4" t="s">
        <v>151</v>
      </c>
      <c r="C27" s="2" t="s">
        <v>51</v>
      </c>
      <c r="D27" s="4" t="s">
        <v>63</v>
      </c>
      <c r="E27" s="3" t="s">
        <v>162</v>
      </c>
      <c r="F27" s="3" t="s">
        <v>163</v>
      </c>
      <c r="G27" s="3" t="s">
        <v>164</v>
      </c>
      <c r="H27" s="2" t="s">
        <v>165</v>
      </c>
      <c r="I27" s="2" t="s">
        <v>166</v>
      </c>
      <c r="J27" s="5" t="s">
        <v>156</v>
      </c>
      <c r="K27" s="5" t="s">
        <v>157</v>
      </c>
      <c r="L27" s="5" t="s">
        <v>147</v>
      </c>
      <c r="M27" s="3">
        <f t="shared" si="2"/>
        <v>0.28740000000107102</v>
      </c>
      <c r="N27" s="3">
        <f t="shared" si="3"/>
        <v>0.231099999989965</v>
      </c>
      <c r="O27" s="3">
        <f t="shared" si="4"/>
        <v>4.9052999999999969</v>
      </c>
      <c r="P27">
        <f t="shared" si="5"/>
        <v>8.2598760000615626E-2</v>
      </c>
      <c r="Q27">
        <f t="shared" si="6"/>
        <v>5.3407209995361825E-2</v>
      </c>
      <c r="R27">
        <f t="shared" si="7"/>
        <v>24.061968089999969</v>
      </c>
      <c r="S27">
        <f t="shared" si="8"/>
        <v>0.13600596999597744</v>
      </c>
      <c r="T27">
        <f t="shared" si="9"/>
        <v>0.36878987241514299</v>
      </c>
    </row>
    <row r="28" spans="1:20" x14ac:dyDescent="0.3">
      <c r="A28" s="2" t="s">
        <v>399</v>
      </c>
      <c r="B28" s="4" t="s">
        <v>151</v>
      </c>
      <c r="C28" s="2" t="s">
        <v>57</v>
      </c>
      <c r="D28" s="4" t="s">
        <v>30</v>
      </c>
      <c r="E28" s="3" t="s">
        <v>167</v>
      </c>
      <c r="F28" s="3" t="s">
        <v>168</v>
      </c>
      <c r="G28" s="3" t="s">
        <v>169</v>
      </c>
      <c r="H28" s="2" t="s">
        <v>121</v>
      </c>
      <c r="I28" s="2" t="s">
        <v>170</v>
      </c>
      <c r="J28" s="5" t="s">
        <v>156</v>
      </c>
      <c r="K28" s="5" t="s">
        <v>157</v>
      </c>
      <c r="L28" s="5" t="s">
        <v>147</v>
      </c>
      <c r="M28" s="3">
        <f t="shared" si="2"/>
        <v>-2.1399999997811392E-2</v>
      </c>
      <c r="N28" s="3">
        <f t="shared" si="3"/>
        <v>-6.6000000078929588E-3</v>
      </c>
      <c r="O28" s="3">
        <f t="shared" si="4"/>
        <v>5.0299999999992906E-2</v>
      </c>
      <c r="P28">
        <f t="shared" si="5"/>
        <v>4.5795999990632757E-4</v>
      </c>
      <c r="Q28">
        <f t="shared" si="6"/>
        <v>4.3560000104187055E-5</v>
      </c>
      <c r="R28">
        <f t="shared" si="7"/>
        <v>2.5300899999992862E-3</v>
      </c>
      <c r="S28">
        <f t="shared" si="8"/>
        <v>5.0152000001051468E-4</v>
      </c>
      <c r="T28">
        <f t="shared" si="9"/>
        <v>2.2394642216622143E-2</v>
      </c>
    </row>
    <row r="29" spans="1:20" x14ac:dyDescent="0.3">
      <c r="A29" s="2" t="s">
        <v>399</v>
      </c>
      <c r="B29" s="4" t="s">
        <v>151</v>
      </c>
      <c r="C29" s="2" t="s">
        <v>57</v>
      </c>
      <c r="D29" s="4" t="s">
        <v>52</v>
      </c>
      <c r="E29" s="3" t="s">
        <v>171</v>
      </c>
      <c r="F29" s="3" t="s">
        <v>172</v>
      </c>
      <c r="G29" s="3" t="s">
        <v>173</v>
      </c>
      <c r="H29" s="2" t="s">
        <v>121</v>
      </c>
      <c r="I29" s="2" t="s">
        <v>170</v>
      </c>
      <c r="J29" s="5" t="s">
        <v>156</v>
      </c>
      <c r="K29" s="5" t="s">
        <v>157</v>
      </c>
      <c r="L29" s="5" t="s">
        <v>147</v>
      </c>
      <c r="M29" s="3">
        <f t="shared" si="2"/>
        <v>-2.710000000661239E-2</v>
      </c>
      <c r="N29" s="3">
        <f t="shared" si="3"/>
        <v>1.0999999940395355E-3</v>
      </c>
      <c r="O29" s="3">
        <f t="shared" si="4"/>
        <v>5.6299999999993133E-2</v>
      </c>
      <c r="P29">
        <f t="shared" si="5"/>
        <v>7.344100003583916E-4</v>
      </c>
      <c r="Q29">
        <f t="shared" si="6"/>
        <v>1.2099999868869782E-6</v>
      </c>
      <c r="R29">
        <f t="shared" si="7"/>
        <v>3.1696899999992269E-3</v>
      </c>
      <c r="S29">
        <f t="shared" si="8"/>
        <v>7.3562000034527858E-4</v>
      </c>
      <c r="T29">
        <f t="shared" si="9"/>
        <v>2.7122315541732025E-2</v>
      </c>
    </row>
    <row r="30" spans="1:20" x14ac:dyDescent="0.3">
      <c r="A30" s="2" t="s">
        <v>399</v>
      </c>
      <c r="B30" s="4" t="s">
        <v>174</v>
      </c>
      <c r="C30" s="2" t="s">
        <v>45</v>
      </c>
      <c r="D30" s="4" t="s">
        <v>21</v>
      </c>
      <c r="E30" s="3" t="s">
        <v>175</v>
      </c>
      <c r="F30" s="3" t="s">
        <v>176</v>
      </c>
      <c r="G30" s="3" t="s">
        <v>177</v>
      </c>
      <c r="H30" s="2" t="s">
        <v>178</v>
      </c>
      <c r="I30" s="2" t="s">
        <v>179</v>
      </c>
      <c r="J30" s="5" t="s">
        <v>180</v>
      </c>
      <c r="K30" s="5" t="s">
        <v>181</v>
      </c>
      <c r="L30" s="5" t="s">
        <v>182</v>
      </c>
      <c r="M30" s="3">
        <f t="shared" si="2"/>
        <v>-5.2299999995739199E-2</v>
      </c>
      <c r="N30" s="3">
        <f t="shared" si="3"/>
        <v>-1.9599999999627471E-2</v>
      </c>
      <c r="O30" s="3">
        <f t="shared" si="4"/>
        <v>6.9300000000026785E-2</v>
      </c>
      <c r="P30">
        <f t="shared" si="5"/>
        <v>2.7352899995543201E-3</v>
      </c>
      <c r="Q30">
        <f t="shared" si="6"/>
        <v>3.8415999998539686E-4</v>
      </c>
      <c r="R30">
        <f t="shared" si="7"/>
        <v>4.8024900000037127E-3</v>
      </c>
      <c r="S30">
        <f t="shared" si="8"/>
        <v>3.1194499995397169E-3</v>
      </c>
      <c r="T30">
        <f t="shared" si="9"/>
        <v>5.5852036664205157E-2</v>
      </c>
    </row>
    <row r="31" spans="1:20" x14ac:dyDescent="0.3">
      <c r="A31" s="2" t="s">
        <v>399</v>
      </c>
      <c r="B31" s="4" t="s">
        <v>174</v>
      </c>
      <c r="C31" s="2" t="s">
        <v>45</v>
      </c>
      <c r="D31" s="4" t="s">
        <v>30</v>
      </c>
      <c r="E31" s="3" t="s">
        <v>183</v>
      </c>
      <c r="F31" s="3" t="s">
        <v>184</v>
      </c>
      <c r="G31" s="3" t="s">
        <v>185</v>
      </c>
      <c r="H31" s="2" t="s">
        <v>186</v>
      </c>
      <c r="I31" s="2" t="s">
        <v>187</v>
      </c>
      <c r="J31" s="5" t="s">
        <v>180</v>
      </c>
      <c r="K31" s="5" t="s">
        <v>181</v>
      </c>
      <c r="L31" s="5" t="s">
        <v>182</v>
      </c>
      <c r="M31" s="3">
        <f t="shared" si="2"/>
        <v>-4.2199999996228144E-2</v>
      </c>
      <c r="N31" s="3">
        <f t="shared" si="3"/>
        <v>-8.3000000158790499E-3</v>
      </c>
      <c r="O31" s="3">
        <f t="shared" si="4"/>
        <v>5.4300000000012005E-2</v>
      </c>
      <c r="P31">
        <f t="shared" si="5"/>
        <v>1.7808399996816554E-3</v>
      </c>
      <c r="Q31">
        <f t="shared" si="6"/>
        <v>6.8890000263592234E-5</v>
      </c>
      <c r="R31">
        <f t="shared" si="7"/>
        <v>2.9484900000013039E-3</v>
      </c>
      <c r="S31">
        <f t="shared" si="8"/>
        <v>1.8497299999452475E-3</v>
      </c>
      <c r="T31">
        <f t="shared" si="9"/>
        <v>4.3008487533802528E-2</v>
      </c>
    </row>
    <row r="32" spans="1:20" x14ac:dyDescent="0.3">
      <c r="A32" s="2" t="s">
        <v>399</v>
      </c>
      <c r="B32" s="4" t="s">
        <v>188</v>
      </c>
      <c r="C32" s="2" t="s">
        <v>20</v>
      </c>
      <c r="D32" s="4" t="s">
        <v>37</v>
      </c>
      <c r="E32" s="3" t="s">
        <v>189</v>
      </c>
      <c r="F32" s="3" t="s">
        <v>190</v>
      </c>
      <c r="G32" s="3" t="s">
        <v>191</v>
      </c>
      <c r="H32" s="2" t="s">
        <v>165</v>
      </c>
      <c r="I32" s="2" t="s">
        <v>192</v>
      </c>
      <c r="J32" s="5" t="s">
        <v>193</v>
      </c>
      <c r="K32" s="5" t="s">
        <v>194</v>
      </c>
      <c r="L32" s="5" t="s">
        <v>182</v>
      </c>
      <c r="M32" s="3">
        <f t="shared" si="2"/>
        <v>1.6399999993154779E-2</v>
      </c>
      <c r="N32" s="3">
        <f t="shared" si="3"/>
        <v>1.8299999996088445E-2</v>
      </c>
      <c r="O32" s="3">
        <f t="shared" si="4"/>
        <v>0.11129999999999995</v>
      </c>
      <c r="P32">
        <f t="shared" si="5"/>
        <v>2.6895999977547675E-4</v>
      </c>
      <c r="Q32">
        <f t="shared" si="6"/>
        <v>3.3488999985683708E-4</v>
      </c>
      <c r="R32">
        <f t="shared" si="7"/>
        <v>1.2387689999999989E-2</v>
      </c>
      <c r="S32">
        <f t="shared" si="8"/>
        <v>6.0384999963231383E-4</v>
      </c>
      <c r="T32">
        <f t="shared" si="9"/>
        <v>2.4573359551195148E-2</v>
      </c>
    </row>
    <row r="33" spans="1:20" x14ac:dyDescent="0.3">
      <c r="A33" s="2" t="s">
        <v>399</v>
      </c>
      <c r="B33" s="4" t="s">
        <v>188</v>
      </c>
      <c r="C33" s="2" t="s">
        <v>20</v>
      </c>
      <c r="D33" s="4" t="s">
        <v>46</v>
      </c>
      <c r="E33" s="3" t="s">
        <v>195</v>
      </c>
      <c r="F33" s="3" t="s">
        <v>196</v>
      </c>
      <c r="G33" s="3" t="s">
        <v>197</v>
      </c>
      <c r="H33" s="2" t="s">
        <v>95</v>
      </c>
      <c r="I33" s="2" t="s">
        <v>198</v>
      </c>
      <c r="J33" s="5" t="s">
        <v>193</v>
      </c>
      <c r="K33" s="5" t="s">
        <v>194</v>
      </c>
      <c r="L33" s="5" t="s">
        <v>182</v>
      </c>
      <c r="M33" s="3">
        <f t="shared" si="2"/>
        <v>-1.4200000005075708E-2</v>
      </c>
      <c r="N33" s="3">
        <f t="shared" si="3"/>
        <v>-3.1000000017229468E-3</v>
      </c>
      <c r="O33" s="3">
        <f t="shared" si="4"/>
        <v>4.7300000000007003E-2</v>
      </c>
      <c r="P33">
        <f t="shared" si="5"/>
        <v>2.016400001441501E-4</v>
      </c>
      <c r="Q33">
        <f t="shared" si="6"/>
        <v>9.6100000106822691E-6</v>
      </c>
      <c r="R33">
        <f t="shared" si="7"/>
        <v>2.2372900000006625E-3</v>
      </c>
      <c r="S33">
        <f t="shared" si="8"/>
        <v>2.1125000015483238E-4</v>
      </c>
      <c r="T33">
        <f t="shared" si="9"/>
        <v>1.4534441859075029E-2</v>
      </c>
    </row>
    <row r="34" spans="1:20" x14ac:dyDescent="0.3">
      <c r="A34" s="2" t="s">
        <v>399</v>
      </c>
      <c r="B34" s="4" t="s">
        <v>188</v>
      </c>
      <c r="C34" s="2" t="s">
        <v>51</v>
      </c>
      <c r="D34" s="4" t="s">
        <v>63</v>
      </c>
      <c r="E34" s="3" t="s">
        <v>199</v>
      </c>
      <c r="F34" s="3" t="s">
        <v>200</v>
      </c>
      <c r="G34" s="3" t="s">
        <v>201</v>
      </c>
      <c r="H34" s="2" t="s">
        <v>108</v>
      </c>
      <c r="I34" s="2" t="s">
        <v>114</v>
      </c>
      <c r="J34" s="5" t="s">
        <v>193</v>
      </c>
      <c r="K34" s="5" t="s">
        <v>194</v>
      </c>
      <c r="L34" s="5" t="s">
        <v>182</v>
      </c>
      <c r="M34" s="3">
        <f t="shared" si="2"/>
        <v>-8.879999999771826E-2</v>
      </c>
      <c r="N34" s="3">
        <f t="shared" si="3"/>
        <v>-2.8900000004796311E-2</v>
      </c>
      <c r="O34" s="3">
        <f t="shared" si="4"/>
        <v>3.9300000000025648E-2</v>
      </c>
      <c r="P34">
        <f t="shared" si="5"/>
        <v>7.8854399995947622E-3</v>
      </c>
      <c r="Q34">
        <f t="shared" si="6"/>
        <v>8.3521000027722678E-4</v>
      </c>
      <c r="R34">
        <f t="shared" si="7"/>
        <v>1.5444900000020159E-3</v>
      </c>
      <c r="S34">
        <f t="shared" si="8"/>
        <v>8.7206499998719895E-3</v>
      </c>
      <c r="T34">
        <f t="shared" si="9"/>
        <v>9.3384420541501409E-2</v>
      </c>
    </row>
    <row r="35" spans="1:20" x14ac:dyDescent="0.3">
      <c r="A35" s="2" t="s">
        <v>399</v>
      </c>
      <c r="B35" s="4" t="s">
        <v>188</v>
      </c>
      <c r="C35" s="2" t="s">
        <v>57</v>
      </c>
      <c r="D35" s="4" t="s">
        <v>30</v>
      </c>
      <c r="E35" s="3" t="s">
        <v>202</v>
      </c>
      <c r="F35" s="3" t="s">
        <v>203</v>
      </c>
      <c r="G35" s="3" t="s">
        <v>204</v>
      </c>
      <c r="H35" s="2" t="s">
        <v>50</v>
      </c>
      <c r="I35" s="2" t="s">
        <v>41</v>
      </c>
      <c r="J35" s="5" t="s">
        <v>193</v>
      </c>
      <c r="K35" s="5" t="s">
        <v>194</v>
      </c>
      <c r="L35" s="5" t="s">
        <v>182</v>
      </c>
      <c r="M35" s="3">
        <f t="shared" si="2"/>
        <v>-3.530000000318978E-2</v>
      </c>
      <c r="N35" s="3">
        <f t="shared" si="3"/>
        <v>-2.1900000021560118E-2</v>
      </c>
      <c r="O35" s="3">
        <f t="shared" si="4"/>
        <v>1.1699999999990496E-2</v>
      </c>
      <c r="P35">
        <f t="shared" si="5"/>
        <v>1.2460900002251984E-3</v>
      </c>
      <c r="Q35">
        <f t="shared" si="6"/>
        <v>4.7961000094433315E-4</v>
      </c>
      <c r="R35">
        <f t="shared" si="7"/>
        <v>1.368899999997776E-4</v>
      </c>
      <c r="S35">
        <f t="shared" si="8"/>
        <v>1.7257000011695316E-3</v>
      </c>
      <c r="T35">
        <f t="shared" si="9"/>
        <v>4.1541545483642417E-2</v>
      </c>
    </row>
    <row r="36" spans="1:20" x14ac:dyDescent="0.3">
      <c r="A36" s="2" t="s">
        <v>399</v>
      </c>
      <c r="B36" s="4" t="s">
        <v>188</v>
      </c>
      <c r="C36" s="2" t="s">
        <v>57</v>
      </c>
      <c r="D36" s="4" t="s">
        <v>52</v>
      </c>
      <c r="E36" s="3" t="s">
        <v>205</v>
      </c>
      <c r="F36" s="3" t="s">
        <v>206</v>
      </c>
      <c r="G36" s="3" t="s">
        <v>207</v>
      </c>
      <c r="H36" s="2" t="s">
        <v>121</v>
      </c>
      <c r="I36" s="2" t="s">
        <v>170</v>
      </c>
      <c r="J36" s="5" t="s">
        <v>193</v>
      </c>
      <c r="K36" s="5" t="s">
        <v>194</v>
      </c>
      <c r="L36" s="5" t="s">
        <v>182</v>
      </c>
      <c r="M36" s="3">
        <f t="shared" si="2"/>
        <v>-2.629999999771826E-2</v>
      </c>
      <c r="N36" s="3">
        <f t="shared" si="3"/>
        <v>-2.5300000008428469E-2</v>
      </c>
      <c r="O36" s="3">
        <f t="shared" si="4"/>
        <v>3.0000000000995897E-4</v>
      </c>
      <c r="P36">
        <f t="shared" si="5"/>
        <v>6.9168999987998046E-4</v>
      </c>
      <c r="Q36">
        <f t="shared" si="6"/>
        <v>6.4009000042648053E-4</v>
      </c>
      <c r="R36">
        <f t="shared" si="7"/>
        <v>9.0000000005975379E-8</v>
      </c>
      <c r="S36">
        <f t="shared" si="8"/>
        <v>1.3317800003064609E-3</v>
      </c>
      <c r="T36">
        <f t="shared" si="9"/>
        <v>3.649356108009276E-2</v>
      </c>
    </row>
    <row r="37" spans="1:20" x14ac:dyDescent="0.3">
      <c r="A37" s="2" t="s">
        <v>399</v>
      </c>
      <c r="B37" s="4" t="s">
        <v>208</v>
      </c>
      <c r="C37" s="2" t="s">
        <v>45</v>
      </c>
      <c r="D37" s="4" t="s">
        <v>21</v>
      </c>
      <c r="E37" s="3" t="s">
        <v>209</v>
      </c>
      <c r="F37" s="3" t="s">
        <v>210</v>
      </c>
      <c r="G37" s="3" t="s">
        <v>211</v>
      </c>
      <c r="H37" s="2" t="s">
        <v>212</v>
      </c>
      <c r="I37" s="2" t="s">
        <v>213</v>
      </c>
      <c r="J37" s="5" t="s">
        <v>214</v>
      </c>
      <c r="K37" s="5" t="s">
        <v>215</v>
      </c>
      <c r="L37" s="5" t="s">
        <v>216</v>
      </c>
      <c r="M37" s="3">
        <f t="shared" si="2"/>
        <v>-4.0300000007846393E-2</v>
      </c>
      <c r="N37" s="3">
        <f t="shared" si="3"/>
        <v>1.9500000023981556E-2</v>
      </c>
      <c r="O37" s="3">
        <f t="shared" si="4"/>
        <v>4.5199999999994134E-2</v>
      </c>
      <c r="P37">
        <f t="shared" si="5"/>
        <v>1.6240900006324192E-3</v>
      </c>
      <c r="Q37">
        <f t="shared" si="6"/>
        <v>3.8025000093528072E-4</v>
      </c>
      <c r="R37">
        <f t="shared" si="7"/>
        <v>2.0430399999994695E-3</v>
      </c>
      <c r="S37">
        <f t="shared" si="8"/>
        <v>2.0043400015676998E-3</v>
      </c>
      <c r="T37">
        <f t="shared" si="9"/>
        <v>4.4769855947587096E-2</v>
      </c>
    </row>
    <row r="38" spans="1:20" x14ac:dyDescent="0.3">
      <c r="A38" s="2" t="s">
        <v>399</v>
      </c>
      <c r="B38" s="4" t="s">
        <v>208</v>
      </c>
      <c r="C38" s="2" t="s">
        <v>45</v>
      </c>
      <c r="D38" s="4" t="s">
        <v>30</v>
      </c>
      <c r="E38" s="3" t="s">
        <v>217</v>
      </c>
      <c r="F38" s="3" t="s">
        <v>218</v>
      </c>
      <c r="G38" s="3" t="s">
        <v>219</v>
      </c>
      <c r="H38" s="2" t="s">
        <v>220</v>
      </c>
      <c r="I38" s="2" t="s">
        <v>221</v>
      </c>
      <c r="J38" s="5" t="s">
        <v>214</v>
      </c>
      <c r="K38" s="5" t="s">
        <v>215</v>
      </c>
      <c r="L38" s="5" t="s">
        <v>216</v>
      </c>
      <c r="M38" s="3">
        <f t="shared" si="2"/>
        <v>-5.1300000006449409E-2</v>
      </c>
      <c r="N38" s="3">
        <f t="shared" si="3"/>
        <v>3.0900000012479722E-2</v>
      </c>
      <c r="O38" s="3">
        <f t="shared" si="4"/>
        <v>6.0199999999994702E-2</v>
      </c>
      <c r="P38">
        <f t="shared" si="5"/>
        <v>2.6316900006617093E-3</v>
      </c>
      <c r="Q38">
        <f t="shared" si="6"/>
        <v>9.5481000077124684E-4</v>
      </c>
      <c r="R38">
        <f t="shared" si="7"/>
        <v>3.6240399999993623E-3</v>
      </c>
      <c r="S38">
        <f t="shared" si="8"/>
        <v>3.586500001432956E-3</v>
      </c>
      <c r="T38">
        <f t="shared" si="9"/>
        <v>5.988739434499514E-2</v>
      </c>
    </row>
    <row r="39" spans="1:20" x14ac:dyDescent="0.3">
      <c r="A39" s="2" t="s">
        <v>399</v>
      </c>
      <c r="B39" s="4" t="s">
        <v>222</v>
      </c>
      <c r="C39" s="2" t="s">
        <v>20</v>
      </c>
      <c r="D39" s="4" t="s">
        <v>37</v>
      </c>
      <c r="E39" s="3" t="s">
        <v>223</v>
      </c>
      <c r="F39" s="3" t="s">
        <v>224</v>
      </c>
      <c r="G39" s="3" t="s">
        <v>225</v>
      </c>
      <c r="H39" s="2" t="s">
        <v>220</v>
      </c>
      <c r="I39" s="2" t="s">
        <v>226</v>
      </c>
      <c r="J39" s="5" t="s">
        <v>227</v>
      </c>
      <c r="K39" s="5" t="s">
        <v>228</v>
      </c>
      <c r="L39" s="5" t="s">
        <v>216</v>
      </c>
      <c r="M39" s="3">
        <f t="shared" si="2"/>
        <v>-5.430000000342261E-2</v>
      </c>
      <c r="N39" s="3">
        <f t="shared" si="3"/>
        <v>3.1000000017229468E-2</v>
      </c>
      <c r="O39" s="3">
        <f t="shared" si="4"/>
        <v>0.11519999999999442</v>
      </c>
      <c r="P39">
        <f t="shared" si="5"/>
        <v>2.9484900003716955E-3</v>
      </c>
      <c r="Q39">
        <f t="shared" si="6"/>
        <v>9.6100000106822704E-4</v>
      </c>
      <c r="R39">
        <f t="shared" si="7"/>
        <v>1.3271039999998714E-2</v>
      </c>
      <c r="S39">
        <f t="shared" si="8"/>
        <v>3.9094900014399227E-3</v>
      </c>
      <c r="T39">
        <f t="shared" si="9"/>
        <v>6.2525914638971281E-2</v>
      </c>
    </row>
    <row r="40" spans="1:20" x14ac:dyDescent="0.3">
      <c r="A40" s="2" t="s">
        <v>399</v>
      </c>
      <c r="B40" s="4" t="s">
        <v>222</v>
      </c>
      <c r="C40" s="2" t="s">
        <v>20</v>
      </c>
      <c r="D40" s="4" t="s">
        <v>46</v>
      </c>
      <c r="E40" s="3" t="s">
        <v>229</v>
      </c>
      <c r="F40" s="3" t="s">
        <v>230</v>
      </c>
      <c r="G40" s="3" t="s">
        <v>231</v>
      </c>
      <c r="H40" s="2" t="s">
        <v>50</v>
      </c>
      <c r="I40" s="2" t="s">
        <v>41</v>
      </c>
      <c r="J40" s="5" t="s">
        <v>227</v>
      </c>
      <c r="K40" s="5" t="s">
        <v>228</v>
      </c>
      <c r="L40" s="5" t="s">
        <v>216</v>
      </c>
      <c r="M40" s="3">
        <f t="shared" si="2"/>
        <v>-3.5100000008242205E-2</v>
      </c>
      <c r="N40" s="3">
        <f t="shared" si="3"/>
        <v>3.5700000007636845E-2</v>
      </c>
      <c r="O40" s="3">
        <f t="shared" si="4"/>
        <v>9.1199999999993508E-2</v>
      </c>
      <c r="P40">
        <f t="shared" si="5"/>
        <v>1.2320100005786029E-3</v>
      </c>
      <c r="Q40">
        <f t="shared" si="6"/>
        <v>1.2744900005452707E-3</v>
      </c>
      <c r="R40">
        <f t="shared" si="7"/>
        <v>8.3174399999988158E-3</v>
      </c>
      <c r="S40">
        <f t="shared" si="8"/>
        <v>2.5065000011238736E-3</v>
      </c>
      <c r="T40">
        <f t="shared" si="9"/>
        <v>5.006495781606006E-2</v>
      </c>
    </row>
    <row r="41" spans="1:20" x14ac:dyDescent="0.3">
      <c r="A41" s="2" t="s">
        <v>399</v>
      </c>
      <c r="B41" s="4" t="s">
        <v>222</v>
      </c>
      <c r="C41" s="2" t="s">
        <v>51</v>
      </c>
      <c r="D41" s="4" t="s">
        <v>63</v>
      </c>
      <c r="E41" s="3" t="s">
        <v>232</v>
      </c>
      <c r="F41" s="3" t="s">
        <v>233</v>
      </c>
      <c r="G41" s="3" t="s">
        <v>234</v>
      </c>
      <c r="H41" s="2" t="s">
        <v>74</v>
      </c>
      <c r="I41" s="2" t="s">
        <v>88</v>
      </c>
      <c r="J41" s="5" t="s">
        <v>227</v>
      </c>
      <c r="K41" s="5" t="s">
        <v>228</v>
      </c>
      <c r="L41" s="5" t="s">
        <v>216</v>
      </c>
      <c r="M41" s="3">
        <f t="shared" si="2"/>
        <v>-3.1799999997019768E-2</v>
      </c>
      <c r="N41" s="3">
        <f t="shared" si="3"/>
        <v>0.1063000000140164</v>
      </c>
      <c r="O41" s="3">
        <f t="shared" si="4"/>
        <v>0.27420000000000044</v>
      </c>
      <c r="P41">
        <f t="shared" si="5"/>
        <v>1.0112399998104572E-3</v>
      </c>
      <c r="Q41">
        <f t="shared" si="6"/>
        <v>1.1299690002979888E-2</v>
      </c>
      <c r="R41">
        <f t="shared" si="7"/>
        <v>7.5185640000000248E-2</v>
      </c>
      <c r="S41">
        <f t="shared" si="8"/>
        <v>1.2310930002790346E-2</v>
      </c>
      <c r="T41">
        <f t="shared" si="9"/>
        <v>0.11095463038012585</v>
      </c>
    </row>
    <row r="42" spans="1:20" x14ac:dyDescent="0.3">
      <c r="A42" s="2" t="s">
        <v>399</v>
      </c>
      <c r="B42" s="4" t="s">
        <v>222</v>
      </c>
      <c r="C42" s="2" t="s">
        <v>57</v>
      </c>
      <c r="D42" s="4" t="s">
        <v>30</v>
      </c>
      <c r="E42" s="3" t="s">
        <v>235</v>
      </c>
      <c r="F42" s="3" t="s">
        <v>236</v>
      </c>
      <c r="G42" s="3" t="s">
        <v>237</v>
      </c>
      <c r="H42" s="2" t="s">
        <v>50</v>
      </c>
      <c r="I42" s="2" t="s">
        <v>238</v>
      </c>
      <c r="J42" s="5" t="s">
        <v>227</v>
      </c>
      <c r="K42" s="5" t="s">
        <v>228</v>
      </c>
      <c r="L42" s="5" t="s">
        <v>216</v>
      </c>
      <c r="M42" s="3">
        <f t="shared" si="2"/>
        <v>-3.3800000004703179E-2</v>
      </c>
      <c r="N42" s="3">
        <f t="shared" si="3"/>
        <v>2.8300000005401671E-2</v>
      </c>
      <c r="O42" s="3">
        <f t="shared" si="4"/>
        <v>0.16419999999999391</v>
      </c>
      <c r="P42">
        <f t="shared" si="5"/>
        <v>1.1424400003179349E-3</v>
      </c>
      <c r="Q42">
        <f t="shared" si="6"/>
        <v>8.0089000030573456E-4</v>
      </c>
      <c r="R42">
        <f t="shared" si="7"/>
        <v>2.6961639999998E-2</v>
      </c>
      <c r="S42">
        <f t="shared" si="8"/>
        <v>1.9433300006236696E-3</v>
      </c>
      <c r="T42">
        <f t="shared" si="9"/>
        <v>4.4083216768104269E-2</v>
      </c>
    </row>
    <row r="43" spans="1:20" x14ac:dyDescent="0.3">
      <c r="A43" s="2" t="s">
        <v>399</v>
      </c>
      <c r="B43" s="4" t="s">
        <v>222</v>
      </c>
      <c r="C43" s="2" t="s">
        <v>57</v>
      </c>
      <c r="D43" s="4" t="s">
        <v>52</v>
      </c>
      <c r="E43" s="3" t="s">
        <v>239</v>
      </c>
      <c r="F43" s="3" t="s">
        <v>240</v>
      </c>
      <c r="G43" s="3" t="s">
        <v>241</v>
      </c>
      <c r="H43" s="2" t="s">
        <v>121</v>
      </c>
      <c r="I43" s="2" t="s">
        <v>170</v>
      </c>
      <c r="J43" s="5" t="s">
        <v>227</v>
      </c>
      <c r="K43" s="5" t="s">
        <v>228</v>
      </c>
      <c r="L43" s="5" t="s">
        <v>216</v>
      </c>
      <c r="M43" s="3">
        <f t="shared" si="2"/>
        <v>-4.8999999999068677E-2</v>
      </c>
      <c r="N43" s="3">
        <f t="shared" si="3"/>
        <v>2.4000000004889444E-2</v>
      </c>
      <c r="O43" s="3">
        <f t="shared" si="4"/>
        <v>0.13619999999999521</v>
      </c>
      <c r="P43">
        <f t="shared" si="5"/>
        <v>2.4009999999087305E-3</v>
      </c>
      <c r="Q43">
        <f t="shared" si="6"/>
        <v>5.7600000023469325E-4</v>
      </c>
      <c r="R43">
        <f t="shared" si="7"/>
        <v>1.8550439999998697E-2</v>
      </c>
      <c r="S43">
        <f t="shared" si="8"/>
        <v>2.9770000001434239E-3</v>
      </c>
      <c r="T43">
        <f t="shared" si="9"/>
        <v>5.4561891464129285E-2</v>
      </c>
    </row>
    <row r="44" spans="1:20" x14ac:dyDescent="0.3">
      <c r="A44" s="2" t="s">
        <v>399</v>
      </c>
      <c r="B44" s="4" t="s">
        <v>242</v>
      </c>
      <c r="C44" s="2" t="s">
        <v>45</v>
      </c>
      <c r="D44" s="4" t="s">
        <v>21</v>
      </c>
      <c r="E44" s="3" t="s">
        <v>243</v>
      </c>
      <c r="F44" s="3" t="s">
        <v>244</v>
      </c>
      <c r="G44" s="3" t="s">
        <v>245</v>
      </c>
      <c r="H44" s="2" t="s">
        <v>108</v>
      </c>
      <c r="I44" s="2" t="s">
        <v>246</v>
      </c>
      <c r="J44" s="5" t="s">
        <v>247</v>
      </c>
      <c r="K44" s="5" t="s">
        <v>248</v>
      </c>
      <c r="L44" s="5" t="s">
        <v>249</v>
      </c>
      <c r="M44" s="3">
        <f t="shared" si="2"/>
        <v>-2.6300000012270175E-2</v>
      </c>
      <c r="N44" s="3">
        <f t="shared" si="3"/>
        <v>-2.3500000010244548E-2</v>
      </c>
      <c r="O44" s="3">
        <f t="shared" si="4"/>
        <v>8.9500000000015234E-2</v>
      </c>
      <c r="P44">
        <f t="shared" si="5"/>
        <v>6.9169000064541125E-4</v>
      </c>
      <c r="Q44">
        <f t="shared" si="6"/>
        <v>5.5225000048149376E-4</v>
      </c>
      <c r="R44">
        <f t="shared" si="7"/>
        <v>8.010250000002727E-3</v>
      </c>
      <c r="S44">
        <f t="shared" si="8"/>
        <v>1.243940001126905E-3</v>
      </c>
      <c r="T44">
        <f t="shared" si="9"/>
        <v>3.5269533610850383E-2</v>
      </c>
    </row>
    <row r="45" spans="1:20" x14ac:dyDescent="0.3">
      <c r="A45" s="2" t="s">
        <v>399</v>
      </c>
      <c r="B45" s="4" t="s">
        <v>242</v>
      </c>
      <c r="C45" s="2" t="s">
        <v>45</v>
      </c>
      <c r="D45" s="4" t="s">
        <v>30</v>
      </c>
      <c r="E45" s="3" t="s">
        <v>250</v>
      </c>
      <c r="F45" s="3" t="s">
        <v>251</v>
      </c>
      <c r="G45" s="3" t="s">
        <v>252</v>
      </c>
      <c r="H45" s="2" t="s">
        <v>170</v>
      </c>
      <c r="I45" s="2" t="s">
        <v>246</v>
      </c>
      <c r="J45" s="5" t="s">
        <v>247</v>
      </c>
      <c r="K45" s="5" t="s">
        <v>248</v>
      </c>
      <c r="L45" s="5" t="s">
        <v>249</v>
      </c>
      <c r="M45" s="3">
        <f t="shared" si="2"/>
        <v>-2.2200000006705523E-2</v>
      </c>
      <c r="N45" s="3">
        <f t="shared" si="3"/>
        <v>-2.4600000004284084E-2</v>
      </c>
      <c r="O45" s="3">
        <f t="shared" si="4"/>
        <v>8.0500000000000682E-2</v>
      </c>
      <c r="P45">
        <f t="shared" si="5"/>
        <v>4.928400002977252E-4</v>
      </c>
      <c r="Q45">
        <f t="shared" si="6"/>
        <v>6.0516000021077691E-4</v>
      </c>
      <c r="R45">
        <f t="shared" si="7"/>
        <v>6.4802500000001101E-3</v>
      </c>
      <c r="S45">
        <f t="shared" si="8"/>
        <v>1.0980000005085021E-3</v>
      </c>
      <c r="T45">
        <f t="shared" si="9"/>
        <v>3.3136083059234718E-2</v>
      </c>
    </row>
    <row r="46" spans="1:20" x14ac:dyDescent="0.3">
      <c r="A46" s="2" t="s">
        <v>399</v>
      </c>
      <c r="B46" s="4" t="s">
        <v>253</v>
      </c>
      <c r="C46" s="2" t="s">
        <v>20</v>
      </c>
      <c r="D46" s="4" t="s">
        <v>37</v>
      </c>
      <c r="E46" s="3" t="s">
        <v>254</v>
      </c>
      <c r="F46" s="3" t="s">
        <v>255</v>
      </c>
      <c r="G46" s="3" t="s">
        <v>256</v>
      </c>
      <c r="H46" s="2" t="s">
        <v>108</v>
      </c>
      <c r="I46" s="2" t="s">
        <v>257</v>
      </c>
      <c r="J46" s="5" t="s">
        <v>258</v>
      </c>
      <c r="K46" s="5" t="s">
        <v>259</v>
      </c>
      <c r="L46" s="5" t="s">
        <v>249</v>
      </c>
      <c r="M46" s="3">
        <f t="shared" si="2"/>
        <v>-2.7900000000954606E-2</v>
      </c>
      <c r="N46" s="3">
        <f t="shared" si="3"/>
        <v>-1.6300000017508864E-2</v>
      </c>
      <c r="O46" s="3">
        <f t="shared" si="4"/>
        <v>4.7500000000013642E-2</v>
      </c>
      <c r="P46">
        <f t="shared" si="5"/>
        <v>7.7841000005326696E-4</v>
      </c>
      <c r="Q46">
        <f t="shared" si="6"/>
        <v>2.6569000057078898E-4</v>
      </c>
      <c r="R46">
        <f t="shared" si="7"/>
        <v>2.2562500000012958E-3</v>
      </c>
      <c r="S46">
        <f t="shared" si="8"/>
        <v>1.044100000624056E-3</v>
      </c>
      <c r="T46">
        <f t="shared" si="9"/>
        <v>3.2312536276560777E-2</v>
      </c>
    </row>
    <row r="47" spans="1:20" x14ac:dyDescent="0.3">
      <c r="A47" s="2" t="s">
        <v>399</v>
      </c>
      <c r="B47" s="4" t="s">
        <v>253</v>
      </c>
      <c r="C47" s="2" t="s">
        <v>20</v>
      </c>
      <c r="D47" s="4" t="s">
        <v>46</v>
      </c>
      <c r="E47" s="3" t="s">
        <v>260</v>
      </c>
      <c r="F47" s="3" t="s">
        <v>261</v>
      </c>
      <c r="G47" s="3" t="s">
        <v>262</v>
      </c>
      <c r="H47" s="2" t="s">
        <v>49</v>
      </c>
      <c r="I47" s="2" t="s">
        <v>95</v>
      </c>
      <c r="J47" s="5" t="s">
        <v>258</v>
      </c>
      <c r="K47" s="5" t="s">
        <v>259</v>
      </c>
      <c r="L47" s="5" t="s">
        <v>249</v>
      </c>
      <c r="M47" s="3">
        <f t="shared" si="2"/>
        <v>-1.74000000115484E-2</v>
      </c>
      <c r="N47" s="3">
        <f t="shared" si="3"/>
        <v>-1.2300000002142042E-2</v>
      </c>
      <c r="O47" s="3">
        <f t="shared" si="4"/>
        <v>7.4500000000000455E-2</v>
      </c>
      <c r="P47">
        <f t="shared" si="5"/>
        <v>3.0276000040188432E-4</v>
      </c>
      <c r="Q47">
        <f t="shared" si="6"/>
        <v>1.5129000005269423E-4</v>
      </c>
      <c r="R47">
        <f t="shared" si="7"/>
        <v>5.5502500000000681E-3</v>
      </c>
      <c r="S47">
        <f t="shared" si="8"/>
        <v>4.5405000045457855E-4</v>
      </c>
      <c r="T47">
        <f t="shared" si="9"/>
        <v>2.1308449039162344E-2</v>
      </c>
    </row>
    <row r="48" spans="1:20" x14ac:dyDescent="0.3">
      <c r="A48" s="2" t="s">
        <v>399</v>
      </c>
      <c r="B48" s="4" t="s">
        <v>253</v>
      </c>
      <c r="C48" s="2" t="s">
        <v>51</v>
      </c>
      <c r="D48" s="4" t="s">
        <v>63</v>
      </c>
      <c r="E48" s="3" t="s">
        <v>263</v>
      </c>
      <c r="F48" s="3" t="s">
        <v>264</v>
      </c>
      <c r="G48" s="3" t="s">
        <v>265</v>
      </c>
      <c r="H48" s="2" t="s">
        <v>87</v>
      </c>
      <c r="I48" s="2" t="s">
        <v>50</v>
      </c>
      <c r="J48" s="5" t="s">
        <v>258</v>
      </c>
      <c r="K48" s="5" t="s">
        <v>259</v>
      </c>
      <c r="L48" s="5" t="s">
        <v>249</v>
      </c>
      <c r="M48" s="3">
        <f t="shared" si="2"/>
        <v>-2.8500000000349246E-2</v>
      </c>
      <c r="N48" s="3">
        <f t="shared" si="3"/>
        <v>-2.5200000003678724E-2</v>
      </c>
      <c r="O48" s="3">
        <f t="shared" si="4"/>
        <v>4.6500000000008868E-2</v>
      </c>
      <c r="P48">
        <f t="shared" si="5"/>
        <v>8.1225000001990707E-4</v>
      </c>
      <c r="Q48">
        <f t="shared" si="6"/>
        <v>6.350400001854077E-4</v>
      </c>
      <c r="R48">
        <f t="shared" si="7"/>
        <v>2.1622500000008245E-3</v>
      </c>
      <c r="S48">
        <f t="shared" si="8"/>
        <v>1.4472900002053149E-3</v>
      </c>
      <c r="T48">
        <f t="shared" si="9"/>
        <v>3.8043264846820322E-2</v>
      </c>
    </row>
    <row r="49" spans="1:20" x14ac:dyDescent="0.3">
      <c r="A49" s="2" t="s">
        <v>399</v>
      </c>
      <c r="B49" s="4" t="s">
        <v>253</v>
      </c>
      <c r="C49" s="2" t="s">
        <v>57</v>
      </c>
      <c r="D49" s="4" t="s">
        <v>30</v>
      </c>
      <c r="E49" s="3" t="s">
        <v>266</v>
      </c>
      <c r="F49" s="3" t="s">
        <v>267</v>
      </c>
      <c r="G49" s="3" t="s">
        <v>268</v>
      </c>
      <c r="H49" s="2" t="s">
        <v>87</v>
      </c>
      <c r="I49" s="2" t="s">
        <v>73</v>
      </c>
      <c r="J49" s="5" t="s">
        <v>258</v>
      </c>
      <c r="K49" s="5" t="s">
        <v>259</v>
      </c>
      <c r="L49" s="5" t="s">
        <v>249</v>
      </c>
      <c r="M49" s="3">
        <f t="shared" si="2"/>
        <v>1.5999999886844307E-3</v>
      </c>
      <c r="N49" s="3">
        <f t="shared" si="3"/>
        <v>-8.9000000152736902E-3</v>
      </c>
      <c r="O49" s="3">
        <f t="shared" si="4"/>
        <v>9.0500000000020009E-2</v>
      </c>
      <c r="P49">
        <f t="shared" si="5"/>
        <v>2.5599999637901784E-6</v>
      </c>
      <c r="Q49">
        <f t="shared" si="6"/>
        <v>7.9210000271871686E-5</v>
      </c>
      <c r="R49">
        <f t="shared" si="7"/>
        <v>8.1902500000036217E-3</v>
      </c>
      <c r="S49">
        <f t="shared" si="8"/>
        <v>8.1770000235661871E-5</v>
      </c>
      <c r="T49">
        <f t="shared" si="9"/>
        <v>9.0426766079331772E-3</v>
      </c>
    </row>
    <row r="50" spans="1:20" x14ac:dyDescent="0.3">
      <c r="A50" s="2" t="s">
        <v>399</v>
      </c>
      <c r="B50" s="4" t="s">
        <v>253</v>
      </c>
      <c r="C50" s="2" t="s">
        <v>57</v>
      </c>
      <c r="D50" s="4" t="s">
        <v>52</v>
      </c>
      <c r="E50" s="3" t="s">
        <v>269</v>
      </c>
      <c r="F50" s="3" t="s">
        <v>270</v>
      </c>
      <c r="G50" s="3" t="s">
        <v>271</v>
      </c>
      <c r="H50" s="2" t="s">
        <v>94</v>
      </c>
      <c r="I50" s="2" t="s">
        <v>121</v>
      </c>
      <c r="J50" s="5" t="s">
        <v>258</v>
      </c>
      <c r="K50" s="5" t="s">
        <v>259</v>
      </c>
      <c r="L50" s="5" t="s">
        <v>249</v>
      </c>
      <c r="M50" s="3">
        <f t="shared" si="2"/>
        <v>-1.3100000011036173E-2</v>
      </c>
      <c r="N50" s="3">
        <f t="shared" si="3"/>
        <v>-6.3000000081956387E-3</v>
      </c>
      <c r="O50" s="3">
        <f t="shared" si="4"/>
        <v>8.6500000000000909E-2</v>
      </c>
      <c r="P50">
        <f t="shared" si="5"/>
        <v>1.7161000028914771E-4</v>
      </c>
      <c r="Q50">
        <f t="shared" si="6"/>
        <v>3.9690000103265047E-5</v>
      </c>
      <c r="R50">
        <f t="shared" si="7"/>
        <v>7.4822500000001572E-3</v>
      </c>
      <c r="S50">
        <f t="shared" si="8"/>
        <v>2.1130000039241276E-4</v>
      </c>
      <c r="T50">
        <f t="shared" si="9"/>
        <v>1.4536161817770631E-2</v>
      </c>
    </row>
    <row r="51" spans="1:20" x14ac:dyDescent="0.3">
      <c r="A51" s="2" t="s">
        <v>399</v>
      </c>
      <c r="B51" s="4" t="s">
        <v>272</v>
      </c>
      <c r="C51" s="2" t="s">
        <v>45</v>
      </c>
      <c r="D51" s="4" t="s">
        <v>30</v>
      </c>
      <c r="E51" s="3" t="s">
        <v>273</v>
      </c>
      <c r="F51" s="3" t="s">
        <v>274</v>
      </c>
      <c r="G51" s="3" t="s">
        <v>275</v>
      </c>
      <c r="H51" s="2" t="s">
        <v>42</v>
      </c>
      <c r="I51" s="2" t="s">
        <v>276</v>
      </c>
      <c r="J51" s="5" t="s">
        <v>277</v>
      </c>
      <c r="K51" s="5" t="s">
        <v>278</v>
      </c>
      <c r="L51" s="5" t="s">
        <v>279</v>
      </c>
      <c r="M51" s="3">
        <f t="shared" si="2"/>
        <v>-1.3299999991431832E-2</v>
      </c>
      <c r="N51" s="3">
        <f t="shared" si="3"/>
        <v>-2.9999999969732016E-3</v>
      </c>
      <c r="O51" s="3">
        <f t="shared" si="4"/>
        <v>7.099999999994111E-3</v>
      </c>
      <c r="P51">
        <f t="shared" si="5"/>
        <v>1.7688999977208674E-4</v>
      </c>
      <c r="Q51">
        <f t="shared" si="6"/>
        <v>8.999999981839209E-6</v>
      </c>
      <c r="R51">
        <f t="shared" si="7"/>
        <v>5.0409999999916374E-5</v>
      </c>
      <c r="S51">
        <f t="shared" si="8"/>
        <v>1.8588999975392595E-4</v>
      </c>
      <c r="T51">
        <f t="shared" si="9"/>
        <v>1.3634148295875542E-2</v>
      </c>
    </row>
    <row r="52" spans="1:20" x14ac:dyDescent="0.3">
      <c r="A52" s="2" t="s">
        <v>399</v>
      </c>
      <c r="B52" s="4" t="s">
        <v>272</v>
      </c>
      <c r="C52" s="2" t="s">
        <v>45</v>
      </c>
      <c r="D52" s="4" t="s">
        <v>21</v>
      </c>
      <c r="E52" s="3" t="s">
        <v>280</v>
      </c>
      <c r="F52" s="3" t="s">
        <v>281</v>
      </c>
      <c r="G52" s="3" t="s">
        <v>282</v>
      </c>
      <c r="H52" s="2" t="s">
        <v>283</v>
      </c>
      <c r="I52" s="2" t="s">
        <v>284</v>
      </c>
      <c r="J52" s="5" t="s">
        <v>277</v>
      </c>
      <c r="K52" s="5" t="s">
        <v>278</v>
      </c>
      <c r="L52" s="5" t="s">
        <v>279</v>
      </c>
      <c r="M52" s="3">
        <f t="shared" si="2"/>
        <v>6.7000000271946192E-3</v>
      </c>
      <c r="N52" s="3">
        <f t="shared" si="3"/>
        <v>-2.6400000002468005E-2</v>
      </c>
      <c r="O52" s="3">
        <f t="shared" si="4"/>
        <v>0.13009999999999877</v>
      </c>
      <c r="P52">
        <f t="shared" si="5"/>
        <v>4.4890000364407898E-5</v>
      </c>
      <c r="Q52">
        <f t="shared" si="6"/>
        <v>6.9696000013031063E-4</v>
      </c>
      <c r="R52">
        <f t="shared" si="7"/>
        <v>1.6926009999999679E-2</v>
      </c>
      <c r="S52">
        <f t="shared" si="8"/>
        <v>7.4185000049471848E-4</v>
      </c>
      <c r="T52">
        <f t="shared" si="9"/>
        <v>2.7236923477050753E-2</v>
      </c>
    </row>
    <row r="53" spans="1:20" x14ac:dyDescent="0.3">
      <c r="A53" s="2" t="s">
        <v>399</v>
      </c>
      <c r="B53" s="4" t="s">
        <v>285</v>
      </c>
      <c r="C53" s="2" t="s">
        <v>20</v>
      </c>
      <c r="D53" s="4" t="s">
        <v>37</v>
      </c>
      <c r="E53" s="3" t="s">
        <v>286</v>
      </c>
      <c r="F53" s="3" t="s">
        <v>287</v>
      </c>
      <c r="G53" s="3" t="s">
        <v>288</v>
      </c>
      <c r="H53" s="2" t="s">
        <v>81</v>
      </c>
      <c r="I53" s="2" t="s">
        <v>220</v>
      </c>
      <c r="J53" s="5" t="s">
        <v>289</v>
      </c>
      <c r="K53" s="5" t="s">
        <v>290</v>
      </c>
      <c r="L53" s="5" t="s">
        <v>279</v>
      </c>
      <c r="M53" s="3">
        <f t="shared" si="2"/>
        <v>-5.4999999701976776E-3</v>
      </c>
      <c r="N53" s="3">
        <f t="shared" si="3"/>
        <v>-1.2999999744351953E-3</v>
      </c>
      <c r="O53" s="3">
        <f t="shared" si="4"/>
        <v>1.8900000000002137E-2</v>
      </c>
      <c r="P53">
        <f t="shared" si="5"/>
        <v>3.0249999672174455E-5</v>
      </c>
      <c r="Q53">
        <f t="shared" si="6"/>
        <v>1.6899999335315085E-6</v>
      </c>
      <c r="R53">
        <f t="shared" si="7"/>
        <v>3.5721000000008078E-4</v>
      </c>
      <c r="S53">
        <f t="shared" si="8"/>
        <v>3.1939999605705962E-5</v>
      </c>
      <c r="T53">
        <f t="shared" si="9"/>
        <v>5.6515484254941991E-3</v>
      </c>
    </row>
    <row r="54" spans="1:20" x14ac:dyDescent="0.3">
      <c r="A54" s="2" t="s">
        <v>399</v>
      </c>
      <c r="B54" s="4" t="s">
        <v>285</v>
      </c>
      <c r="C54" s="2" t="s">
        <v>20</v>
      </c>
      <c r="D54" s="4" t="s">
        <v>46</v>
      </c>
      <c r="E54" s="3" t="s">
        <v>291</v>
      </c>
      <c r="F54" s="3" t="s">
        <v>292</v>
      </c>
      <c r="G54" s="3" t="s">
        <v>293</v>
      </c>
      <c r="H54" s="2" t="s">
        <v>49</v>
      </c>
      <c r="I54" s="2" t="s">
        <v>108</v>
      </c>
      <c r="J54" s="5" t="s">
        <v>289</v>
      </c>
      <c r="K54" s="5" t="s">
        <v>290</v>
      </c>
      <c r="L54" s="5" t="s">
        <v>279</v>
      </c>
      <c r="M54" s="3">
        <f t="shared" si="2"/>
        <v>6.5000000176951289E-3</v>
      </c>
      <c r="N54" s="3">
        <f t="shared" si="3"/>
        <v>2.5200000003678724E-2</v>
      </c>
      <c r="O54" s="3">
        <f t="shared" si="4"/>
        <v>3.0900000000002592E-2</v>
      </c>
      <c r="P54">
        <f t="shared" si="5"/>
        <v>4.2250000230036676E-5</v>
      </c>
      <c r="Q54">
        <f t="shared" si="6"/>
        <v>6.350400001854077E-4</v>
      </c>
      <c r="R54">
        <f t="shared" si="7"/>
        <v>9.5481000000016019E-4</v>
      </c>
      <c r="S54">
        <f t="shared" si="8"/>
        <v>6.7729000041544436E-4</v>
      </c>
      <c r="T54">
        <f t="shared" si="9"/>
        <v>2.602479587653752E-2</v>
      </c>
    </row>
    <row r="55" spans="1:20" x14ac:dyDescent="0.3">
      <c r="A55" s="2" t="s">
        <v>399</v>
      </c>
      <c r="B55" s="4" t="s">
        <v>285</v>
      </c>
      <c r="C55" s="2" t="s">
        <v>51</v>
      </c>
      <c r="D55" s="4" t="s">
        <v>63</v>
      </c>
      <c r="E55" s="3" t="s">
        <v>294</v>
      </c>
      <c r="F55" s="3" t="s">
        <v>295</v>
      </c>
      <c r="G55" s="3" t="s">
        <v>296</v>
      </c>
      <c r="H55" s="2" t="s">
        <v>121</v>
      </c>
      <c r="I55" s="2" t="s">
        <v>74</v>
      </c>
      <c r="J55" s="5" t="s">
        <v>289</v>
      </c>
      <c r="K55" s="5" t="s">
        <v>290</v>
      </c>
      <c r="L55" s="5" t="s">
        <v>279</v>
      </c>
      <c r="M55" s="3">
        <f t="shared" si="2"/>
        <v>1.7700000025797635E-2</v>
      </c>
      <c r="N55" s="3">
        <f t="shared" si="3"/>
        <v>8.2000000111293048E-3</v>
      </c>
      <c r="O55" s="3">
        <f t="shared" si="4"/>
        <v>2.109999999999701E-2</v>
      </c>
      <c r="P55">
        <f t="shared" si="5"/>
        <v>3.1329000091323631E-4</v>
      </c>
      <c r="Q55">
        <f t="shared" si="6"/>
        <v>6.7240000182520597E-5</v>
      </c>
      <c r="R55">
        <f t="shared" si="7"/>
        <v>4.4520999999987383E-4</v>
      </c>
      <c r="S55">
        <f t="shared" si="8"/>
        <v>3.8053000109575691E-4</v>
      </c>
      <c r="T55">
        <f t="shared" si="9"/>
        <v>1.9507178194084273E-2</v>
      </c>
    </row>
    <row r="56" spans="1:20" x14ac:dyDescent="0.3">
      <c r="A56" s="2" t="s">
        <v>399</v>
      </c>
      <c r="B56" s="4" t="s">
        <v>285</v>
      </c>
      <c r="C56" s="2" t="s">
        <v>57</v>
      </c>
      <c r="D56" s="4" t="s">
        <v>30</v>
      </c>
      <c r="E56" s="3" t="s">
        <v>297</v>
      </c>
      <c r="F56" s="3" t="s">
        <v>298</v>
      </c>
      <c r="G56" s="3" t="s">
        <v>299</v>
      </c>
      <c r="H56" s="2" t="s">
        <v>300</v>
      </c>
      <c r="I56" s="2" t="s">
        <v>301</v>
      </c>
      <c r="J56" s="5" t="s">
        <v>289</v>
      </c>
      <c r="K56" s="5" t="s">
        <v>290</v>
      </c>
      <c r="L56" s="5" t="s">
        <v>279</v>
      </c>
      <c r="M56" s="3">
        <f t="shared" si="2"/>
        <v>1.4699999999720603E-2</v>
      </c>
      <c r="N56" s="3">
        <f t="shared" si="3"/>
        <v>2.6400000002468005E-2</v>
      </c>
      <c r="O56" s="3">
        <f t="shared" si="4"/>
        <v>3.5099999999999909E-2</v>
      </c>
      <c r="P56">
        <f t="shared" si="5"/>
        <v>2.1608999999178573E-4</v>
      </c>
      <c r="Q56">
        <f t="shared" si="6"/>
        <v>6.9696000013031063E-4</v>
      </c>
      <c r="R56">
        <f t="shared" si="7"/>
        <v>1.2320099999999937E-3</v>
      </c>
      <c r="S56">
        <f t="shared" si="8"/>
        <v>9.1305000012209634E-4</v>
      </c>
      <c r="T56">
        <f t="shared" si="9"/>
        <v>3.0216717229409558E-2</v>
      </c>
    </row>
    <row r="57" spans="1:20" x14ac:dyDescent="0.3">
      <c r="A57" s="2" t="s">
        <v>399</v>
      </c>
      <c r="B57" s="4" t="s">
        <v>285</v>
      </c>
      <c r="C57" s="2" t="s">
        <v>57</v>
      </c>
      <c r="D57" s="4" t="s">
        <v>52</v>
      </c>
      <c r="E57" s="3" t="s">
        <v>302</v>
      </c>
      <c r="F57" s="3" t="s">
        <v>303</v>
      </c>
      <c r="G57" s="3" t="s">
        <v>275</v>
      </c>
      <c r="H57" s="2" t="s">
        <v>304</v>
      </c>
      <c r="I57" s="2" t="s">
        <v>73</v>
      </c>
      <c r="J57" s="5" t="s">
        <v>289</v>
      </c>
      <c r="K57" s="5" t="s">
        <v>290</v>
      </c>
      <c r="L57" s="5" t="s">
        <v>279</v>
      </c>
      <c r="M57" s="3">
        <f t="shared" si="2"/>
        <v>3.2999999821186066E-3</v>
      </c>
      <c r="N57" s="3">
        <f t="shared" si="3"/>
        <v>1.9700000004377216E-2</v>
      </c>
      <c r="O57" s="3">
        <f t="shared" si="4"/>
        <v>7.099999999994111E-3</v>
      </c>
      <c r="P57">
        <f t="shared" si="5"/>
        <v>1.0889999881982804E-5</v>
      </c>
      <c r="Q57">
        <f t="shared" si="6"/>
        <v>3.8809000017246231E-4</v>
      </c>
      <c r="R57">
        <f t="shared" si="7"/>
        <v>5.0409999999916374E-5</v>
      </c>
      <c r="S57">
        <f t="shared" si="8"/>
        <v>3.9898000005444511E-4</v>
      </c>
      <c r="T57">
        <f t="shared" si="9"/>
        <v>1.9974483724353054E-2</v>
      </c>
    </row>
    <row r="58" spans="1:20" x14ac:dyDescent="0.3">
      <c r="A58" s="2" t="s">
        <v>399</v>
      </c>
      <c r="B58" s="4" t="s">
        <v>305</v>
      </c>
      <c r="C58" s="2" t="s">
        <v>45</v>
      </c>
      <c r="D58" s="4" t="s">
        <v>30</v>
      </c>
      <c r="E58" s="3" t="s">
        <v>306</v>
      </c>
      <c r="F58" s="3" t="s">
        <v>307</v>
      </c>
      <c r="G58" s="3" t="s">
        <v>308</v>
      </c>
      <c r="H58" s="2" t="s">
        <v>87</v>
      </c>
      <c r="I58" s="2" t="s">
        <v>155</v>
      </c>
      <c r="J58" s="5" t="s">
        <v>309</v>
      </c>
      <c r="K58" s="5" t="s">
        <v>310</v>
      </c>
      <c r="L58" s="5" t="s">
        <v>311</v>
      </c>
      <c r="M58" s="3">
        <f t="shared" si="2"/>
        <v>-8.0999999772757292E-3</v>
      </c>
      <c r="N58" s="3">
        <f t="shared" si="3"/>
        <v>1.2499999982537702E-2</v>
      </c>
      <c r="O58" s="3">
        <f t="shared" si="4"/>
        <v>3.2499999999998863E-2</v>
      </c>
      <c r="P58">
        <f t="shared" si="5"/>
        <v>6.5609999631866813E-5</v>
      </c>
      <c r="Q58">
        <f t="shared" si="6"/>
        <v>1.5624999956344256E-4</v>
      </c>
      <c r="R58">
        <f t="shared" si="7"/>
        <v>1.0562499999999262E-3</v>
      </c>
      <c r="S58">
        <f t="shared" si="8"/>
        <v>2.2185999919530937E-4</v>
      </c>
      <c r="T58">
        <f t="shared" si="9"/>
        <v>1.4894965565428788E-2</v>
      </c>
    </row>
    <row r="59" spans="1:20" x14ac:dyDescent="0.3">
      <c r="A59" s="2" t="s">
        <v>399</v>
      </c>
      <c r="B59" s="4" t="s">
        <v>305</v>
      </c>
      <c r="C59" s="2" t="s">
        <v>45</v>
      </c>
      <c r="D59" s="4" t="s">
        <v>21</v>
      </c>
      <c r="E59" s="3" t="s">
        <v>312</v>
      </c>
      <c r="F59" s="3" t="s">
        <v>313</v>
      </c>
      <c r="G59" s="3" t="s">
        <v>314</v>
      </c>
      <c r="H59" s="2" t="s">
        <v>87</v>
      </c>
      <c r="I59" s="2" t="s">
        <v>315</v>
      </c>
      <c r="J59" s="5" t="s">
        <v>309</v>
      </c>
      <c r="K59" s="5" t="s">
        <v>310</v>
      </c>
      <c r="L59" s="5" t="s">
        <v>311</v>
      </c>
      <c r="M59" s="3">
        <f t="shared" si="2"/>
        <v>-3.599999996367842E-3</v>
      </c>
      <c r="N59" s="3">
        <f t="shared" si="3"/>
        <v>1.1899999983143061E-2</v>
      </c>
      <c r="O59" s="3">
        <f t="shared" si="4"/>
        <v>4.5000000000001705E-3</v>
      </c>
      <c r="P59">
        <f t="shared" si="5"/>
        <v>1.2959999973848462E-5</v>
      </c>
      <c r="Q59">
        <f t="shared" si="6"/>
        <v>1.4160999959880486E-4</v>
      </c>
      <c r="R59">
        <f t="shared" si="7"/>
        <v>2.0250000000001536E-5</v>
      </c>
      <c r="S59">
        <f t="shared" si="8"/>
        <v>1.5456999957265332E-4</v>
      </c>
      <c r="T59">
        <f t="shared" si="9"/>
        <v>1.243261837155204E-2</v>
      </c>
    </row>
    <row r="60" spans="1:20" x14ac:dyDescent="0.3">
      <c r="A60" s="2" t="s">
        <v>399</v>
      </c>
      <c r="B60" s="4" t="s">
        <v>316</v>
      </c>
      <c r="C60" s="2" t="s">
        <v>20</v>
      </c>
      <c r="D60" s="4" t="s">
        <v>37</v>
      </c>
      <c r="E60" s="3" t="s">
        <v>317</v>
      </c>
      <c r="F60" s="3" t="s">
        <v>318</v>
      </c>
      <c r="G60" s="3" t="s">
        <v>319</v>
      </c>
      <c r="H60" s="2" t="s">
        <v>166</v>
      </c>
      <c r="I60" s="2" t="s">
        <v>320</v>
      </c>
      <c r="J60" s="5" t="s">
        <v>321</v>
      </c>
      <c r="K60" s="5" t="s">
        <v>322</v>
      </c>
      <c r="L60" s="5" t="s">
        <v>311</v>
      </c>
      <c r="M60" s="3">
        <f t="shared" si="2"/>
        <v>-1.1799999978393316E-2</v>
      </c>
      <c r="N60" s="3">
        <f t="shared" si="3"/>
        <v>-2.3999999975785613E-3</v>
      </c>
      <c r="O60" s="3">
        <f t="shared" si="4"/>
        <v>4.1499999999999204E-2</v>
      </c>
      <c r="P60">
        <f t="shared" si="5"/>
        <v>1.3923999949008226E-4</v>
      </c>
      <c r="Q60">
        <f t="shared" si="6"/>
        <v>5.7599999883770943E-6</v>
      </c>
      <c r="R60">
        <f t="shared" si="7"/>
        <v>1.7222499999999339E-3</v>
      </c>
      <c r="S60">
        <f t="shared" si="8"/>
        <v>1.4499999947845935E-4</v>
      </c>
      <c r="T60">
        <f t="shared" si="9"/>
        <v>1.2041594557136499E-2</v>
      </c>
    </row>
    <row r="61" spans="1:20" x14ac:dyDescent="0.3">
      <c r="A61" s="2" t="s">
        <v>399</v>
      </c>
      <c r="B61" s="4" t="s">
        <v>316</v>
      </c>
      <c r="C61" s="2" t="s">
        <v>20</v>
      </c>
      <c r="D61" s="4" t="s">
        <v>46</v>
      </c>
      <c r="E61" s="3" t="s">
        <v>323</v>
      </c>
      <c r="F61" s="3" t="s">
        <v>324</v>
      </c>
      <c r="G61" s="3" t="s">
        <v>325</v>
      </c>
      <c r="H61" s="2" t="s">
        <v>94</v>
      </c>
      <c r="I61" s="2" t="s">
        <v>81</v>
      </c>
      <c r="J61" s="5" t="s">
        <v>321</v>
      </c>
      <c r="K61" s="5" t="s">
        <v>322</v>
      </c>
      <c r="L61" s="5" t="s">
        <v>311</v>
      </c>
      <c r="M61" s="3">
        <f t="shared" si="2"/>
        <v>1.0000000474974513E-4</v>
      </c>
      <c r="N61" s="3">
        <f t="shared" si="3"/>
        <v>5.3999999945517629E-3</v>
      </c>
      <c r="O61" s="3">
        <f t="shared" si="4"/>
        <v>5.6499999999999773E-2</v>
      </c>
      <c r="P61">
        <f t="shared" si="5"/>
        <v>1.0000000949949049E-8</v>
      </c>
      <c r="Q61">
        <f t="shared" si="6"/>
        <v>2.9159999941159039E-5</v>
      </c>
      <c r="R61">
        <f t="shared" si="7"/>
        <v>3.1922499999999742E-3</v>
      </c>
      <c r="S61">
        <f t="shared" si="8"/>
        <v>2.9169999942108988E-5</v>
      </c>
      <c r="T61">
        <f t="shared" si="9"/>
        <v>5.4009258411969506E-3</v>
      </c>
    </row>
    <row r="62" spans="1:20" x14ac:dyDescent="0.3">
      <c r="A62" s="2" t="s">
        <v>399</v>
      </c>
      <c r="B62" s="4" t="s">
        <v>316</v>
      </c>
      <c r="C62" s="2" t="s">
        <v>51</v>
      </c>
      <c r="D62" s="4" t="s">
        <v>63</v>
      </c>
      <c r="E62" s="3" t="s">
        <v>326</v>
      </c>
      <c r="F62" s="3" t="s">
        <v>327</v>
      </c>
      <c r="G62" s="3" t="s">
        <v>328</v>
      </c>
      <c r="H62" s="2" t="s">
        <v>329</v>
      </c>
      <c r="I62" s="2" t="s">
        <v>330</v>
      </c>
      <c r="J62" s="5" t="s">
        <v>321</v>
      </c>
      <c r="K62" s="5" t="s">
        <v>322</v>
      </c>
      <c r="L62" s="5" t="s">
        <v>311</v>
      </c>
      <c r="M62" s="3">
        <f t="shared" si="2"/>
        <v>2.1000000415369868E-3</v>
      </c>
      <c r="N62" s="3">
        <f t="shared" si="3"/>
        <v>-2.900000021327287E-3</v>
      </c>
      <c r="O62" s="3">
        <f t="shared" si="4"/>
        <v>0.1144999999999996</v>
      </c>
      <c r="P62">
        <f t="shared" si="5"/>
        <v>4.4100001744553464E-6</v>
      </c>
      <c r="Q62">
        <f t="shared" si="6"/>
        <v>8.4100001236982648E-6</v>
      </c>
      <c r="R62">
        <f t="shared" si="7"/>
        <v>1.3110249999999908E-2</v>
      </c>
      <c r="S62">
        <f t="shared" si="8"/>
        <v>1.2820000298153611E-5</v>
      </c>
      <c r="T62">
        <f t="shared" si="9"/>
        <v>3.5805027996293499E-3</v>
      </c>
    </row>
    <row r="63" spans="1:20" x14ac:dyDescent="0.3">
      <c r="A63" s="2" t="s">
        <v>399</v>
      </c>
      <c r="B63" s="4" t="s">
        <v>316</v>
      </c>
      <c r="C63" s="2" t="s">
        <v>57</v>
      </c>
      <c r="D63" s="4" t="s">
        <v>30</v>
      </c>
      <c r="E63" s="3" t="s">
        <v>331</v>
      </c>
      <c r="F63" s="3" t="s">
        <v>332</v>
      </c>
      <c r="G63" s="3" t="s">
        <v>333</v>
      </c>
      <c r="H63" s="2" t="s">
        <v>121</v>
      </c>
      <c r="I63" s="2" t="s">
        <v>334</v>
      </c>
      <c r="J63" s="5" t="s">
        <v>321</v>
      </c>
      <c r="K63" s="5" t="s">
        <v>322</v>
      </c>
      <c r="L63" s="5" t="s">
        <v>311</v>
      </c>
      <c r="M63" s="3">
        <f t="shared" si="2"/>
        <v>-1.6399999964050949E-2</v>
      </c>
      <c r="N63" s="3">
        <f t="shared" si="3"/>
        <v>1.3600000005681068E-2</v>
      </c>
      <c r="O63" s="3">
        <f t="shared" si="4"/>
        <v>8.4499999999998465E-2</v>
      </c>
      <c r="P63">
        <f t="shared" si="5"/>
        <v>2.689599988208711E-4</v>
      </c>
      <c r="Q63">
        <f t="shared" si="6"/>
        <v>1.8496000015452504E-4</v>
      </c>
      <c r="R63">
        <f t="shared" si="7"/>
        <v>7.1402499999997406E-3</v>
      </c>
      <c r="S63">
        <f t="shared" si="8"/>
        <v>4.5391999897539611E-4</v>
      </c>
      <c r="T63">
        <f t="shared" si="9"/>
        <v>2.1305398352891601E-2</v>
      </c>
    </row>
    <row r="64" spans="1:20" x14ac:dyDescent="0.3">
      <c r="A64" s="2" t="s">
        <v>399</v>
      </c>
      <c r="B64" s="4" t="s">
        <v>316</v>
      </c>
      <c r="C64" s="2" t="s">
        <v>57</v>
      </c>
      <c r="D64" s="4" t="s">
        <v>52</v>
      </c>
      <c r="E64" s="3" t="s">
        <v>335</v>
      </c>
      <c r="F64" s="3" t="s">
        <v>336</v>
      </c>
      <c r="G64" s="3" t="s">
        <v>337</v>
      </c>
      <c r="H64" s="2" t="s">
        <v>94</v>
      </c>
      <c r="I64" s="2" t="s">
        <v>81</v>
      </c>
      <c r="J64" s="5" t="s">
        <v>321</v>
      </c>
      <c r="K64" s="5" t="s">
        <v>322</v>
      </c>
      <c r="L64" s="5" t="s">
        <v>311</v>
      </c>
      <c r="M64" s="3">
        <f t="shared" si="2"/>
        <v>-1.879999996162951E-2</v>
      </c>
      <c r="N64" s="3">
        <f t="shared" si="3"/>
        <v>1.0199999989708886E-2</v>
      </c>
      <c r="O64" s="3">
        <f t="shared" si="4"/>
        <v>4.0499999999994429E-2</v>
      </c>
      <c r="P64">
        <f t="shared" si="5"/>
        <v>3.5343999855726957E-4</v>
      </c>
      <c r="Q64">
        <f t="shared" si="6"/>
        <v>1.0403999979006127E-4</v>
      </c>
      <c r="R64">
        <f t="shared" si="7"/>
        <v>1.6402499999995488E-3</v>
      </c>
      <c r="S64">
        <f t="shared" si="8"/>
        <v>4.5747999834733086E-4</v>
      </c>
      <c r="T64">
        <f t="shared" si="9"/>
        <v>2.1388782067881539E-2</v>
      </c>
    </row>
    <row r="65" spans="1:20" x14ac:dyDescent="0.3">
      <c r="A65" s="2" t="s">
        <v>399</v>
      </c>
      <c r="B65" s="4" t="s">
        <v>338</v>
      </c>
      <c r="C65" s="2" t="s">
        <v>45</v>
      </c>
      <c r="D65" s="4" t="s">
        <v>30</v>
      </c>
      <c r="E65" s="3" t="s">
        <v>339</v>
      </c>
      <c r="F65" s="3" t="s">
        <v>340</v>
      </c>
      <c r="G65" s="3" t="s">
        <v>341</v>
      </c>
      <c r="H65" s="2" t="s">
        <v>246</v>
      </c>
      <c r="I65" s="2" t="s">
        <v>114</v>
      </c>
      <c r="J65" s="5" t="s">
        <v>342</v>
      </c>
      <c r="K65" s="5" t="s">
        <v>343</v>
      </c>
      <c r="L65" s="5" t="s">
        <v>344</v>
      </c>
      <c r="M65" s="3">
        <f t="shared" si="2"/>
        <v>-1.1799999978393316E-2</v>
      </c>
      <c r="N65" s="3">
        <f t="shared" si="3"/>
        <v>1.919999998062849E-2</v>
      </c>
      <c r="O65" s="3">
        <f t="shared" si="4"/>
        <v>6.8999999999995509E-2</v>
      </c>
      <c r="P65">
        <f t="shared" si="5"/>
        <v>1.3923999949008226E-4</v>
      </c>
      <c r="Q65">
        <f t="shared" si="6"/>
        <v>3.6863999925613403E-4</v>
      </c>
      <c r="R65">
        <f t="shared" si="7"/>
        <v>4.7609999999993803E-3</v>
      </c>
      <c r="S65">
        <f t="shared" si="8"/>
        <v>5.078799987462163E-4</v>
      </c>
      <c r="T65">
        <f t="shared" si="9"/>
        <v>2.2536193084596527E-2</v>
      </c>
    </row>
    <row r="66" spans="1:20" x14ac:dyDescent="0.3">
      <c r="A66" s="2" t="s">
        <v>399</v>
      </c>
      <c r="B66" s="4" t="s">
        <v>338</v>
      </c>
      <c r="C66" s="2" t="s">
        <v>45</v>
      </c>
      <c r="D66" s="4" t="s">
        <v>21</v>
      </c>
      <c r="E66" s="3" t="s">
        <v>345</v>
      </c>
      <c r="F66" s="3" t="s">
        <v>346</v>
      </c>
      <c r="G66" s="3" t="s">
        <v>347</v>
      </c>
      <c r="H66" s="2" t="s">
        <v>50</v>
      </c>
      <c r="I66" s="2" t="s">
        <v>74</v>
      </c>
      <c r="J66" s="5" t="s">
        <v>342</v>
      </c>
      <c r="K66" s="5" t="s">
        <v>343</v>
      </c>
      <c r="L66" s="5" t="s">
        <v>344</v>
      </c>
      <c r="M66" s="3">
        <f t="shared" si="2"/>
        <v>-5.9999999939464033E-3</v>
      </c>
      <c r="N66" s="3">
        <f t="shared" si="3"/>
        <v>1.2199999997392297E-2</v>
      </c>
      <c r="O66" s="3">
        <f t="shared" si="4"/>
        <v>7.5999999999993406E-2</v>
      </c>
      <c r="P66">
        <f t="shared" si="5"/>
        <v>3.5999999927356836E-5</v>
      </c>
      <c r="Q66">
        <f t="shared" si="6"/>
        <v>1.4883999993637204E-4</v>
      </c>
      <c r="R66">
        <f t="shared" si="7"/>
        <v>5.7759999999989981E-3</v>
      </c>
      <c r="S66">
        <f t="shared" si="8"/>
        <v>1.8483999986372888E-4</v>
      </c>
      <c r="T66">
        <f t="shared" si="9"/>
        <v>1.3595587514474278E-2</v>
      </c>
    </row>
    <row r="67" spans="1:20" x14ac:dyDescent="0.3">
      <c r="A67" s="2" t="s">
        <v>399</v>
      </c>
      <c r="B67" s="4" t="s">
        <v>348</v>
      </c>
      <c r="C67" s="2" t="s">
        <v>20</v>
      </c>
      <c r="D67" s="4" t="s">
        <v>37</v>
      </c>
      <c r="E67" s="3" t="s">
        <v>349</v>
      </c>
      <c r="F67" s="3" t="s">
        <v>350</v>
      </c>
      <c r="G67" s="3" t="s">
        <v>351</v>
      </c>
      <c r="H67" s="2" t="s">
        <v>81</v>
      </c>
      <c r="I67" s="2" t="s">
        <v>334</v>
      </c>
      <c r="J67" s="5" t="s">
        <v>352</v>
      </c>
      <c r="K67" s="5" t="s">
        <v>353</v>
      </c>
      <c r="L67" s="5" t="s">
        <v>344</v>
      </c>
      <c r="M67" s="3">
        <f t="shared" ref="M67:M130" si="10">J67-E67</f>
        <v>2.9500000004190952E-2</v>
      </c>
      <c r="N67" s="3">
        <f t="shared" ref="N67:N130" si="11">K67-F67</f>
        <v>1.5399999974761158E-2</v>
      </c>
      <c r="O67" s="3">
        <f t="shared" ref="O67:O130" si="12">ABS(L67-G67)</f>
        <v>1.2999999999998124E-2</v>
      </c>
      <c r="P67">
        <f t="shared" ref="P67:P130" si="13">POWER(M67,2)</f>
        <v>8.7025000024726611E-4</v>
      </c>
      <c r="Q67">
        <f t="shared" ref="Q67:Q130" si="14">POWER(N67,2)</f>
        <v>2.3715999922264367E-4</v>
      </c>
      <c r="R67">
        <f t="shared" ref="R67:R130" si="15">POWER(O67,2)</f>
        <v>1.6899999999995123E-4</v>
      </c>
      <c r="S67">
        <f t="shared" ref="S67:S130" si="16">P67+Q67</f>
        <v>1.1074099994699098E-3</v>
      </c>
      <c r="T67">
        <f t="shared" ref="T67:T130" si="17">SQRT(S67)</f>
        <v>3.3277770350038621E-2</v>
      </c>
    </row>
    <row r="68" spans="1:20" x14ac:dyDescent="0.3">
      <c r="A68" s="2" t="s">
        <v>399</v>
      </c>
      <c r="B68" s="4" t="s">
        <v>348</v>
      </c>
      <c r="C68" s="2" t="s">
        <v>20</v>
      </c>
      <c r="D68" s="4" t="s">
        <v>46</v>
      </c>
      <c r="E68" s="3" t="s">
        <v>354</v>
      </c>
      <c r="F68" s="3" t="s">
        <v>355</v>
      </c>
      <c r="G68" s="3" t="s">
        <v>356</v>
      </c>
      <c r="H68" s="2" t="s">
        <v>94</v>
      </c>
      <c r="I68" s="2" t="s">
        <v>121</v>
      </c>
      <c r="J68" s="5" t="s">
        <v>352</v>
      </c>
      <c r="K68" s="5" t="s">
        <v>353</v>
      </c>
      <c r="L68" s="5" t="s">
        <v>344</v>
      </c>
      <c r="M68" s="3">
        <f t="shared" si="10"/>
        <v>1.840000000083819E-2</v>
      </c>
      <c r="N68" s="3">
        <f t="shared" si="11"/>
        <v>2.2099999972851947E-2</v>
      </c>
      <c r="O68" s="3">
        <f t="shared" si="12"/>
        <v>3.399999999999892E-2</v>
      </c>
      <c r="P68">
        <f t="shared" si="13"/>
        <v>3.385600000308454E-4</v>
      </c>
      <c r="Q68">
        <f t="shared" si="14"/>
        <v>4.884099988000561E-4</v>
      </c>
      <c r="R68">
        <f t="shared" si="15"/>
        <v>1.1559999999999266E-3</v>
      </c>
      <c r="S68">
        <f t="shared" si="16"/>
        <v>8.2696999883090155E-4</v>
      </c>
      <c r="T68">
        <f t="shared" si="17"/>
        <v>2.875708606293241E-2</v>
      </c>
    </row>
    <row r="69" spans="1:20" x14ac:dyDescent="0.3">
      <c r="A69" s="2" t="s">
        <v>399</v>
      </c>
      <c r="B69" s="4" t="s">
        <v>348</v>
      </c>
      <c r="C69" s="2" t="s">
        <v>51</v>
      </c>
      <c r="D69" s="4" t="s">
        <v>63</v>
      </c>
      <c r="E69" s="3" t="s">
        <v>357</v>
      </c>
      <c r="F69" s="3" t="s">
        <v>340</v>
      </c>
      <c r="G69" s="3" t="s">
        <v>358</v>
      </c>
      <c r="H69" s="2" t="s">
        <v>121</v>
      </c>
      <c r="I69" s="2" t="s">
        <v>108</v>
      </c>
      <c r="J69" s="5" t="s">
        <v>352</v>
      </c>
      <c r="K69" s="5" t="s">
        <v>353</v>
      </c>
      <c r="L69" s="5" t="s">
        <v>344</v>
      </c>
      <c r="M69" s="3">
        <f t="shared" si="10"/>
        <v>5.8000000019092113E-2</v>
      </c>
      <c r="N69" s="3">
        <f t="shared" si="11"/>
        <v>1.919999998062849E-2</v>
      </c>
      <c r="O69" s="3">
        <f t="shared" si="12"/>
        <v>1.7999999999993577E-2</v>
      </c>
      <c r="P69">
        <f t="shared" si="13"/>
        <v>3.3640000022146853E-3</v>
      </c>
      <c r="Q69">
        <f t="shared" si="14"/>
        <v>3.6863999925613403E-4</v>
      </c>
      <c r="R69">
        <f t="shared" si="15"/>
        <v>3.2399999999976875E-4</v>
      </c>
      <c r="S69">
        <f t="shared" si="16"/>
        <v>3.7326400014708193E-3</v>
      </c>
      <c r="T69">
        <f t="shared" si="17"/>
        <v>6.1095335349524181E-2</v>
      </c>
    </row>
    <row r="70" spans="1:20" x14ac:dyDescent="0.3">
      <c r="A70" s="2" t="s">
        <v>399</v>
      </c>
      <c r="B70" s="4" t="s">
        <v>348</v>
      </c>
      <c r="C70" s="2" t="s">
        <v>57</v>
      </c>
      <c r="D70" s="4" t="s">
        <v>30</v>
      </c>
      <c r="E70" s="3" t="s">
        <v>359</v>
      </c>
      <c r="F70" s="3" t="s">
        <v>360</v>
      </c>
      <c r="G70" s="3" t="s">
        <v>361</v>
      </c>
      <c r="H70" s="2" t="s">
        <v>49</v>
      </c>
      <c r="I70" s="2" t="s">
        <v>81</v>
      </c>
      <c r="J70" s="5" t="s">
        <v>352</v>
      </c>
      <c r="K70" s="5" t="s">
        <v>353</v>
      </c>
      <c r="L70" s="5" t="s">
        <v>344</v>
      </c>
      <c r="M70" s="3">
        <f t="shared" si="10"/>
        <v>3.0500000051688403E-2</v>
      </c>
      <c r="N70" s="3">
        <f t="shared" si="11"/>
        <v>2.0899999974062666E-2</v>
      </c>
      <c r="O70" s="3">
        <f t="shared" si="12"/>
        <v>9.9999999999980105E-3</v>
      </c>
      <c r="P70">
        <f t="shared" si="13"/>
        <v>9.302500031529926E-4</v>
      </c>
      <c r="Q70">
        <f t="shared" si="14"/>
        <v>4.3680999891581944E-4</v>
      </c>
      <c r="R70">
        <f t="shared" si="15"/>
        <v>9.9999999999960215E-5</v>
      </c>
      <c r="S70">
        <f t="shared" si="16"/>
        <v>1.3670600020688119E-3</v>
      </c>
      <c r="T70">
        <f t="shared" si="17"/>
        <v>3.6973774517471324E-2</v>
      </c>
    </row>
    <row r="71" spans="1:20" x14ac:dyDescent="0.3">
      <c r="A71" s="2" t="s">
        <v>399</v>
      </c>
      <c r="B71" s="4" t="s">
        <v>348</v>
      </c>
      <c r="C71" s="2" t="s">
        <v>57</v>
      </c>
      <c r="D71" s="4" t="s">
        <v>52</v>
      </c>
      <c r="E71" s="3" t="s">
        <v>362</v>
      </c>
      <c r="F71" s="3" t="s">
        <v>363</v>
      </c>
      <c r="G71" s="3" t="s">
        <v>364</v>
      </c>
      <c r="H71" s="2" t="s">
        <v>94</v>
      </c>
      <c r="I71" s="2" t="s">
        <v>87</v>
      </c>
      <c r="J71" s="5" t="s">
        <v>352</v>
      </c>
      <c r="K71" s="5" t="s">
        <v>353</v>
      </c>
      <c r="L71" s="5" t="s">
        <v>344</v>
      </c>
      <c r="M71" s="3">
        <f t="shared" si="10"/>
        <v>1.7900000035297126E-2</v>
      </c>
      <c r="N71" s="3">
        <f t="shared" si="11"/>
        <v>2.0999999978812411E-2</v>
      </c>
      <c r="O71" s="3">
        <f t="shared" si="12"/>
        <v>3.0000000000001137E-3</v>
      </c>
      <c r="P71">
        <f t="shared" si="13"/>
        <v>3.2041000126363712E-4</v>
      </c>
      <c r="Q71">
        <f t="shared" si="14"/>
        <v>4.4099999911012127E-4</v>
      </c>
      <c r="R71">
        <f t="shared" si="15"/>
        <v>9.0000000000006829E-6</v>
      </c>
      <c r="S71">
        <f t="shared" si="16"/>
        <v>7.6141000037375844E-4</v>
      </c>
      <c r="T71">
        <f t="shared" si="17"/>
        <v>2.75936586985807E-2</v>
      </c>
    </row>
    <row r="72" spans="1:20" x14ac:dyDescent="0.3">
      <c r="A72" s="2" t="s">
        <v>399</v>
      </c>
      <c r="B72" s="4" t="s">
        <v>365</v>
      </c>
      <c r="C72" s="2" t="s">
        <v>45</v>
      </c>
      <c r="D72" s="4" t="s">
        <v>30</v>
      </c>
      <c r="E72" s="3" t="s">
        <v>366</v>
      </c>
      <c r="F72" s="3" t="s">
        <v>367</v>
      </c>
      <c r="G72" s="3" t="s">
        <v>368</v>
      </c>
      <c r="H72" s="2" t="s">
        <v>369</v>
      </c>
      <c r="I72" s="2" t="s">
        <v>370</v>
      </c>
      <c r="J72" s="5" t="s">
        <v>371</v>
      </c>
      <c r="K72" s="5" t="s">
        <v>372</v>
      </c>
      <c r="L72" s="5" t="s">
        <v>373</v>
      </c>
      <c r="M72" s="3">
        <f t="shared" si="10"/>
        <v>1.8299999996088445E-2</v>
      </c>
      <c r="N72" s="3">
        <f t="shared" si="11"/>
        <v>-3.1099999992875382E-2</v>
      </c>
      <c r="O72" s="3">
        <f t="shared" si="12"/>
        <v>1.1200000000002319E-2</v>
      </c>
      <c r="P72">
        <f t="shared" si="13"/>
        <v>3.3488999985683708E-4</v>
      </c>
      <c r="Q72">
        <f t="shared" si="14"/>
        <v>9.6720999955684876E-4</v>
      </c>
      <c r="R72">
        <f t="shared" si="15"/>
        <v>1.2544000000005195E-4</v>
      </c>
      <c r="S72">
        <f t="shared" si="16"/>
        <v>1.3020999994136858E-3</v>
      </c>
      <c r="T72">
        <f t="shared" si="17"/>
        <v>3.6084622755596124E-2</v>
      </c>
    </row>
    <row r="73" spans="1:20" x14ac:dyDescent="0.3">
      <c r="A73" s="2" t="s">
        <v>399</v>
      </c>
      <c r="B73" s="4" t="s">
        <v>365</v>
      </c>
      <c r="C73" s="2" t="s">
        <v>45</v>
      </c>
      <c r="D73" s="4" t="s">
        <v>21</v>
      </c>
      <c r="E73" s="3" t="s">
        <v>374</v>
      </c>
      <c r="F73" s="3" t="s">
        <v>375</v>
      </c>
      <c r="G73" s="3" t="s">
        <v>376</v>
      </c>
      <c r="H73" s="2" t="s">
        <v>377</v>
      </c>
      <c r="I73" s="2" t="s">
        <v>378</v>
      </c>
      <c r="J73" s="5" t="s">
        <v>371</v>
      </c>
      <c r="K73" s="5" t="s">
        <v>372</v>
      </c>
      <c r="L73" s="5" t="s">
        <v>373</v>
      </c>
      <c r="M73" s="3">
        <f t="shared" si="10"/>
        <v>1.2699999962933362E-2</v>
      </c>
      <c r="N73" s="3">
        <f t="shared" si="11"/>
        <v>-1.0799999989103526E-2</v>
      </c>
      <c r="O73" s="3">
        <f t="shared" si="12"/>
        <v>3.1800000000004047E-2</v>
      </c>
      <c r="P73">
        <f t="shared" si="13"/>
        <v>1.6128999905850737E-4</v>
      </c>
      <c r="Q73">
        <f t="shared" si="14"/>
        <v>1.1663999976463616E-4</v>
      </c>
      <c r="R73">
        <f t="shared" si="15"/>
        <v>1.0112400000002574E-3</v>
      </c>
      <c r="S73">
        <f t="shared" si="16"/>
        <v>2.7792999882314355E-4</v>
      </c>
      <c r="T73">
        <f t="shared" si="17"/>
        <v>1.667123267257534E-2</v>
      </c>
    </row>
    <row r="74" spans="1:20" x14ac:dyDescent="0.3">
      <c r="A74" s="2" t="s">
        <v>399</v>
      </c>
      <c r="B74" s="4" t="s">
        <v>379</v>
      </c>
      <c r="C74" s="2" t="s">
        <v>20</v>
      </c>
      <c r="D74" s="4" t="s">
        <v>37</v>
      </c>
      <c r="E74" s="3" t="s">
        <v>380</v>
      </c>
      <c r="F74" s="3" t="s">
        <v>381</v>
      </c>
      <c r="G74" s="3" t="s">
        <v>382</v>
      </c>
      <c r="H74" s="2" t="s">
        <v>73</v>
      </c>
      <c r="I74" s="2" t="s">
        <v>41</v>
      </c>
      <c r="J74" s="5" t="s">
        <v>383</v>
      </c>
      <c r="K74" s="5" t="s">
        <v>384</v>
      </c>
      <c r="L74" s="5" t="s">
        <v>373</v>
      </c>
      <c r="M74" s="3">
        <f t="shared" si="10"/>
        <v>-1.1100000003352761E-2</v>
      </c>
      <c r="N74" s="3">
        <f t="shared" si="11"/>
        <v>-3.2099999982165173E-2</v>
      </c>
      <c r="O74" s="3">
        <f t="shared" si="12"/>
        <v>3.4800000000004161E-2</v>
      </c>
      <c r="P74">
        <f t="shared" si="13"/>
        <v>1.232100000744313E-4</v>
      </c>
      <c r="Q74">
        <f t="shared" si="14"/>
        <v>1.0304099988550041E-3</v>
      </c>
      <c r="R74">
        <f t="shared" si="15"/>
        <v>1.2110400000002895E-3</v>
      </c>
      <c r="S74">
        <f t="shared" si="16"/>
        <v>1.1536199989294353E-3</v>
      </c>
      <c r="T74">
        <f t="shared" si="17"/>
        <v>3.3964981950965839E-2</v>
      </c>
    </row>
    <row r="75" spans="1:20" x14ac:dyDescent="0.3">
      <c r="A75" s="2" t="s">
        <v>399</v>
      </c>
      <c r="B75" s="4" t="s">
        <v>379</v>
      </c>
      <c r="C75" s="2" t="s">
        <v>20</v>
      </c>
      <c r="D75" s="4" t="s">
        <v>46</v>
      </c>
      <c r="E75" s="3" t="s">
        <v>385</v>
      </c>
      <c r="F75" s="3" t="s">
        <v>386</v>
      </c>
      <c r="G75" s="3" t="s">
        <v>387</v>
      </c>
      <c r="H75" s="2" t="s">
        <v>49</v>
      </c>
      <c r="I75" s="2" t="s">
        <v>95</v>
      </c>
      <c r="J75" s="5" t="s">
        <v>383</v>
      </c>
      <c r="K75" s="5" t="s">
        <v>384</v>
      </c>
      <c r="L75" s="5" t="s">
        <v>373</v>
      </c>
      <c r="M75" s="3">
        <f t="shared" si="10"/>
        <v>1.6200000012759119E-2</v>
      </c>
      <c r="N75" s="3">
        <f t="shared" si="11"/>
        <v>-3.7599999981466681E-2</v>
      </c>
      <c r="O75" s="3">
        <f t="shared" si="12"/>
        <v>1.1999999999972033E-3</v>
      </c>
      <c r="P75">
        <f t="shared" si="13"/>
        <v>2.6244000041339546E-4</v>
      </c>
      <c r="Q75">
        <f t="shared" si="14"/>
        <v>1.4137599986062943E-3</v>
      </c>
      <c r="R75">
        <f t="shared" si="15"/>
        <v>1.4399999999932879E-6</v>
      </c>
      <c r="S75">
        <f t="shared" si="16"/>
        <v>1.6761999990196899E-3</v>
      </c>
      <c r="T75">
        <f t="shared" si="17"/>
        <v>4.0941421555921696E-2</v>
      </c>
    </row>
    <row r="76" spans="1:20" x14ac:dyDescent="0.3">
      <c r="A76" s="2" t="s">
        <v>399</v>
      </c>
      <c r="B76" s="4" t="s">
        <v>379</v>
      </c>
      <c r="C76" s="2" t="s">
        <v>51</v>
      </c>
      <c r="D76" s="4" t="s">
        <v>63</v>
      </c>
      <c r="E76" s="3" t="s">
        <v>388</v>
      </c>
      <c r="F76" s="3" t="s">
        <v>389</v>
      </c>
      <c r="G76" s="3" t="s">
        <v>390</v>
      </c>
      <c r="H76" s="2" t="s">
        <v>121</v>
      </c>
      <c r="I76" s="2" t="s">
        <v>108</v>
      </c>
      <c r="J76" s="5" t="s">
        <v>383</v>
      </c>
      <c r="K76" s="5" t="s">
        <v>384</v>
      </c>
      <c r="L76" s="5" t="s">
        <v>373</v>
      </c>
      <c r="M76" s="3">
        <f t="shared" si="10"/>
        <v>2.5000000023283064E-3</v>
      </c>
      <c r="N76" s="3">
        <f t="shared" si="11"/>
        <v>-1.3500000000931323E-2</v>
      </c>
      <c r="O76" s="3">
        <f t="shared" si="12"/>
        <v>7.3800000000005639E-2</v>
      </c>
      <c r="P76">
        <f t="shared" si="13"/>
        <v>6.2500000116415322E-6</v>
      </c>
      <c r="Q76">
        <f t="shared" si="14"/>
        <v>1.822500000251457E-4</v>
      </c>
      <c r="R76">
        <f t="shared" si="15"/>
        <v>5.4464400000008321E-3</v>
      </c>
      <c r="S76">
        <f t="shared" si="16"/>
        <v>1.8850000003678722E-4</v>
      </c>
      <c r="T76">
        <f t="shared" si="17"/>
        <v>1.3729530219085693E-2</v>
      </c>
    </row>
    <row r="77" spans="1:20" x14ac:dyDescent="0.3">
      <c r="A77" s="2" t="s">
        <v>399</v>
      </c>
      <c r="B77" s="4" t="s">
        <v>379</v>
      </c>
      <c r="C77" s="2" t="s">
        <v>57</v>
      </c>
      <c r="D77" s="4" t="s">
        <v>30</v>
      </c>
      <c r="E77" s="3" t="s">
        <v>391</v>
      </c>
      <c r="F77" s="3" t="s">
        <v>392</v>
      </c>
      <c r="G77" s="3" t="s">
        <v>393</v>
      </c>
      <c r="H77" s="2" t="s">
        <v>394</v>
      </c>
      <c r="I77" s="2" t="s">
        <v>395</v>
      </c>
      <c r="J77" s="5" t="s">
        <v>383</v>
      </c>
      <c r="K77" s="5" t="s">
        <v>384</v>
      </c>
      <c r="L77" s="5" t="s">
        <v>373</v>
      </c>
      <c r="M77" s="3">
        <f t="shared" si="10"/>
        <v>7.0100000011734664E-2</v>
      </c>
      <c r="N77" s="3">
        <f t="shared" si="11"/>
        <v>3.3100000000558794E-2</v>
      </c>
      <c r="O77" s="3">
        <f t="shared" si="12"/>
        <v>4.8799999999999955E-2</v>
      </c>
      <c r="P77">
        <f t="shared" si="13"/>
        <v>4.9140100016452004E-3</v>
      </c>
      <c r="Q77">
        <f t="shared" si="14"/>
        <v>1.0956100000369922E-3</v>
      </c>
      <c r="R77">
        <f t="shared" si="15"/>
        <v>2.3814399999999955E-3</v>
      </c>
      <c r="S77">
        <f t="shared" si="16"/>
        <v>6.0096200016821928E-3</v>
      </c>
      <c r="T77">
        <f t="shared" si="17"/>
        <v>7.7521738897435688E-2</v>
      </c>
    </row>
    <row r="78" spans="1:20" x14ac:dyDescent="0.3">
      <c r="A78" s="2" t="s">
        <v>399</v>
      </c>
      <c r="B78" s="4" t="s">
        <v>379</v>
      </c>
      <c r="C78" s="2" t="s">
        <v>57</v>
      </c>
      <c r="D78" s="4" t="s">
        <v>52</v>
      </c>
      <c r="E78" s="3" t="s">
        <v>396</v>
      </c>
      <c r="F78" s="3" t="s">
        <v>397</v>
      </c>
      <c r="G78" s="3" t="s">
        <v>398</v>
      </c>
      <c r="H78" s="2" t="s">
        <v>49</v>
      </c>
      <c r="I78" s="2" t="s">
        <v>87</v>
      </c>
      <c r="J78" s="5" t="s">
        <v>383</v>
      </c>
      <c r="K78" s="5" t="s">
        <v>384</v>
      </c>
      <c r="L78" s="5" t="s">
        <v>373</v>
      </c>
      <c r="M78" s="3">
        <f t="shared" si="10"/>
        <v>-7.4000000022351742E-3</v>
      </c>
      <c r="N78" s="3">
        <f t="shared" si="11"/>
        <v>-1.780000000144355E-2</v>
      </c>
      <c r="O78" s="3">
        <f t="shared" si="12"/>
        <v>6.6800000000000637E-2</v>
      </c>
      <c r="P78">
        <f t="shared" si="13"/>
        <v>5.4760000033080578E-5</v>
      </c>
      <c r="Q78">
        <f t="shared" si="14"/>
        <v>3.1684000005139041E-4</v>
      </c>
      <c r="R78">
        <f t="shared" si="15"/>
        <v>4.4622400000000851E-3</v>
      </c>
      <c r="S78">
        <f t="shared" si="16"/>
        <v>3.7160000008447098E-4</v>
      </c>
      <c r="T78">
        <f t="shared" si="17"/>
        <v>1.927692921822537E-2</v>
      </c>
    </row>
    <row r="79" spans="1:20" x14ac:dyDescent="0.3">
      <c r="A79" s="2" t="s">
        <v>1168</v>
      </c>
      <c r="B79" s="6" t="s">
        <v>400</v>
      </c>
      <c r="C79" s="2" t="s">
        <v>20</v>
      </c>
      <c r="D79" s="2" t="s">
        <v>30</v>
      </c>
      <c r="E79" s="3" t="s">
        <v>401</v>
      </c>
      <c r="F79" s="3" t="s">
        <v>402</v>
      </c>
      <c r="G79" s="3" t="s">
        <v>403</v>
      </c>
      <c r="J79" s="3">
        <v>428181.68839999998</v>
      </c>
      <c r="K79" s="3">
        <v>163393.6654</v>
      </c>
      <c r="L79" s="3">
        <v>46.6342</v>
      </c>
      <c r="M79" s="3">
        <f t="shared" si="10"/>
        <v>2.5000000023283064E-3</v>
      </c>
      <c r="N79" s="3">
        <f t="shared" si="11"/>
        <v>-1.5400000003864989E-2</v>
      </c>
      <c r="O79" s="3">
        <f t="shared" si="12"/>
        <v>4.7199999999996578E-2</v>
      </c>
      <c r="P79">
        <f t="shared" si="13"/>
        <v>6.2500000116415322E-6</v>
      </c>
      <c r="Q79">
        <f t="shared" si="14"/>
        <v>2.3716000011904164E-4</v>
      </c>
      <c r="R79">
        <f t="shared" si="15"/>
        <v>2.2278399999996769E-3</v>
      </c>
      <c r="S79">
        <f t="shared" si="16"/>
        <v>2.4341000013068317E-4</v>
      </c>
      <c r="T79">
        <f t="shared" si="17"/>
        <v>1.5601602485984675E-2</v>
      </c>
    </row>
    <row r="80" spans="1:20" x14ac:dyDescent="0.3">
      <c r="A80" s="2" t="s">
        <v>1168</v>
      </c>
      <c r="B80" s="6" t="s">
        <v>400</v>
      </c>
      <c r="C80" s="2" t="s">
        <v>20</v>
      </c>
      <c r="D80" s="2" t="s">
        <v>21</v>
      </c>
      <c r="E80" s="3" t="s">
        <v>404</v>
      </c>
      <c r="F80" s="3" t="s">
        <v>405</v>
      </c>
      <c r="G80" s="3" t="s">
        <v>406</v>
      </c>
      <c r="J80" s="3">
        <v>428181.68839999998</v>
      </c>
      <c r="K80" s="3">
        <v>163393.6654</v>
      </c>
      <c r="L80" s="3">
        <v>46.6342</v>
      </c>
      <c r="M80" s="3">
        <f t="shared" si="10"/>
        <v>6.6999999689869583E-3</v>
      </c>
      <c r="N80" s="3">
        <f t="shared" si="11"/>
        <v>-2.2100000001955777E-2</v>
      </c>
      <c r="O80" s="3">
        <f t="shared" si="12"/>
        <v>2.9200000000003001E-2</v>
      </c>
      <c r="P80">
        <f t="shared" si="13"/>
        <v>4.4889999584425238E-5</v>
      </c>
      <c r="Q80">
        <f t="shared" si="14"/>
        <v>4.8841000008644539E-4</v>
      </c>
      <c r="R80">
        <f t="shared" si="15"/>
        <v>8.5264000000017531E-4</v>
      </c>
      <c r="S80">
        <f t="shared" si="16"/>
        <v>5.332999996708706E-4</v>
      </c>
      <c r="T80">
        <f t="shared" si="17"/>
        <v>2.3093289061345737E-2</v>
      </c>
    </row>
    <row r="81" spans="1:20" x14ac:dyDescent="0.3">
      <c r="A81" s="2" t="s">
        <v>1168</v>
      </c>
      <c r="B81" s="6" t="s">
        <v>407</v>
      </c>
      <c r="C81" s="2" t="s">
        <v>20</v>
      </c>
      <c r="D81" s="2" t="s">
        <v>110</v>
      </c>
      <c r="E81" s="3" t="s">
        <v>408</v>
      </c>
      <c r="F81" s="3" t="s">
        <v>409</v>
      </c>
      <c r="G81" s="3" t="s">
        <v>410</v>
      </c>
      <c r="J81" s="3">
        <v>428181.68839999998</v>
      </c>
      <c r="K81" s="3">
        <v>163393.6654</v>
      </c>
      <c r="L81" s="3">
        <v>46.6342</v>
      </c>
      <c r="M81" s="3">
        <f t="shared" si="10"/>
        <v>4.299999971408397E-3</v>
      </c>
      <c r="N81" s="3">
        <f t="shared" si="11"/>
        <v>-2.5800000003073364E-2</v>
      </c>
      <c r="O81" s="3">
        <f t="shared" si="12"/>
        <v>4.5200000000001239E-2</v>
      </c>
      <c r="P81">
        <f t="shared" si="13"/>
        <v>1.8489999754112215E-5</v>
      </c>
      <c r="Q81">
        <f t="shared" si="14"/>
        <v>6.656400001585856E-4</v>
      </c>
      <c r="R81">
        <f t="shared" si="15"/>
        <v>2.0430400000001122E-3</v>
      </c>
      <c r="S81">
        <f t="shared" si="16"/>
        <v>6.8412999991269779E-4</v>
      </c>
      <c r="T81">
        <f t="shared" si="17"/>
        <v>2.615587887861346E-2</v>
      </c>
    </row>
    <row r="82" spans="1:20" x14ac:dyDescent="0.3">
      <c r="A82" s="2" t="s">
        <v>1168</v>
      </c>
      <c r="B82" s="6" t="s">
        <v>407</v>
      </c>
      <c r="C82" s="2" t="s">
        <v>20</v>
      </c>
      <c r="D82" s="2" t="s">
        <v>37</v>
      </c>
      <c r="E82" s="3" t="s">
        <v>411</v>
      </c>
      <c r="F82" s="3" t="s">
        <v>412</v>
      </c>
      <c r="G82" s="3" t="s">
        <v>413</v>
      </c>
      <c r="J82" s="3">
        <v>428181.68839999998</v>
      </c>
      <c r="K82" s="3">
        <v>163393.6654</v>
      </c>
      <c r="L82" s="3">
        <v>46.6342</v>
      </c>
      <c r="M82" s="3">
        <f t="shared" si="10"/>
        <v>1.2300000002142042E-2</v>
      </c>
      <c r="N82" s="3">
        <f t="shared" si="11"/>
        <v>-2.7200000011362135E-2</v>
      </c>
      <c r="O82" s="3">
        <f t="shared" si="12"/>
        <v>0.2511999999999972</v>
      </c>
      <c r="P82">
        <f t="shared" si="13"/>
        <v>1.5129000005269423E-4</v>
      </c>
      <c r="Q82">
        <f t="shared" si="14"/>
        <v>7.3984000061810015E-4</v>
      </c>
      <c r="R82">
        <f t="shared" si="15"/>
        <v>6.3101439999998593E-2</v>
      </c>
      <c r="S82">
        <f t="shared" si="16"/>
        <v>8.9113000067079433E-4</v>
      </c>
      <c r="T82">
        <f t="shared" si="17"/>
        <v>2.9851800626943668E-2</v>
      </c>
    </row>
    <row r="83" spans="1:20" x14ac:dyDescent="0.3">
      <c r="A83" s="2" t="s">
        <v>1168</v>
      </c>
      <c r="B83" s="6" t="s">
        <v>407</v>
      </c>
      <c r="C83" s="2" t="s">
        <v>20</v>
      </c>
      <c r="D83" s="2" t="s">
        <v>46</v>
      </c>
      <c r="E83" s="3" t="s">
        <v>414</v>
      </c>
      <c r="F83" s="3" t="s">
        <v>415</v>
      </c>
      <c r="G83" s="3" t="s">
        <v>416</v>
      </c>
      <c r="J83" s="3">
        <v>428181.68839999998</v>
      </c>
      <c r="K83" s="3">
        <v>163393.6654</v>
      </c>
      <c r="L83" s="3">
        <v>46.6342</v>
      </c>
      <c r="M83" s="3">
        <f t="shared" si="10"/>
        <v>1.9099999975878745E-2</v>
      </c>
      <c r="N83" s="3">
        <f t="shared" si="11"/>
        <v>-2.9700000013690442E-2</v>
      </c>
      <c r="O83" s="3">
        <f t="shared" si="12"/>
        <v>1.4200000000002433E-2</v>
      </c>
      <c r="P83">
        <f t="shared" si="13"/>
        <v>3.648099990785681E-4</v>
      </c>
      <c r="Q83">
        <f t="shared" si="14"/>
        <v>8.8209000081321222E-4</v>
      </c>
      <c r="R83">
        <f t="shared" si="15"/>
        <v>2.0164000000006909E-4</v>
      </c>
      <c r="S83">
        <f t="shared" si="16"/>
        <v>1.2468999998917804E-3</v>
      </c>
      <c r="T83">
        <f t="shared" si="17"/>
        <v>3.5311471222419781E-2</v>
      </c>
    </row>
    <row r="84" spans="1:20" x14ac:dyDescent="0.3">
      <c r="A84" s="2" t="s">
        <v>1168</v>
      </c>
      <c r="B84" s="6" t="s">
        <v>407</v>
      </c>
      <c r="C84" s="2" t="s">
        <v>51</v>
      </c>
      <c r="D84" s="2" t="s">
        <v>63</v>
      </c>
      <c r="E84" s="3" t="s">
        <v>404</v>
      </c>
      <c r="F84" s="3" t="s">
        <v>417</v>
      </c>
      <c r="G84" s="3" t="s">
        <v>418</v>
      </c>
      <c r="J84" s="3">
        <v>428181.68839999998</v>
      </c>
      <c r="K84" s="3">
        <v>163393.6654</v>
      </c>
      <c r="L84" s="3">
        <v>46.6342</v>
      </c>
      <c r="M84" s="3">
        <f t="shared" si="10"/>
        <v>6.6999999689869583E-3</v>
      </c>
      <c r="N84" s="3">
        <f t="shared" si="11"/>
        <v>-6.4999999885912985E-3</v>
      </c>
      <c r="O84" s="3">
        <f t="shared" si="12"/>
        <v>5.3199999999996805E-2</v>
      </c>
      <c r="P84">
        <f t="shared" si="13"/>
        <v>4.4889999584425238E-5</v>
      </c>
      <c r="Q84">
        <f t="shared" si="14"/>
        <v>4.2249999851686879E-5</v>
      </c>
      <c r="R84">
        <f t="shared" si="15"/>
        <v>2.8302399999996599E-3</v>
      </c>
      <c r="S84">
        <f t="shared" si="16"/>
        <v>8.7139999436112124E-5</v>
      </c>
      <c r="T84">
        <f t="shared" si="17"/>
        <v>9.3348807938886998E-3</v>
      </c>
    </row>
    <row r="85" spans="1:20" x14ac:dyDescent="0.3">
      <c r="A85" s="2" t="s">
        <v>1168</v>
      </c>
      <c r="B85" s="6" t="s">
        <v>407</v>
      </c>
      <c r="C85" s="2" t="s">
        <v>51</v>
      </c>
      <c r="D85" s="2" t="s">
        <v>52</v>
      </c>
      <c r="E85" s="3" t="s">
        <v>419</v>
      </c>
      <c r="F85" s="3" t="s">
        <v>420</v>
      </c>
      <c r="G85" s="3" t="s">
        <v>421</v>
      </c>
      <c r="J85" s="3">
        <v>428181.68839999998</v>
      </c>
      <c r="K85" s="3">
        <v>163393.6654</v>
      </c>
      <c r="L85" s="3">
        <v>46.6342</v>
      </c>
      <c r="M85" s="3">
        <f t="shared" si="10"/>
        <v>1.3399999996181577E-2</v>
      </c>
      <c r="N85" s="3">
        <f t="shared" si="11"/>
        <v>-1.4300000009825453E-2</v>
      </c>
      <c r="O85" s="3">
        <f t="shared" si="12"/>
        <v>0.12019999999999698</v>
      </c>
      <c r="P85">
        <f t="shared" si="13"/>
        <v>1.7955999989766627E-4</v>
      </c>
      <c r="Q85">
        <f t="shared" si="14"/>
        <v>2.0449000028100795E-4</v>
      </c>
      <c r="R85">
        <f t="shared" si="15"/>
        <v>1.4448039999999274E-2</v>
      </c>
      <c r="S85">
        <f t="shared" si="16"/>
        <v>3.8405000017867423E-4</v>
      </c>
      <c r="T85">
        <f t="shared" si="17"/>
        <v>1.9597193681205334E-2</v>
      </c>
    </row>
    <row r="86" spans="1:20" x14ac:dyDescent="0.3">
      <c r="A86" s="2" t="s">
        <v>1168</v>
      </c>
      <c r="B86" s="6" t="s">
        <v>407</v>
      </c>
      <c r="C86" s="2" t="s">
        <v>422</v>
      </c>
      <c r="D86" s="2" t="s">
        <v>423</v>
      </c>
      <c r="E86" s="3" t="s">
        <v>424</v>
      </c>
      <c r="F86" s="3" t="s">
        <v>425</v>
      </c>
      <c r="G86" s="3" t="s">
        <v>426</v>
      </c>
      <c r="J86" s="3">
        <v>428181.68839999998</v>
      </c>
      <c r="K86" s="3">
        <v>163393.6654</v>
      </c>
      <c r="L86" s="3">
        <v>46.6342</v>
      </c>
      <c r="M86" s="3">
        <f t="shared" si="10"/>
        <v>1.2799999967683107E-2</v>
      </c>
      <c r="N86" s="3">
        <f t="shared" si="11"/>
        <v>-5.0000000046566129E-3</v>
      </c>
      <c r="O86" s="3">
        <f t="shared" si="12"/>
        <v>1.1200000000002319E-2</v>
      </c>
      <c r="P86">
        <f t="shared" si="13"/>
        <v>1.6383999917268753E-4</v>
      </c>
      <c r="Q86">
        <f t="shared" si="14"/>
        <v>2.5000000046566129E-5</v>
      </c>
      <c r="R86">
        <f t="shared" si="15"/>
        <v>1.2544000000005195E-4</v>
      </c>
      <c r="S86">
        <f t="shared" si="16"/>
        <v>1.8883999921925367E-4</v>
      </c>
      <c r="T86">
        <f t="shared" si="17"/>
        <v>1.3741906680634011E-2</v>
      </c>
    </row>
    <row r="87" spans="1:20" x14ac:dyDescent="0.3">
      <c r="A87" s="2" t="s">
        <v>1168</v>
      </c>
      <c r="B87" s="6" t="s">
        <v>407</v>
      </c>
      <c r="C87" s="2" t="s">
        <v>51</v>
      </c>
      <c r="D87" s="2" t="s">
        <v>30</v>
      </c>
      <c r="E87" s="3" t="s">
        <v>427</v>
      </c>
      <c r="F87" s="3" t="s">
        <v>428</v>
      </c>
      <c r="G87" s="3" t="s">
        <v>429</v>
      </c>
      <c r="J87" s="3">
        <v>428181.68839999998</v>
      </c>
      <c r="K87" s="3">
        <v>163393.6654</v>
      </c>
      <c r="L87" s="3">
        <v>46.6342</v>
      </c>
      <c r="M87" s="3">
        <f t="shared" si="10"/>
        <v>1.5099999960511923E-2</v>
      </c>
      <c r="N87" s="3">
        <f t="shared" si="11"/>
        <v>-1.1599999997997656E-2</v>
      </c>
      <c r="O87" s="3">
        <f t="shared" si="12"/>
        <v>0.11820000000000164</v>
      </c>
      <c r="P87">
        <f t="shared" si="13"/>
        <v>2.2800999880746007E-4</v>
      </c>
      <c r="Q87">
        <f t="shared" si="14"/>
        <v>1.3455999995354564E-4</v>
      </c>
      <c r="R87">
        <f t="shared" si="15"/>
        <v>1.3971240000000386E-2</v>
      </c>
      <c r="S87">
        <f t="shared" si="16"/>
        <v>3.6256999876100573E-4</v>
      </c>
      <c r="T87">
        <f t="shared" si="17"/>
        <v>1.9041270933448894E-2</v>
      </c>
    </row>
    <row r="88" spans="1:20" x14ac:dyDescent="0.3">
      <c r="A88" s="2" t="s">
        <v>1168</v>
      </c>
      <c r="B88" s="6" t="s">
        <v>430</v>
      </c>
      <c r="C88" s="2" t="s">
        <v>20</v>
      </c>
      <c r="D88" s="2" t="s">
        <v>30</v>
      </c>
      <c r="E88" s="3" t="s">
        <v>431</v>
      </c>
      <c r="F88" s="3" t="s">
        <v>432</v>
      </c>
      <c r="G88" s="3" t="s">
        <v>433</v>
      </c>
      <c r="J88" s="2" t="s">
        <v>434</v>
      </c>
      <c r="K88" s="2" t="s">
        <v>435</v>
      </c>
      <c r="L88" s="2" t="s">
        <v>436</v>
      </c>
      <c r="M88" s="3">
        <f t="shared" si="10"/>
        <v>-1.3200000044889748E-2</v>
      </c>
      <c r="N88" s="3">
        <f t="shared" si="11"/>
        <v>-7.4000000022351742E-3</v>
      </c>
      <c r="O88" s="3">
        <f t="shared" si="12"/>
        <v>4.970000000000141E-2</v>
      </c>
      <c r="P88">
        <f t="shared" si="13"/>
        <v>1.7424000118508934E-4</v>
      </c>
      <c r="Q88">
        <f t="shared" si="14"/>
        <v>5.4760000033080578E-5</v>
      </c>
      <c r="R88">
        <f t="shared" si="15"/>
        <v>2.47009000000014E-3</v>
      </c>
      <c r="S88">
        <f t="shared" si="16"/>
        <v>2.2900000121816992E-4</v>
      </c>
      <c r="T88">
        <f t="shared" si="17"/>
        <v>1.5132745990671022E-2</v>
      </c>
    </row>
    <row r="89" spans="1:20" x14ac:dyDescent="0.3">
      <c r="A89" s="2" t="s">
        <v>1168</v>
      </c>
      <c r="B89" s="6" t="s">
        <v>430</v>
      </c>
      <c r="C89" s="2" t="s">
        <v>20</v>
      </c>
      <c r="D89" s="2" t="s">
        <v>21</v>
      </c>
      <c r="E89" s="3" t="s">
        <v>437</v>
      </c>
      <c r="F89" s="3" t="s">
        <v>438</v>
      </c>
      <c r="G89" s="3" t="s">
        <v>439</v>
      </c>
      <c r="J89" s="2" t="s">
        <v>434</v>
      </c>
      <c r="K89" s="2" t="s">
        <v>435</v>
      </c>
      <c r="L89" s="2" t="s">
        <v>436</v>
      </c>
      <c r="M89" s="3">
        <f t="shared" si="10"/>
        <v>-1.3800000015180558E-2</v>
      </c>
      <c r="N89" s="3">
        <f t="shared" si="11"/>
        <v>-1.0500000003958121E-2</v>
      </c>
      <c r="O89" s="3">
        <f t="shared" si="12"/>
        <v>6.2699999999999534E-2</v>
      </c>
      <c r="P89">
        <f t="shared" si="13"/>
        <v>1.904400004189834E-4</v>
      </c>
      <c r="Q89">
        <f t="shared" si="14"/>
        <v>1.1025000008312055E-4</v>
      </c>
      <c r="R89">
        <f t="shared" si="15"/>
        <v>3.9312899999999415E-3</v>
      </c>
      <c r="S89">
        <f t="shared" si="16"/>
        <v>3.0069000050210394E-4</v>
      </c>
      <c r="T89">
        <f t="shared" si="17"/>
        <v>1.7340415234419964E-2</v>
      </c>
    </row>
    <row r="90" spans="1:20" x14ac:dyDescent="0.3">
      <c r="A90" s="2" t="s">
        <v>1168</v>
      </c>
      <c r="B90" s="6" t="s">
        <v>440</v>
      </c>
      <c r="C90" s="2" t="s">
        <v>20</v>
      </c>
      <c r="D90" s="2" t="s">
        <v>110</v>
      </c>
      <c r="E90" s="3" t="s">
        <v>441</v>
      </c>
      <c r="F90" s="3" t="s">
        <v>442</v>
      </c>
      <c r="G90" s="3">
        <v>37.149000000000001</v>
      </c>
      <c r="J90" s="2" t="s">
        <v>434</v>
      </c>
      <c r="K90" s="2" t="s">
        <v>435</v>
      </c>
      <c r="L90" s="2" t="s">
        <v>436</v>
      </c>
      <c r="M90" s="3">
        <f t="shared" si="10"/>
        <v>-1.700000005075708E-2</v>
      </c>
      <c r="N90" s="3">
        <f t="shared" si="11"/>
        <v>-9.9999999802093953E-3</v>
      </c>
      <c r="O90" s="3">
        <f t="shared" si="12"/>
        <v>5.969999999999942E-2</v>
      </c>
      <c r="P90">
        <f t="shared" si="13"/>
        <v>2.8900000172574073E-4</v>
      </c>
      <c r="Q90">
        <f t="shared" si="14"/>
        <v>9.9999999604187905E-5</v>
      </c>
      <c r="R90">
        <f t="shared" si="15"/>
        <v>3.5640899999999308E-3</v>
      </c>
      <c r="S90">
        <f t="shared" si="16"/>
        <v>3.8900000132992865E-4</v>
      </c>
      <c r="T90">
        <f t="shared" si="17"/>
        <v>1.9723082957031051E-2</v>
      </c>
    </row>
    <row r="91" spans="1:20" x14ac:dyDescent="0.3">
      <c r="A91" s="2" t="s">
        <v>1168</v>
      </c>
      <c r="B91" s="6" t="s">
        <v>440</v>
      </c>
      <c r="C91" s="2" t="s">
        <v>20</v>
      </c>
      <c r="D91" s="2" t="s">
        <v>37</v>
      </c>
      <c r="E91" s="3" t="s">
        <v>443</v>
      </c>
      <c r="F91" s="3" t="s">
        <v>444</v>
      </c>
      <c r="G91" s="3" t="s">
        <v>445</v>
      </c>
      <c r="J91" s="2" t="s">
        <v>434</v>
      </c>
      <c r="K91" s="2" t="s">
        <v>435</v>
      </c>
      <c r="L91" s="2" t="s">
        <v>436</v>
      </c>
      <c r="M91" s="3">
        <f t="shared" si="10"/>
        <v>-1.4900000009220093E-2</v>
      </c>
      <c r="N91" s="3">
        <f t="shared" si="11"/>
        <v>-1.3000000006286427E-2</v>
      </c>
      <c r="O91" s="3">
        <f t="shared" si="12"/>
        <v>3.0700000000003058E-2</v>
      </c>
      <c r="P91">
        <f t="shared" si="13"/>
        <v>2.2201000027475878E-4</v>
      </c>
      <c r="Q91">
        <f t="shared" si="14"/>
        <v>1.6900000016344712E-4</v>
      </c>
      <c r="R91">
        <f t="shared" si="15"/>
        <v>9.4249000000018782E-4</v>
      </c>
      <c r="S91">
        <f t="shared" si="16"/>
        <v>3.9101000043820591E-4</v>
      </c>
      <c r="T91">
        <f t="shared" si="17"/>
        <v>1.9773972803617534E-2</v>
      </c>
    </row>
    <row r="92" spans="1:20" x14ac:dyDescent="0.3">
      <c r="A92" s="2" t="s">
        <v>1168</v>
      </c>
      <c r="B92" s="6" t="s">
        <v>440</v>
      </c>
      <c r="C92" s="2" t="s">
        <v>20</v>
      </c>
      <c r="D92" s="2" t="s">
        <v>46</v>
      </c>
      <c r="E92" s="3" t="s">
        <v>446</v>
      </c>
      <c r="F92" s="3" t="s">
        <v>447</v>
      </c>
      <c r="G92" s="3" t="s">
        <v>448</v>
      </c>
      <c r="J92" s="2" t="s">
        <v>434</v>
      </c>
      <c r="K92" s="2" t="s">
        <v>435</v>
      </c>
      <c r="L92" s="2" t="s">
        <v>436</v>
      </c>
      <c r="M92" s="3">
        <f t="shared" si="10"/>
        <v>-1.7900000035297126E-2</v>
      </c>
      <c r="N92" s="3">
        <f t="shared" si="11"/>
        <v>-9.2000000004190952E-3</v>
      </c>
      <c r="O92" s="3">
        <f t="shared" si="12"/>
        <v>2.8700000000000614E-2</v>
      </c>
      <c r="P92">
        <f t="shared" si="13"/>
        <v>3.2041000126363712E-4</v>
      </c>
      <c r="Q92">
        <f t="shared" si="14"/>
        <v>8.464000000771135E-5</v>
      </c>
      <c r="R92">
        <f t="shared" si="15"/>
        <v>8.2369000000003521E-4</v>
      </c>
      <c r="S92">
        <f t="shared" si="16"/>
        <v>4.0505000127134848E-4</v>
      </c>
      <c r="T92">
        <f t="shared" si="17"/>
        <v>2.0125854050731574E-2</v>
      </c>
    </row>
    <row r="93" spans="1:20" x14ac:dyDescent="0.3">
      <c r="A93" s="2" t="s">
        <v>1168</v>
      </c>
      <c r="B93" s="6" t="s">
        <v>440</v>
      </c>
      <c r="C93" s="2" t="s">
        <v>51</v>
      </c>
      <c r="D93" s="2" t="s">
        <v>63</v>
      </c>
      <c r="E93" s="3" t="s">
        <v>449</v>
      </c>
      <c r="F93" s="3" t="s">
        <v>450</v>
      </c>
      <c r="G93" s="3" t="s">
        <v>451</v>
      </c>
      <c r="J93" s="2" t="s">
        <v>434</v>
      </c>
      <c r="K93" s="2" t="s">
        <v>435</v>
      </c>
      <c r="L93" s="2" t="s">
        <v>436</v>
      </c>
      <c r="M93" s="3">
        <f t="shared" si="10"/>
        <v>-2.2400000016205013E-2</v>
      </c>
      <c r="N93" s="3">
        <f t="shared" si="11"/>
        <v>6.1199999996460974E-2</v>
      </c>
      <c r="O93" s="3">
        <f t="shared" si="12"/>
        <v>0.1366999999999976</v>
      </c>
      <c r="P93">
        <f t="shared" si="13"/>
        <v>5.0176000072598456E-4</v>
      </c>
      <c r="Q93">
        <f t="shared" si="14"/>
        <v>3.7454399995668231E-3</v>
      </c>
      <c r="R93">
        <f t="shared" si="15"/>
        <v>1.8686889999999345E-2</v>
      </c>
      <c r="S93">
        <f t="shared" si="16"/>
        <v>4.2472000002928079E-3</v>
      </c>
      <c r="T93">
        <f t="shared" si="17"/>
        <v>6.5170545496357535E-2</v>
      </c>
    </row>
    <row r="94" spans="1:20" x14ac:dyDescent="0.3">
      <c r="A94" s="2" t="s">
        <v>1168</v>
      </c>
      <c r="B94" s="6" t="s">
        <v>440</v>
      </c>
      <c r="C94" s="2" t="s">
        <v>51</v>
      </c>
      <c r="D94" s="2" t="s">
        <v>30</v>
      </c>
      <c r="E94" s="3" t="s">
        <v>452</v>
      </c>
      <c r="F94" s="3" t="s">
        <v>453</v>
      </c>
      <c r="G94" s="3" t="s">
        <v>454</v>
      </c>
      <c r="J94" s="2" t="s">
        <v>434</v>
      </c>
      <c r="K94" s="2" t="s">
        <v>435</v>
      </c>
      <c r="L94" s="2" t="s">
        <v>436</v>
      </c>
      <c r="M94" s="3">
        <f t="shared" si="10"/>
        <v>-1.8000000040046871E-2</v>
      </c>
      <c r="N94" s="3">
        <f t="shared" si="11"/>
        <v>-8.2999999867752194E-3</v>
      </c>
      <c r="O94" s="3">
        <f t="shared" si="12"/>
        <v>4.6999999999997044E-3</v>
      </c>
      <c r="P94">
        <f t="shared" si="13"/>
        <v>3.2400000144168733E-4</v>
      </c>
      <c r="Q94">
        <f t="shared" si="14"/>
        <v>6.8889999780468643E-5</v>
      </c>
      <c r="R94">
        <f t="shared" si="15"/>
        <v>2.2089999999997222E-5</v>
      </c>
      <c r="S94">
        <f t="shared" si="16"/>
        <v>3.9289000122215596E-4</v>
      </c>
      <c r="T94">
        <f t="shared" si="17"/>
        <v>1.9821453055267061E-2</v>
      </c>
    </row>
    <row r="95" spans="1:20" x14ac:dyDescent="0.3">
      <c r="A95" s="2" t="s">
        <v>1168</v>
      </c>
      <c r="B95" s="6" t="s">
        <v>440</v>
      </c>
      <c r="C95" s="2" t="s">
        <v>51</v>
      </c>
      <c r="D95" s="2" t="s">
        <v>52</v>
      </c>
      <c r="E95" s="3" t="s">
        <v>455</v>
      </c>
      <c r="F95" s="3" t="s">
        <v>456</v>
      </c>
      <c r="G95" s="3" t="s">
        <v>457</v>
      </c>
      <c r="J95" s="2" t="s">
        <v>434</v>
      </c>
      <c r="K95" s="2" t="s">
        <v>435</v>
      </c>
      <c r="L95" s="2" t="s">
        <v>436</v>
      </c>
      <c r="M95" s="3">
        <f t="shared" si="10"/>
        <v>-1.6300000017508864E-2</v>
      </c>
      <c r="N95" s="3">
        <f t="shared" si="11"/>
        <v>-1.3399999996181577E-2</v>
      </c>
      <c r="O95" s="3">
        <f t="shared" si="12"/>
        <v>1.4699999999997715E-2</v>
      </c>
      <c r="P95">
        <f t="shared" si="13"/>
        <v>2.6569000057078898E-4</v>
      </c>
      <c r="Q95">
        <f t="shared" si="14"/>
        <v>1.7955999989766627E-4</v>
      </c>
      <c r="R95">
        <f t="shared" si="15"/>
        <v>2.1608999999993281E-4</v>
      </c>
      <c r="S95">
        <f t="shared" si="16"/>
        <v>4.4525000046845525E-4</v>
      </c>
      <c r="T95">
        <f t="shared" si="17"/>
        <v>2.1100947857109531E-2</v>
      </c>
    </row>
    <row r="96" spans="1:20" x14ac:dyDescent="0.3">
      <c r="A96" s="2" t="s">
        <v>1168</v>
      </c>
      <c r="B96" s="6" t="s">
        <v>440</v>
      </c>
      <c r="C96" s="2" t="s">
        <v>422</v>
      </c>
      <c r="D96" s="2" t="s">
        <v>423</v>
      </c>
      <c r="E96" s="3" t="s">
        <v>458</v>
      </c>
      <c r="F96" s="3" t="s">
        <v>459</v>
      </c>
      <c r="G96" s="3" t="s">
        <v>460</v>
      </c>
      <c r="J96" s="2" t="s">
        <v>434</v>
      </c>
      <c r="K96" s="2" t="s">
        <v>435</v>
      </c>
      <c r="L96" s="2" t="s">
        <v>436</v>
      </c>
      <c r="M96" s="3">
        <f t="shared" si="10"/>
        <v>3.1999999773688614E-3</v>
      </c>
      <c r="N96" s="3">
        <f t="shared" si="11"/>
        <v>-4.1399999987334013E-2</v>
      </c>
      <c r="O96" s="3">
        <f t="shared" si="12"/>
        <v>0.1203000000000003</v>
      </c>
      <c r="P96">
        <f t="shared" si="13"/>
        <v>1.0239999855160714E-5</v>
      </c>
      <c r="Q96">
        <f t="shared" si="14"/>
        <v>1.7139599989512563E-3</v>
      </c>
      <c r="R96">
        <f t="shared" si="15"/>
        <v>1.4472090000000071E-2</v>
      </c>
      <c r="S96">
        <f t="shared" si="16"/>
        <v>1.724199998806417E-3</v>
      </c>
      <c r="T96">
        <f t="shared" si="17"/>
        <v>4.1523487315089723E-2</v>
      </c>
    </row>
    <row r="97" spans="1:20" x14ac:dyDescent="0.3">
      <c r="A97" s="2" t="s">
        <v>1168</v>
      </c>
      <c r="B97" s="6" t="s">
        <v>461</v>
      </c>
      <c r="C97" s="2" t="s">
        <v>20</v>
      </c>
      <c r="D97" s="2" t="s">
        <v>30</v>
      </c>
      <c r="E97" s="3" t="s">
        <v>462</v>
      </c>
      <c r="F97" s="3" t="s">
        <v>463</v>
      </c>
      <c r="G97" s="3" t="s">
        <v>464</v>
      </c>
      <c r="J97" s="7">
        <v>344945.9338</v>
      </c>
      <c r="K97" s="7">
        <v>180876.34109999999</v>
      </c>
      <c r="L97" s="7">
        <v>42.471899999999998</v>
      </c>
      <c r="M97" s="3">
        <f t="shared" si="10"/>
        <v>2.9900000023189932E-2</v>
      </c>
      <c r="N97" s="3">
        <f t="shared" si="11"/>
        <v>-5.6000000040512532E-3</v>
      </c>
      <c r="O97" s="3">
        <f t="shared" si="12"/>
        <v>2.8900000000000148E-2</v>
      </c>
      <c r="P97">
        <f t="shared" si="13"/>
        <v>8.9401000138675799E-4</v>
      </c>
      <c r="Q97">
        <f t="shared" si="14"/>
        <v>3.1360000045374035E-5</v>
      </c>
      <c r="R97">
        <f t="shared" si="15"/>
        <v>8.3521000000000853E-4</v>
      </c>
      <c r="S97">
        <f t="shared" si="16"/>
        <v>9.2537000143213199E-4</v>
      </c>
      <c r="T97">
        <f t="shared" si="17"/>
        <v>3.0419894829406165E-2</v>
      </c>
    </row>
    <row r="98" spans="1:20" x14ac:dyDescent="0.3">
      <c r="A98" s="2" t="s">
        <v>1168</v>
      </c>
      <c r="B98" s="6" t="s">
        <v>461</v>
      </c>
      <c r="C98" s="2" t="s">
        <v>20</v>
      </c>
      <c r="D98" s="2" t="s">
        <v>21</v>
      </c>
      <c r="E98" s="3" t="s">
        <v>465</v>
      </c>
      <c r="F98" s="3" t="s">
        <v>466</v>
      </c>
      <c r="G98" s="3" t="s">
        <v>467</v>
      </c>
      <c r="J98" s="7">
        <v>344945.9338</v>
      </c>
      <c r="K98" s="7">
        <v>180876.34109999999</v>
      </c>
      <c r="L98" s="7">
        <v>42.471899999999998</v>
      </c>
      <c r="M98" s="3">
        <f t="shared" si="10"/>
        <v>2.4199999985285103E-2</v>
      </c>
      <c r="N98" s="3">
        <f t="shared" si="11"/>
        <v>-1.500000013038516E-3</v>
      </c>
      <c r="O98" s="3">
        <f t="shared" si="12"/>
        <v>3.2899999999997931E-2</v>
      </c>
      <c r="P98">
        <f t="shared" si="13"/>
        <v>5.8563999928779899E-4</v>
      </c>
      <c r="Q98">
        <f t="shared" si="14"/>
        <v>2.2500000391155483E-6</v>
      </c>
      <c r="R98">
        <f t="shared" si="15"/>
        <v>1.0824099999998638E-3</v>
      </c>
      <c r="S98">
        <f t="shared" si="16"/>
        <v>5.8788999932691448E-4</v>
      </c>
      <c r="T98">
        <f t="shared" si="17"/>
        <v>2.424644302422346E-2</v>
      </c>
    </row>
    <row r="99" spans="1:20" x14ac:dyDescent="0.3">
      <c r="A99" s="2" t="s">
        <v>1168</v>
      </c>
      <c r="B99" s="6" t="s">
        <v>461</v>
      </c>
      <c r="C99" s="2" t="s">
        <v>20</v>
      </c>
      <c r="D99" s="2" t="s">
        <v>110</v>
      </c>
      <c r="E99" s="3" t="s">
        <v>468</v>
      </c>
      <c r="F99" s="3" t="s">
        <v>469</v>
      </c>
      <c r="G99" s="3" t="s">
        <v>470</v>
      </c>
      <c r="J99" s="7">
        <v>344945.9338</v>
      </c>
      <c r="K99" s="7">
        <v>180876.34109999999</v>
      </c>
      <c r="L99" s="7">
        <v>42.471899999999998</v>
      </c>
      <c r="M99" s="3">
        <f t="shared" si="10"/>
        <v>2.0499999984167516E-2</v>
      </c>
      <c r="N99" s="3">
        <f t="shared" si="11"/>
        <v>4.3999999761581421E-3</v>
      </c>
      <c r="O99" s="3">
        <f t="shared" si="12"/>
        <v>3.4900000000000375E-2</v>
      </c>
      <c r="P99">
        <f t="shared" si="13"/>
        <v>4.2024999935086815E-4</v>
      </c>
      <c r="Q99">
        <f t="shared" si="14"/>
        <v>1.9359999790191651E-5</v>
      </c>
      <c r="R99">
        <f t="shared" si="15"/>
        <v>1.2180100000000263E-3</v>
      </c>
      <c r="S99">
        <f t="shared" si="16"/>
        <v>4.396099991410598E-4</v>
      </c>
      <c r="T99">
        <f t="shared" si="17"/>
        <v>2.0966878621794419E-2</v>
      </c>
    </row>
    <row r="100" spans="1:20" x14ac:dyDescent="0.3">
      <c r="A100" s="2" t="s">
        <v>1168</v>
      </c>
      <c r="B100" s="6" t="s">
        <v>461</v>
      </c>
      <c r="C100" s="2" t="s">
        <v>20</v>
      </c>
      <c r="D100" s="2" t="s">
        <v>37</v>
      </c>
      <c r="E100" s="3" t="s">
        <v>471</v>
      </c>
      <c r="F100" s="3" t="s">
        <v>472</v>
      </c>
      <c r="G100" s="3" t="s">
        <v>473</v>
      </c>
      <c r="J100" s="7">
        <v>344945.9338</v>
      </c>
      <c r="K100" s="7">
        <v>180876.34109999999</v>
      </c>
      <c r="L100" s="7">
        <v>42.471899999999998</v>
      </c>
      <c r="M100" s="3">
        <f t="shared" si="10"/>
        <v>1.9499999994877726E-2</v>
      </c>
      <c r="N100" s="3">
        <f t="shared" si="11"/>
        <v>1.0999999940395355E-3</v>
      </c>
      <c r="O100" s="3">
        <f t="shared" si="12"/>
        <v>1.0000000000331966E-4</v>
      </c>
      <c r="P100">
        <f t="shared" si="13"/>
        <v>3.802499998002313E-4</v>
      </c>
      <c r="Q100">
        <f t="shared" si="14"/>
        <v>1.2099999868869782E-6</v>
      </c>
      <c r="R100">
        <f t="shared" si="15"/>
        <v>1.0000000000663932E-8</v>
      </c>
      <c r="S100">
        <f t="shared" si="16"/>
        <v>3.8145999978711828E-4</v>
      </c>
      <c r="T100">
        <f t="shared" si="17"/>
        <v>1.9531000992962913E-2</v>
      </c>
    </row>
    <row r="101" spans="1:20" x14ac:dyDescent="0.3">
      <c r="A101" s="2" t="s">
        <v>1168</v>
      </c>
      <c r="B101" s="6" t="s">
        <v>461</v>
      </c>
      <c r="C101" s="2" t="s">
        <v>20</v>
      </c>
      <c r="D101" s="2" t="s">
        <v>46</v>
      </c>
      <c r="E101" s="3" t="s">
        <v>474</v>
      </c>
      <c r="F101" s="3" t="s">
        <v>475</v>
      </c>
      <c r="G101" s="3" t="s">
        <v>476</v>
      </c>
      <c r="J101" s="7">
        <v>344945.9338</v>
      </c>
      <c r="K101" s="7">
        <v>180876.34109999999</v>
      </c>
      <c r="L101" s="7">
        <v>42.471899999999998</v>
      </c>
      <c r="M101" s="3">
        <f t="shared" si="10"/>
        <v>4.7999999951571226E-3</v>
      </c>
      <c r="N101" s="3">
        <f t="shared" si="11"/>
        <v>4.999999946448952E-4</v>
      </c>
      <c r="O101" s="3">
        <f t="shared" si="12"/>
        <v>4.690000000000083E-2</v>
      </c>
      <c r="P101">
        <f t="shared" si="13"/>
        <v>2.3039999953508377E-5</v>
      </c>
      <c r="Q101">
        <f t="shared" si="14"/>
        <v>2.4999999464489522E-7</v>
      </c>
      <c r="R101">
        <f t="shared" si="15"/>
        <v>2.1996100000000779E-3</v>
      </c>
      <c r="S101">
        <f t="shared" si="16"/>
        <v>2.3289999948153271E-5</v>
      </c>
      <c r="T101">
        <f t="shared" si="17"/>
        <v>4.8259713994338246E-3</v>
      </c>
    </row>
    <row r="102" spans="1:20" x14ac:dyDescent="0.3">
      <c r="A102" s="2" t="s">
        <v>1168</v>
      </c>
      <c r="B102" s="6" t="s">
        <v>461</v>
      </c>
      <c r="C102" s="2" t="s">
        <v>51</v>
      </c>
      <c r="D102" s="2" t="s">
        <v>30</v>
      </c>
      <c r="E102" s="3" t="s">
        <v>477</v>
      </c>
      <c r="F102" s="3" t="s">
        <v>478</v>
      </c>
      <c r="G102" s="3" t="s">
        <v>479</v>
      </c>
      <c r="J102" s="7">
        <v>344945.9338</v>
      </c>
      <c r="K102" s="7">
        <v>180876.34109999999</v>
      </c>
      <c r="L102" s="7">
        <v>42.471899999999998</v>
      </c>
      <c r="M102" s="3">
        <f t="shared" si="10"/>
        <v>-6.2000000034458935E-3</v>
      </c>
      <c r="N102" s="3">
        <f t="shared" si="11"/>
        <v>-1.2000000016996637E-2</v>
      </c>
      <c r="O102" s="3">
        <f t="shared" si="12"/>
        <v>0.22090000000000032</v>
      </c>
      <c r="P102">
        <f t="shared" si="13"/>
        <v>3.8440000042729076E-5</v>
      </c>
      <c r="Q102">
        <f t="shared" si="14"/>
        <v>1.4400000040791928E-4</v>
      </c>
      <c r="R102">
        <f t="shared" si="15"/>
        <v>4.8796810000000142E-2</v>
      </c>
      <c r="S102">
        <f t="shared" si="16"/>
        <v>1.8244000045064836E-4</v>
      </c>
      <c r="T102">
        <f t="shared" si="17"/>
        <v>1.3507035220604422E-2</v>
      </c>
    </row>
    <row r="103" spans="1:20" x14ac:dyDescent="0.3">
      <c r="A103" s="2" t="s">
        <v>1168</v>
      </c>
      <c r="B103" s="6" t="s">
        <v>461</v>
      </c>
      <c r="C103" s="2" t="s">
        <v>51</v>
      </c>
      <c r="D103" s="2" t="s">
        <v>52</v>
      </c>
      <c r="E103" s="3" t="s">
        <v>480</v>
      </c>
      <c r="F103" s="3" t="s">
        <v>481</v>
      </c>
      <c r="G103" s="3" t="s">
        <v>482</v>
      </c>
      <c r="J103" s="7">
        <v>344945.9338</v>
      </c>
      <c r="K103" s="7">
        <v>180876.34109999999</v>
      </c>
      <c r="L103" s="7">
        <v>42.471899999999998</v>
      </c>
      <c r="M103" s="3">
        <f t="shared" si="10"/>
        <v>-3.2999999821186066E-3</v>
      </c>
      <c r="N103" s="3">
        <f t="shared" si="11"/>
        <v>-2.1200000017415732E-2</v>
      </c>
      <c r="O103" s="3">
        <f t="shared" si="12"/>
        <v>0.231899999999996</v>
      </c>
      <c r="P103">
        <f t="shared" si="13"/>
        <v>1.0889999881982804E-5</v>
      </c>
      <c r="Q103">
        <f t="shared" si="14"/>
        <v>4.4944000073842707E-4</v>
      </c>
      <c r="R103">
        <f t="shared" si="15"/>
        <v>5.3777609999998144E-2</v>
      </c>
      <c r="S103">
        <f t="shared" si="16"/>
        <v>4.6033000062040987E-4</v>
      </c>
      <c r="T103">
        <f t="shared" si="17"/>
        <v>2.1455302389395723E-2</v>
      </c>
    </row>
    <row r="104" spans="1:20" x14ac:dyDescent="0.3">
      <c r="A104" s="2" t="s">
        <v>1168</v>
      </c>
      <c r="B104" s="6" t="s">
        <v>461</v>
      </c>
      <c r="C104" s="2" t="s">
        <v>422</v>
      </c>
      <c r="D104" s="2" t="s">
        <v>423</v>
      </c>
      <c r="E104" s="3" t="s">
        <v>483</v>
      </c>
      <c r="F104" s="3" t="s">
        <v>484</v>
      </c>
      <c r="G104" s="3" t="s">
        <v>485</v>
      </c>
      <c r="J104" s="7">
        <v>344945.9338</v>
      </c>
      <c r="K104" s="7">
        <v>180876.34109999999</v>
      </c>
      <c r="L104" s="7">
        <v>42.471899999999998</v>
      </c>
      <c r="M104" s="3">
        <f t="shared" si="10"/>
        <v>-4.1000000201165676E-3</v>
      </c>
      <c r="N104" s="3">
        <f t="shared" si="11"/>
        <v>1.9100000004982576E-2</v>
      </c>
      <c r="O104" s="3">
        <f t="shared" si="12"/>
        <v>4.5899999999996055E-2</v>
      </c>
      <c r="P104">
        <f t="shared" si="13"/>
        <v>1.6810000164955855E-5</v>
      </c>
      <c r="Q104">
        <f t="shared" si="14"/>
        <v>3.6481000019033437E-4</v>
      </c>
      <c r="R104">
        <f t="shared" si="15"/>
        <v>2.1068099999996381E-3</v>
      </c>
      <c r="S104">
        <f t="shared" si="16"/>
        <v>3.8162000035529023E-4</v>
      </c>
      <c r="T104">
        <f t="shared" si="17"/>
        <v>1.9535096630303374E-2</v>
      </c>
    </row>
    <row r="105" spans="1:20" x14ac:dyDescent="0.3">
      <c r="A105" s="2" t="s">
        <v>1168</v>
      </c>
      <c r="B105" s="6" t="s">
        <v>486</v>
      </c>
      <c r="C105" s="2" t="s">
        <v>20</v>
      </c>
      <c r="D105" s="2" t="s">
        <v>30</v>
      </c>
      <c r="E105" s="3" t="s">
        <v>487</v>
      </c>
      <c r="F105" s="3" t="s">
        <v>488</v>
      </c>
      <c r="G105" s="3" t="s">
        <v>489</v>
      </c>
      <c r="J105" s="5" t="s">
        <v>490</v>
      </c>
      <c r="K105" s="5" t="s">
        <v>491</v>
      </c>
      <c r="L105" s="5" t="s">
        <v>492</v>
      </c>
      <c r="M105" s="3">
        <f t="shared" si="10"/>
        <v>1.6100000008009374E-2</v>
      </c>
      <c r="N105" s="3">
        <f t="shared" si="11"/>
        <v>-7.7999999921303242E-3</v>
      </c>
      <c r="O105" s="3">
        <f t="shared" si="12"/>
        <v>1.9600000000004059E-2</v>
      </c>
      <c r="P105">
        <f t="shared" si="13"/>
        <v>2.5921000025790183E-4</v>
      </c>
      <c r="Q105">
        <f t="shared" si="14"/>
        <v>6.0839999877233057E-5</v>
      </c>
      <c r="R105">
        <f t="shared" si="15"/>
        <v>3.8416000000015909E-4</v>
      </c>
      <c r="S105">
        <f t="shared" si="16"/>
        <v>3.200500001351349E-4</v>
      </c>
      <c r="T105">
        <f t="shared" si="17"/>
        <v>1.7889941311673856E-2</v>
      </c>
    </row>
    <row r="106" spans="1:20" x14ac:dyDescent="0.3">
      <c r="A106" s="2" t="s">
        <v>1168</v>
      </c>
      <c r="B106" s="6" t="s">
        <v>486</v>
      </c>
      <c r="C106" s="2" t="s">
        <v>20</v>
      </c>
      <c r="D106" s="2" t="s">
        <v>21</v>
      </c>
      <c r="E106" s="3" t="s">
        <v>493</v>
      </c>
      <c r="F106" s="3" t="s">
        <v>494</v>
      </c>
      <c r="G106" s="3" t="s">
        <v>495</v>
      </c>
      <c r="J106" s="5" t="s">
        <v>490</v>
      </c>
      <c r="K106" s="5" t="s">
        <v>491</v>
      </c>
      <c r="L106" s="5" t="s">
        <v>496</v>
      </c>
      <c r="M106" s="3">
        <f t="shared" si="10"/>
        <v>2.5000000023283064E-2</v>
      </c>
      <c r="N106" s="3">
        <f t="shared" si="11"/>
        <v>-8.2999999867752194E-3</v>
      </c>
      <c r="O106" s="3">
        <f t="shared" si="12"/>
        <v>2.0499999999998408E-2</v>
      </c>
      <c r="P106">
        <f t="shared" si="13"/>
        <v>6.2500000116415321E-4</v>
      </c>
      <c r="Q106">
        <f t="shared" si="14"/>
        <v>6.8889999780468643E-5</v>
      </c>
      <c r="R106">
        <f t="shared" si="15"/>
        <v>4.2024999999993473E-4</v>
      </c>
      <c r="S106">
        <f t="shared" si="16"/>
        <v>6.9389000094462183E-4</v>
      </c>
      <c r="T106">
        <f t="shared" si="17"/>
        <v>2.6341791908384322E-2</v>
      </c>
    </row>
    <row r="107" spans="1:20" x14ac:dyDescent="0.3">
      <c r="A107" s="2" t="s">
        <v>1168</v>
      </c>
      <c r="B107" s="6" t="s">
        <v>497</v>
      </c>
      <c r="C107" s="2" t="s">
        <v>20</v>
      </c>
      <c r="D107" s="2" t="s">
        <v>110</v>
      </c>
      <c r="E107" s="3" t="s">
        <v>498</v>
      </c>
      <c r="F107" s="3" t="s">
        <v>499</v>
      </c>
      <c r="G107" s="3" t="s">
        <v>500</v>
      </c>
      <c r="J107" s="5" t="s">
        <v>501</v>
      </c>
      <c r="K107" s="5" t="s">
        <v>502</v>
      </c>
      <c r="L107" s="5" t="s">
        <v>503</v>
      </c>
      <c r="M107" s="3">
        <f t="shared" si="10"/>
        <v>1.8600000010337681E-2</v>
      </c>
      <c r="N107" s="3">
        <f t="shared" si="11"/>
        <v>-8.3999999915249646E-3</v>
      </c>
      <c r="O107" s="3">
        <f t="shared" si="12"/>
        <v>1.1400000000001853E-2</v>
      </c>
      <c r="P107">
        <f t="shared" si="13"/>
        <v>3.4596000038456171E-4</v>
      </c>
      <c r="Q107">
        <f t="shared" si="14"/>
        <v>7.0559999857619401E-5</v>
      </c>
      <c r="R107">
        <f t="shared" si="15"/>
        <v>1.2996000000004224E-4</v>
      </c>
      <c r="S107">
        <f t="shared" si="16"/>
        <v>4.1652000024218114E-4</v>
      </c>
      <c r="T107">
        <f t="shared" si="17"/>
        <v>2.0408821627967186E-2</v>
      </c>
    </row>
    <row r="108" spans="1:20" x14ac:dyDescent="0.3">
      <c r="A108" s="2" t="s">
        <v>1168</v>
      </c>
      <c r="B108" s="6" t="s">
        <v>497</v>
      </c>
      <c r="C108" s="2" t="s">
        <v>20</v>
      </c>
      <c r="D108" s="2" t="s">
        <v>37</v>
      </c>
      <c r="E108" s="3" t="s">
        <v>504</v>
      </c>
      <c r="F108" s="3" t="s">
        <v>505</v>
      </c>
      <c r="G108" s="3" t="s">
        <v>506</v>
      </c>
      <c r="J108" s="5" t="s">
        <v>501</v>
      </c>
      <c r="K108" s="5" t="s">
        <v>502</v>
      </c>
      <c r="L108" s="5" t="s">
        <v>507</v>
      </c>
      <c r="M108" s="3">
        <f t="shared" si="10"/>
        <v>1.4800000004470348E-2</v>
      </c>
      <c r="N108" s="3">
        <f t="shared" si="11"/>
        <v>-5.0000000046566129E-3</v>
      </c>
      <c r="O108" s="3">
        <f t="shared" si="12"/>
        <v>1.5299999999996317E-2</v>
      </c>
      <c r="P108">
        <f t="shared" si="13"/>
        <v>2.1904000013232231E-4</v>
      </c>
      <c r="Q108">
        <f t="shared" si="14"/>
        <v>2.5000000046566129E-5</v>
      </c>
      <c r="R108">
        <f t="shared" si="15"/>
        <v>2.3408999999988727E-4</v>
      </c>
      <c r="S108">
        <f t="shared" si="16"/>
        <v>2.4404000017888843E-4</v>
      </c>
      <c r="T108">
        <f t="shared" si="17"/>
        <v>1.5621779673868416E-2</v>
      </c>
    </row>
    <row r="109" spans="1:20" x14ac:dyDescent="0.3">
      <c r="A109" s="2" t="s">
        <v>1168</v>
      </c>
      <c r="B109" s="6" t="s">
        <v>497</v>
      </c>
      <c r="C109" s="2" t="s">
        <v>20</v>
      </c>
      <c r="D109" s="2" t="s">
        <v>46</v>
      </c>
      <c r="E109" s="3" t="s">
        <v>508</v>
      </c>
      <c r="F109" s="3" t="s">
        <v>509</v>
      </c>
      <c r="G109" s="3" t="s">
        <v>510</v>
      </c>
      <c r="J109" s="5" t="s">
        <v>501</v>
      </c>
      <c r="K109" s="5" t="s">
        <v>502</v>
      </c>
      <c r="L109" s="5" t="s">
        <v>511</v>
      </c>
      <c r="M109" s="3">
        <f t="shared" si="10"/>
        <v>2.4299999990034848E-2</v>
      </c>
      <c r="N109" s="3">
        <f t="shared" si="11"/>
        <v>1.7000000225380063E-3</v>
      </c>
      <c r="O109" s="3">
        <f t="shared" si="12"/>
        <v>4.420000000000357E-2</v>
      </c>
      <c r="P109">
        <f t="shared" si="13"/>
        <v>5.9048999951569366E-4</v>
      </c>
      <c r="Q109">
        <f t="shared" si="14"/>
        <v>2.8900000766292219E-6</v>
      </c>
      <c r="R109">
        <f t="shared" si="15"/>
        <v>1.9536400000003157E-3</v>
      </c>
      <c r="S109">
        <f t="shared" si="16"/>
        <v>5.9337999959232287E-4</v>
      </c>
      <c r="T109">
        <f t="shared" si="17"/>
        <v>2.4359392430689294E-2</v>
      </c>
    </row>
    <row r="110" spans="1:20" x14ac:dyDescent="0.3">
      <c r="A110" s="2" t="s">
        <v>1168</v>
      </c>
      <c r="B110" s="6" t="s">
        <v>497</v>
      </c>
      <c r="C110" s="2" t="s">
        <v>51</v>
      </c>
      <c r="D110" s="2" t="s">
        <v>63</v>
      </c>
      <c r="E110" s="3" t="s">
        <v>512</v>
      </c>
      <c r="F110" s="3" t="s">
        <v>513</v>
      </c>
      <c r="G110" s="3" t="s">
        <v>514</v>
      </c>
      <c r="J110" s="5" t="s">
        <v>501</v>
      </c>
      <c r="K110" s="5" t="s">
        <v>502</v>
      </c>
      <c r="L110" s="5" t="s">
        <v>515</v>
      </c>
      <c r="M110" s="3">
        <f t="shared" si="10"/>
        <v>3.6000000021886081E-2</v>
      </c>
      <c r="N110" s="3">
        <f t="shared" si="11"/>
        <v>-2.709999997750856E-2</v>
      </c>
      <c r="O110" s="3">
        <f t="shared" si="12"/>
        <v>4.9900000000000944E-2</v>
      </c>
      <c r="P110">
        <f t="shared" si="13"/>
        <v>1.2960000015757977E-3</v>
      </c>
      <c r="Q110">
        <f t="shared" si="14"/>
        <v>7.3440999878096396E-4</v>
      </c>
      <c r="R110">
        <f t="shared" si="15"/>
        <v>2.4900100000000941E-3</v>
      </c>
      <c r="S110">
        <f t="shared" si="16"/>
        <v>2.0304100003567618E-3</v>
      </c>
      <c r="T110">
        <f t="shared" si="17"/>
        <v>4.5060071020325318E-2</v>
      </c>
    </row>
    <row r="111" spans="1:20" x14ac:dyDescent="0.3">
      <c r="A111" s="2" t="s">
        <v>1168</v>
      </c>
      <c r="B111" s="6" t="s">
        <v>497</v>
      </c>
      <c r="C111" s="2" t="s">
        <v>51</v>
      </c>
      <c r="D111" s="2" t="s">
        <v>30</v>
      </c>
      <c r="E111" s="3" t="s">
        <v>516</v>
      </c>
      <c r="F111" s="3" t="s">
        <v>517</v>
      </c>
      <c r="G111" s="3" t="s">
        <v>518</v>
      </c>
      <c r="J111" s="5" t="s">
        <v>501</v>
      </c>
      <c r="K111" s="5" t="s">
        <v>502</v>
      </c>
      <c r="L111" s="5" t="s">
        <v>519</v>
      </c>
      <c r="M111" s="3">
        <f t="shared" si="10"/>
        <v>2.2800000035203993E-2</v>
      </c>
      <c r="N111" s="3">
        <f t="shared" si="11"/>
        <v>-1.1100000003352761E-2</v>
      </c>
      <c r="O111" s="3">
        <f t="shared" si="12"/>
        <v>4.399999999999693E-2</v>
      </c>
      <c r="P111">
        <f t="shared" si="13"/>
        <v>5.1984000160530208E-4</v>
      </c>
      <c r="Q111">
        <f t="shared" si="14"/>
        <v>1.232100000744313E-4</v>
      </c>
      <c r="R111">
        <f t="shared" si="15"/>
        <v>1.9359999999997298E-3</v>
      </c>
      <c r="S111">
        <f t="shared" si="16"/>
        <v>6.4305000167973344E-4</v>
      </c>
      <c r="T111">
        <f t="shared" si="17"/>
        <v>2.5358430583924816E-2</v>
      </c>
    </row>
    <row r="112" spans="1:20" x14ac:dyDescent="0.3">
      <c r="A112" s="2" t="s">
        <v>1168</v>
      </c>
      <c r="B112" s="6" t="s">
        <v>497</v>
      </c>
      <c r="C112" s="2" t="s">
        <v>51</v>
      </c>
      <c r="D112" s="2" t="s">
        <v>52</v>
      </c>
      <c r="E112" s="3" t="s">
        <v>516</v>
      </c>
      <c r="F112" s="3" t="s">
        <v>520</v>
      </c>
      <c r="G112" s="3" t="s">
        <v>521</v>
      </c>
      <c r="J112" s="5" t="s">
        <v>501</v>
      </c>
      <c r="K112" s="5" t="s">
        <v>502</v>
      </c>
      <c r="L112" s="5" t="s">
        <v>522</v>
      </c>
      <c r="M112" s="3">
        <f t="shared" si="10"/>
        <v>2.2800000035203993E-2</v>
      </c>
      <c r="N112" s="3">
        <f t="shared" si="11"/>
        <v>-1.4599999994970858E-2</v>
      </c>
      <c r="O112" s="3">
        <f t="shared" si="12"/>
        <v>3.0100000000004457E-2</v>
      </c>
      <c r="P112">
        <f t="shared" si="13"/>
        <v>5.1984000160530208E-4</v>
      </c>
      <c r="Q112">
        <f t="shared" si="14"/>
        <v>2.1315999985314904E-4</v>
      </c>
      <c r="R112">
        <f t="shared" si="15"/>
        <v>9.0601000000026829E-4</v>
      </c>
      <c r="S112">
        <f t="shared" si="16"/>
        <v>7.3300000145845113E-4</v>
      </c>
      <c r="T112">
        <f t="shared" si="17"/>
        <v>2.7073972768296328E-2</v>
      </c>
    </row>
    <row r="113" spans="1:20" x14ac:dyDescent="0.3">
      <c r="A113" s="2" t="s">
        <v>1168</v>
      </c>
      <c r="B113" s="6" t="s">
        <v>497</v>
      </c>
      <c r="C113" s="2" t="s">
        <v>422</v>
      </c>
      <c r="D113" s="2" t="s">
        <v>423</v>
      </c>
      <c r="E113" s="3" t="s">
        <v>523</v>
      </c>
      <c r="F113" s="3" t="s">
        <v>524</v>
      </c>
      <c r="G113" s="3" t="s">
        <v>525</v>
      </c>
      <c r="J113" s="5" t="s">
        <v>501</v>
      </c>
      <c r="K113" s="5" t="s">
        <v>502</v>
      </c>
      <c r="L113" s="5" t="s">
        <v>526</v>
      </c>
      <c r="M113" s="3">
        <f t="shared" si="10"/>
        <v>3.0900000012479722E-2</v>
      </c>
      <c r="N113" s="3">
        <f t="shared" si="11"/>
        <v>-1.1999999987892807E-3</v>
      </c>
      <c r="O113" s="3">
        <f t="shared" si="12"/>
        <v>0.1378000000000057</v>
      </c>
      <c r="P113">
        <f t="shared" si="13"/>
        <v>9.5481000077124684E-4</v>
      </c>
      <c r="Q113">
        <f t="shared" si="14"/>
        <v>1.4399999970942736E-6</v>
      </c>
      <c r="R113">
        <f t="shared" si="15"/>
        <v>1.8988840000001568E-2</v>
      </c>
      <c r="S113">
        <f t="shared" si="16"/>
        <v>9.5625000076834108E-4</v>
      </c>
      <c r="T113">
        <f t="shared" si="17"/>
        <v>3.0923292204555794E-2</v>
      </c>
    </row>
    <row r="114" spans="1:20" x14ac:dyDescent="0.3">
      <c r="A114" s="2" t="s">
        <v>1168</v>
      </c>
      <c r="B114" s="6" t="s">
        <v>527</v>
      </c>
      <c r="C114" s="2" t="s">
        <v>20</v>
      </c>
      <c r="D114" s="2" t="s">
        <v>30</v>
      </c>
      <c r="E114" s="3" t="s">
        <v>528</v>
      </c>
      <c r="F114" s="3" t="s">
        <v>529</v>
      </c>
      <c r="G114" s="3" t="s">
        <v>530</v>
      </c>
      <c r="J114" s="5" t="s">
        <v>531</v>
      </c>
      <c r="K114" s="5" t="s">
        <v>532</v>
      </c>
      <c r="L114" s="5" t="s">
        <v>533</v>
      </c>
      <c r="M114" s="3">
        <f t="shared" si="10"/>
        <v>-1.6300000017508864E-2</v>
      </c>
      <c r="N114" s="3">
        <f t="shared" si="11"/>
        <v>0.10899999999674037</v>
      </c>
      <c r="O114" s="3">
        <f t="shared" si="12"/>
        <v>7.5200000000002376E-2</v>
      </c>
      <c r="P114">
        <f t="shared" si="13"/>
        <v>2.6569000057078898E-4</v>
      </c>
      <c r="Q114">
        <f t="shared" si="14"/>
        <v>1.1880999999289401E-2</v>
      </c>
      <c r="R114">
        <f t="shared" si="15"/>
        <v>5.6550400000003574E-3</v>
      </c>
      <c r="S114">
        <f t="shared" si="16"/>
        <v>1.214668999986019E-2</v>
      </c>
      <c r="T114">
        <f t="shared" si="17"/>
        <v>0.11021202293697449</v>
      </c>
    </row>
    <row r="115" spans="1:20" x14ac:dyDescent="0.3">
      <c r="A115" s="2" t="s">
        <v>1168</v>
      </c>
      <c r="B115" s="6" t="s">
        <v>527</v>
      </c>
      <c r="C115" s="2" t="s">
        <v>20</v>
      </c>
      <c r="D115" s="2" t="s">
        <v>21</v>
      </c>
      <c r="E115" s="3" t="s">
        <v>534</v>
      </c>
      <c r="F115" s="3" t="s">
        <v>535</v>
      </c>
      <c r="G115" s="3" t="s">
        <v>536</v>
      </c>
      <c r="J115" s="5" t="s">
        <v>531</v>
      </c>
      <c r="K115" s="5" t="s">
        <v>532</v>
      </c>
      <c r="L115" s="5" t="s">
        <v>537</v>
      </c>
      <c r="M115" s="3">
        <f t="shared" si="10"/>
        <v>-1.3700000010430813E-2</v>
      </c>
      <c r="N115" s="3">
        <f t="shared" si="11"/>
        <v>0.10679999997955747</v>
      </c>
      <c r="O115" s="3">
        <f t="shared" si="12"/>
        <v>7.8300000000005809E-2</v>
      </c>
      <c r="P115">
        <f t="shared" si="13"/>
        <v>1.8769000028580427E-4</v>
      </c>
      <c r="Q115">
        <f t="shared" si="14"/>
        <v>1.1406239995633475E-2</v>
      </c>
      <c r="R115">
        <f t="shared" si="15"/>
        <v>6.1308900000009098E-3</v>
      </c>
      <c r="S115">
        <f t="shared" si="16"/>
        <v>1.159392999591928E-2</v>
      </c>
      <c r="T115">
        <f t="shared" si="17"/>
        <v>0.10767511316882504</v>
      </c>
    </row>
    <row r="116" spans="1:20" x14ac:dyDescent="0.3">
      <c r="A116" s="2" t="s">
        <v>1168</v>
      </c>
      <c r="B116" s="6" t="s">
        <v>538</v>
      </c>
      <c r="C116" s="2" t="s">
        <v>20</v>
      </c>
      <c r="D116" s="2" t="s">
        <v>110</v>
      </c>
      <c r="E116" s="3" t="s">
        <v>539</v>
      </c>
      <c r="F116" s="3" t="s">
        <v>540</v>
      </c>
      <c r="G116" s="3" t="s">
        <v>530</v>
      </c>
      <c r="J116" s="5" t="s">
        <v>541</v>
      </c>
      <c r="K116" s="5" t="s">
        <v>542</v>
      </c>
      <c r="L116" s="5" t="s">
        <v>543</v>
      </c>
      <c r="M116" s="3">
        <f t="shared" si="10"/>
        <v>-1.7300000006798655E-2</v>
      </c>
      <c r="N116" s="3">
        <f t="shared" si="11"/>
        <v>0.10129999998025596</v>
      </c>
      <c r="O116" s="3">
        <f t="shared" si="12"/>
        <v>7.540000000000191E-2</v>
      </c>
      <c r="P116">
        <f t="shared" si="13"/>
        <v>2.9929000023523345E-4</v>
      </c>
      <c r="Q116">
        <f t="shared" si="14"/>
        <v>1.0261689995999858E-2</v>
      </c>
      <c r="R116">
        <f t="shared" si="15"/>
        <v>5.6851600000002878E-3</v>
      </c>
      <c r="S116">
        <f t="shared" si="16"/>
        <v>1.0560979996235091E-2</v>
      </c>
      <c r="T116">
        <f t="shared" si="17"/>
        <v>0.10276662880641307</v>
      </c>
    </row>
    <row r="117" spans="1:20" x14ac:dyDescent="0.3">
      <c r="A117" s="2" t="s">
        <v>1168</v>
      </c>
      <c r="B117" s="6" t="s">
        <v>538</v>
      </c>
      <c r="C117" s="2" t="s">
        <v>20</v>
      </c>
      <c r="D117" s="2" t="s">
        <v>37</v>
      </c>
      <c r="E117" s="3" t="s">
        <v>544</v>
      </c>
      <c r="F117" s="3" t="s">
        <v>545</v>
      </c>
      <c r="G117" s="3" t="s">
        <v>546</v>
      </c>
      <c r="J117" s="5" t="s">
        <v>541</v>
      </c>
      <c r="K117" s="5" t="s">
        <v>542</v>
      </c>
      <c r="L117" s="5" t="s">
        <v>547</v>
      </c>
      <c r="M117" s="3">
        <f t="shared" si="10"/>
        <v>-2.8800000029150397E-2</v>
      </c>
      <c r="N117" s="3">
        <f t="shared" si="11"/>
        <v>0.11839999997755513</v>
      </c>
      <c r="O117" s="3">
        <f t="shared" si="12"/>
        <v>5.9499999999999886E-2</v>
      </c>
      <c r="P117">
        <f t="shared" si="13"/>
        <v>8.2944000167906289E-4</v>
      </c>
      <c r="Q117">
        <f t="shared" si="14"/>
        <v>1.4018559994685055E-2</v>
      </c>
      <c r="R117">
        <f t="shared" si="15"/>
        <v>3.5402499999999866E-3</v>
      </c>
      <c r="S117">
        <f t="shared" si="16"/>
        <v>1.4847999996364117E-2</v>
      </c>
      <c r="T117">
        <f t="shared" si="17"/>
        <v>0.12185236967890332</v>
      </c>
    </row>
    <row r="118" spans="1:20" x14ac:dyDescent="0.3">
      <c r="A118" s="2" t="s">
        <v>1168</v>
      </c>
      <c r="B118" s="6" t="s">
        <v>538</v>
      </c>
      <c r="C118" s="2" t="s">
        <v>20</v>
      </c>
      <c r="D118" s="2" t="s">
        <v>46</v>
      </c>
      <c r="E118" s="3" t="s">
        <v>548</v>
      </c>
      <c r="F118" s="3" t="s">
        <v>549</v>
      </c>
      <c r="G118" s="3" t="s">
        <v>550</v>
      </c>
      <c r="J118" s="5" t="s">
        <v>541</v>
      </c>
      <c r="K118" s="5" t="s">
        <v>542</v>
      </c>
      <c r="L118" s="5" t="s">
        <v>551</v>
      </c>
      <c r="M118" s="3">
        <f t="shared" si="10"/>
        <v>-2.5599999993573874E-2</v>
      </c>
      <c r="N118" s="3">
        <f t="shared" si="11"/>
        <v>0.10979999997653067</v>
      </c>
      <c r="O118" s="3">
        <f t="shared" si="12"/>
        <v>5.6599999999995987E-2</v>
      </c>
      <c r="P118">
        <f t="shared" si="13"/>
        <v>6.5535999967098238E-4</v>
      </c>
      <c r="Q118">
        <f t="shared" si="14"/>
        <v>1.2056039994846135E-2</v>
      </c>
      <c r="R118">
        <f t="shared" si="15"/>
        <v>3.2035599999995458E-3</v>
      </c>
      <c r="S118">
        <f t="shared" si="16"/>
        <v>1.2711399994517118E-2</v>
      </c>
      <c r="T118">
        <f t="shared" si="17"/>
        <v>0.11274484464718162</v>
      </c>
    </row>
    <row r="119" spans="1:20" x14ac:dyDescent="0.3">
      <c r="A119" s="2" t="s">
        <v>1168</v>
      </c>
      <c r="B119" s="6" t="s">
        <v>538</v>
      </c>
      <c r="C119" s="2" t="s">
        <v>51</v>
      </c>
      <c r="D119" s="2" t="s">
        <v>63</v>
      </c>
      <c r="E119" s="3" t="s">
        <v>552</v>
      </c>
      <c r="F119" s="3" t="s">
        <v>553</v>
      </c>
      <c r="G119" s="3" t="s">
        <v>554</v>
      </c>
      <c r="J119" s="5" t="s">
        <v>541</v>
      </c>
      <c r="K119" s="5" t="s">
        <v>542</v>
      </c>
      <c r="L119" s="5" t="s">
        <v>555</v>
      </c>
      <c r="M119" s="3">
        <f t="shared" si="10"/>
        <v>-1.66000000317581E-2</v>
      </c>
      <c r="N119" s="3">
        <f t="shared" si="11"/>
        <v>0.10639999998966232</v>
      </c>
      <c r="O119" s="3">
        <f t="shared" si="12"/>
        <v>0.10170000000000101</v>
      </c>
      <c r="P119">
        <f t="shared" si="13"/>
        <v>2.7556000105436894E-4</v>
      </c>
      <c r="Q119">
        <f t="shared" si="14"/>
        <v>1.1320959997800141E-2</v>
      </c>
      <c r="R119">
        <f t="shared" si="15"/>
        <v>1.0342890000000205E-2</v>
      </c>
      <c r="S119">
        <f t="shared" si="16"/>
        <v>1.1596519998854511E-2</v>
      </c>
      <c r="T119">
        <f t="shared" si="17"/>
        <v>0.10768713943110621</v>
      </c>
    </row>
    <row r="120" spans="1:20" x14ac:dyDescent="0.3">
      <c r="A120" s="2" t="s">
        <v>1168</v>
      </c>
      <c r="B120" s="6" t="s">
        <v>538</v>
      </c>
      <c r="C120" s="2" t="s">
        <v>51</v>
      </c>
      <c r="D120" s="2" t="s">
        <v>30</v>
      </c>
      <c r="E120" s="3" t="s">
        <v>556</v>
      </c>
      <c r="F120" s="3" t="s">
        <v>557</v>
      </c>
      <c r="G120" s="3" t="s">
        <v>558</v>
      </c>
      <c r="J120" s="5" t="s">
        <v>541</v>
      </c>
      <c r="K120" s="5" t="s">
        <v>542</v>
      </c>
      <c r="L120" s="5" t="s">
        <v>559</v>
      </c>
      <c r="M120" s="3">
        <f t="shared" si="10"/>
        <v>-1.4499999990221113E-2</v>
      </c>
      <c r="N120" s="3">
        <f t="shared" si="11"/>
        <v>0.10119999997550622</v>
      </c>
      <c r="O120" s="3">
        <f t="shared" si="12"/>
        <v>0.1027999999999949</v>
      </c>
      <c r="P120">
        <f t="shared" si="13"/>
        <v>2.1024999971641227E-4</v>
      </c>
      <c r="Q120">
        <f t="shared" si="14"/>
        <v>1.0241439995042458E-2</v>
      </c>
      <c r="R120">
        <f t="shared" si="15"/>
        <v>1.0567839999998951E-2</v>
      </c>
      <c r="S120">
        <f t="shared" si="16"/>
        <v>1.0451689994758871E-2</v>
      </c>
      <c r="T120">
        <f t="shared" si="17"/>
        <v>0.10223350720169426</v>
      </c>
    </row>
    <row r="121" spans="1:20" x14ac:dyDescent="0.3">
      <c r="A121" s="2" t="s">
        <v>1168</v>
      </c>
      <c r="B121" s="6" t="s">
        <v>538</v>
      </c>
      <c r="C121" s="2" t="s">
        <v>51</v>
      </c>
      <c r="D121" s="2" t="s">
        <v>52</v>
      </c>
      <c r="E121" s="3" t="s">
        <v>560</v>
      </c>
      <c r="F121" s="3" t="s">
        <v>561</v>
      </c>
      <c r="G121" s="3" t="s">
        <v>562</v>
      </c>
      <c r="J121" s="5" t="s">
        <v>541</v>
      </c>
      <c r="K121" s="5" t="s">
        <v>542</v>
      </c>
      <c r="L121" s="5" t="s">
        <v>563</v>
      </c>
      <c r="M121" s="3">
        <f t="shared" si="10"/>
        <v>-2.0400000037625432E-2</v>
      </c>
      <c r="N121" s="3">
        <f t="shared" si="11"/>
        <v>9.8799999977927655E-2</v>
      </c>
      <c r="O121" s="3">
        <f t="shared" si="12"/>
        <v>9.9899999999998101E-2</v>
      </c>
      <c r="P121">
        <f t="shared" si="13"/>
        <v>4.1616000153511763E-4</v>
      </c>
      <c r="Q121">
        <f t="shared" si="14"/>
        <v>9.7614399956385042E-3</v>
      </c>
      <c r="R121">
        <f t="shared" si="15"/>
        <v>9.9800099999996211E-3</v>
      </c>
      <c r="S121">
        <f t="shared" si="16"/>
        <v>1.0177599997173622E-2</v>
      </c>
      <c r="T121">
        <f t="shared" si="17"/>
        <v>0.10088409189348746</v>
      </c>
    </row>
    <row r="122" spans="1:20" x14ac:dyDescent="0.3">
      <c r="A122" s="2" t="s">
        <v>1168</v>
      </c>
      <c r="B122" s="6" t="s">
        <v>538</v>
      </c>
      <c r="C122" s="2" t="s">
        <v>422</v>
      </c>
      <c r="D122" s="2" t="s">
        <v>423</v>
      </c>
      <c r="E122" s="3" t="s">
        <v>564</v>
      </c>
      <c r="F122" s="3" t="s">
        <v>565</v>
      </c>
      <c r="G122" s="3" t="s">
        <v>566</v>
      </c>
      <c r="J122" s="5" t="s">
        <v>541</v>
      </c>
      <c r="K122" s="5" t="s">
        <v>542</v>
      </c>
      <c r="L122" s="5" t="s">
        <v>567</v>
      </c>
      <c r="M122" s="3">
        <f t="shared" si="10"/>
        <v>-2.4399999994784594E-2</v>
      </c>
      <c r="N122" s="3">
        <f t="shared" si="11"/>
        <v>9.949999998207204E-2</v>
      </c>
      <c r="O122" s="3">
        <f t="shared" si="12"/>
        <v>0.11500000000000199</v>
      </c>
      <c r="P122">
        <f t="shared" si="13"/>
        <v>5.9535999974548817E-4</v>
      </c>
      <c r="Q122">
        <f t="shared" si="14"/>
        <v>9.9002499964323358E-3</v>
      </c>
      <c r="R122">
        <f t="shared" si="15"/>
        <v>1.3225000000000457E-2</v>
      </c>
      <c r="S122">
        <f t="shared" si="16"/>
        <v>1.0495609996177824E-2</v>
      </c>
      <c r="T122">
        <f t="shared" si="17"/>
        <v>0.10244808439486716</v>
      </c>
    </row>
    <row r="123" spans="1:20" x14ac:dyDescent="0.3">
      <c r="A123" s="2" t="s">
        <v>1168</v>
      </c>
      <c r="B123" s="6" t="s">
        <v>568</v>
      </c>
      <c r="C123" s="2" t="s">
        <v>20</v>
      </c>
      <c r="D123" s="2" t="s">
        <v>30</v>
      </c>
      <c r="E123" s="3" t="s">
        <v>569</v>
      </c>
      <c r="F123" s="3" t="s">
        <v>570</v>
      </c>
      <c r="G123" s="3" t="s">
        <v>571</v>
      </c>
      <c r="J123" s="5" t="s">
        <v>572</v>
      </c>
      <c r="K123" s="5" t="s">
        <v>573</v>
      </c>
      <c r="L123" s="5" t="s">
        <v>574</v>
      </c>
      <c r="M123" s="3">
        <f t="shared" si="10"/>
        <v>6.9999999832361937E-3</v>
      </c>
      <c r="N123" s="3">
        <f t="shared" si="11"/>
        <v>-3.63999999826774E-2</v>
      </c>
      <c r="O123" s="3">
        <f t="shared" si="12"/>
        <v>9.0000000000145519E-4</v>
      </c>
      <c r="P123">
        <f t="shared" si="13"/>
        <v>4.8999999765306711E-5</v>
      </c>
      <c r="Q123">
        <f t="shared" si="14"/>
        <v>1.3249599987389148E-3</v>
      </c>
      <c r="R123">
        <f t="shared" si="15"/>
        <v>8.1000000000261932E-7</v>
      </c>
      <c r="S123">
        <f t="shared" si="16"/>
        <v>1.3739599985042215E-3</v>
      </c>
      <c r="T123">
        <f t="shared" si="17"/>
        <v>3.7066966405469727E-2</v>
      </c>
    </row>
    <row r="124" spans="1:20" x14ac:dyDescent="0.3">
      <c r="A124" s="2" t="s">
        <v>1168</v>
      </c>
      <c r="B124" s="6" t="s">
        <v>568</v>
      </c>
      <c r="C124" s="2" t="s">
        <v>20</v>
      </c>
      <c r="D124" s="2" t="s">
        <v>21</v>
      </c>
      <c r="E124" s="3" t="s">
        <v>575</v>
      </c>
      <c r="F124" s="3" t="s">
        <v>576</v>
      </c>
      <c r="G124" s="3" t="s">
        <v>577</v>
      </c>
      <c r="J124" s="5" t="s">
        <v>572</v>
      </c>
      <c r="K124" s="5" t="s">
        <v>573</v>
      </c>
      <c r="L124" s="5" t="s">
        <v>574</v>
      </c>
      <c r="M124" s="3">
        <f t="shared" si="10"/>
        <v>-6.4000000129453838E-3</v>
      </c>
      <c r="N124" s="3">
        <f t="shared" si="11"/>
        <v>-1.5699999989010394E-2</v>
      </c>
      <c r="O124" s="3">
        <f t="shared" si="12"/>
        <v>3.0100000000004457E-2</v>
      </c>
      <c r="P124">
        <f t="shared" si="13"/>
        <v>4.0960000165700909E-5</v>
      </c>
      <c r="Q124">
        <f t="shared" si="14"/>
        <v>2.4648999965492635E-4</v>
      </c>
      <c r="R124">
        <f t="shared" si="15"/>
        <v>9.0601000000026829E-4</v>
      </c>
      <c r="S124">
        <f t="shared" si="16"/>
        <v>2.8744999982062728E-4</v>
      </c>
      <c r="T124">
        <f t="shared" si="17"/>
        <v>1.6954350468850975E-2</v>
      </c>
    </row>
    <row r="125" spans="1:20" x14ac:dyDescent="0.3">
      <c r="A125" s="2" t="s">
        <v>1168</v>
      </c>
      <c r="B125" s="6" t="s">
        <v>578</v>
      </c>
      <c r="C125" s="2" t="s">
        <v>20</v>
      </c>
      <c r="D125" s="2" t="s">
        <v>37</v>
      </c>
      <c r="E125" s="3" t="s">
        <v>579</v>
      </c>
      <c r="F125" s="3" t="s">
        <v>580</v>
      </c>
      <c r="G125" s="3" t="s">
        <v>581</v>
      </c>
      <c r="J125" s="5" t="s">
        <v>582</v>
      </c>
      <c r="K125" s="5" t="s">
        <v>583</v>
      </c>
      <c r="L125" s="5" t="s">
        <v>574</v>
      </c>
      <c r="M125" s="3">
        <f t="shared" si="10"/>
        <v>1.9999999785795808E-3</v>
      </c>
      <c r="N125" s="3">
        <f t="shared" si="11"/>
        <v>-3.2899999991059303E-2</v>
      </c>
      <c r="O125" s="3">
        <f t="shared" si="12"/>
        <v>2.590000000000714E-2</v>
      </c>
      <c r="P125">
        <f t="shared" si="13"/>
        <v>3.9999999143183236E-6</v>
      </c>
      <c r="Q125">
        <f t="shared" si="14"/>
        <v>1.0824099994117022E-3</v>
      </c>
      <c r="R125">
        <f t="shared" si="15"/>
        <v>6.708100000003698E-4</v>
      </c>
      <c r="S125">
        <f t="shared" si="16"/>
        <v>1.0864099993260206E-3</v>
      </c>
      <c r="T125">
        <f t="shared" si="17"/>
        <v>3.2960734204899325E-2</v>
      </c>
    </row>
    <row r="126" spans="1:20" x14ac:dyDescent="0.3">
      <c r="A126" s="2" t="s">
        <v>1168</v>
      </c>
      <c r="B126" s="6" t="s">
        <v>578</v>
      </c>
      <c r="C126" s="2" t="s">
        <v>20</v>
      </c>
      <c r="D126" s="2" t="s">
        <v>46</v>
      </c>
      <c r="E126" s="3" t="s">
        <v>584</v>
      </c>
      <c r="F126" s="3" t="s">
        <v>585</v>
      </c>
      <c r="G126" s="3" t="s">
        <v>581</v>
      </c>
      <c r="J126" s="5" t="s">
        <v>582</v>
      </c>
      <c r="K126" s="5" t="s">
        <v>583</v>
      </c>
      <c r="L126" s="5" t="s">
        <v>574</v>
      </c>
      <c r="M126" s="3">
        <f t="shared" si="10"/>
        <v>-8.0000003799796104E-4</v>
      </c>
      <c r="N126" s="3">
        <f t="shared" si="11"/>
        <v>-2.5699999998323619E-2</v>
      </c>
      <c r="O126" s="3">
        <f t="shared" si="12"/>
        <v>2.590000000000714E-2</v>
      </c>
      <c r="P126">
        <f t="shared" si="13"/>
        <v>6.4000006079673911E-7</v>
      </c>
      <c r="Q126">
        <f t="shared" si="14"/>
        <v>6.6048999991383402E-4</v>
      </c>
      <c r="R126">
        <f t="shared" si="15"/>
        <v>6.708100000003698E-4</v>
      </c>
      <c r="S126">
        <f t="shared" si="16"/>
        <v>6.6112999997463076E-4</v>
      </c>
      <c r="T126">
        <f t="shared" si="17"/>
        <v>2.5712448346562229E-2</v>
      </c>
    </row>
    <row r="127" spans="1:20" x14ac:dyDescent="0.3">
      <c r="A127" s="2" t="s">
        <v>1168</v>
      </c>
      <c r="B127" s="6" t="s">
        <v>578</v>
      </c>
      <c r="C127" s="2" t="s">
        <v>51</v>
      </c>
      <c r="D127" s="2" t="s">
        <v>52</v>
      </c>
      <c r="E127" s="3" t="s">
        <v>586</v>
      </c>
      <c r="F127" s="3" t="s">
        <v>587</v>
      </c>
      <c r="G127" s="3" t="s">
        <v>588</v>
      </c>
      <c r="J127" s="5" t="s">
        <v>582</v>
      </c>
      <c r="K127" s="5" t="s">
        <v>583</v>
      </c>
      <c r="L127" s="5" t="s">
        <v>574</v>
      </c>
      <c r="M127" s="3">
        <f t="shared" si="10"/>
        <v>-1.3100000040140003E-2</v>
      </c>
      <c r="N127" s="3">
        <f t="shared" si="11"/>
        <v>-3.4499999979743734E-2</v>
      </c>
      <c r="O127" s="3">
        <f t="shared" si="12"/>
        <v>2.4900000000002365E-2</v>
      </c>
      <c r="P127">
        <f t="shared" si="13"/>
        <v>1.7161000105166808E-4</v>
      </c>
      <c r="Q127">
        <f t="shared" si="14"/>
        <v>1.1902499986023176E-3</v>
      </c>
      <c r="R127">
        <f t="shared" si="15"/>
        <v>6.2001000000011779E-4</v>
      </c>
      <c r="S127">
        <f t="shared" si="16"/>
        <v>1.3618599996539857E-3</v>
      </c>
      <c r="T127">
        <f t="shared" si="17"/>
        <v>3.690338737370847E-2</v>
      </c>
    </row>
    <row r="128" spans="1:20" x14ac:dyDescent="0.3">
      <c r="A128" s="2" t="s">
        <v>1168</v>
      </c>
      <c r="B128" s="6" t="s">
        <v>578</v>
      </c>
      <c r="C128" s="2" t="s">
        <v>422</v>
      </c>
      <c r="D128" s="2" t="s">
        <v>423</v>
      </c>
      <c r="E128" s="3" t="s">
        <v>589</v>
      </c>
      <c r="F128" s="3" t="s">
        <v>590</v>
      </c>
      <c r="G128" s="3" t="s">
        <v>591</v>
      </c>
      <c r="J128" s="5" t="s">
        <v>582</v>
      </c>
      <c r="K128" s="5" t="s">
        <v>583</v>
      </c>
      <c r="L128" s="5" t="s">
        <v>574</v>
      </c>
      <c r="M128" s="3">
        <f t="shared" si="10"/>
        <v>2.2099999943748116E-2</v>
      </c>
      <c r="N128" s="3">
        <f t="shared" si="11"/>
        <v>-1.4699999999720603E-2</v>
      </c>
      <c r="O128" s="3">
        <f t="shared" si="12"/>
        <v>0.12990000000000634</v>
      </c>
      <c r="P128">
        <f t="shared" si="13"/>
        <v>4.884099975136667E-4</v>
      </c>
      <c r="Q128">
        <f t="shared" si="14"/>
        <v>2.1608999999178573E-4</v>
      </c>
      <c r="R128">
        <f t="shared" si="15"/>
        <v>1.687401000000165E-2</v>
      </c>
      <c r="S128">
        <f t="shared" si="16"/>
        <v>7.044999975054524E-4</v>
      </c>
      <c r="T128">
        <f t="shared" si="17"/>
        <v>2.6542418832982279E-2</v>
      </c>
    </row>
    <row r="129" spans="1:20" x14ac:dyDescent="0.3">
      <c r="A129" s="2" t="s">
        <v>1168</v>
      </c>
      <c r="B129" s="6" t="s">
        <v>592</v>
      </c>
      <c r="C129" s="2" t="s">
        <v>20</v>
      </c>
      <c r="D129" s="2" t="s">
        <v>30</v>
      </c>
      <c r="E129" s="3" t="s">
        <v>593</v>
      </c>
      <c r="F129" s="3" t="s">
        <v>594</v>
      </c>
      <c r="G129" s="3" t="s">
        <v>595</v>
      </c>
      <c r="J129" s="5" t="s">
        <v>596</v>
      </c>
      <c r="K129" s="5" t="s">
        <v>597</v>
      </c>
      <c r="L129" s="5" t="s">
        <v>598</v>
      </c>
      <c r="M129" s="3">
        <f t="shared" si="10"/>
        <v>-6.5000000176951289E-3</v>
      </c>
      <c r="N129" s="3">
        <f t="shared" si="11"/>
        <v>2.5999999983469024E-2</v>
      </c>
      <c r="O129" s="3">
        <f t="shared" si="12"/>
        <v>2.5199999999998113E-2</v>
      </c>
      <c r="P129">
        <f t="shared" si="13"/>
        <v>4.2250000230036676E-5</v>
      </c>
      <c r="Q129">
        <f t="shared" si="14"/>
        <v>6.7599999914038928E-4</v>
      </c>
      <c r="R129">
        <f t="shared" si="15"/>
        <v>6.3503999999990493E-4</v>
      </c>
      <c r="S129">
        <f t="shared" si="16"/>
        <v>7.1824999937042595E-4</v>
      </c>
      <c r="T129">
        <f t="shared" si="17"/>
        <v>2.6800186554769092E-2</v>
      </c>
    </row>
    <row r="130" spans="1:20" x14ac:dyDescent="0.3">
      <c r="A130" s="2" t="s">
        <v>1168</v>
      </c>
      <c r="B130" s="6" t="s">
        <v>592</v>
      </c>
      <c r="C130" s="2" t="s">
        <v>20</v>
      </c>
      <c r="D130" s="2" t="s">
        <v>21</v>
      </c>
      <c r="E130" s="3" t="s">
        <v>599</v>
      </c>
      <c r="F130" s="3" t="s">
        <v>600</v>
      </c>
      <c r="G130" s="3" t="s">
        <v>601</v>
      </c>
      <c r="J130" s="5" t="s">
        <v>596</v>
      </c>
      <c r="K130" s="5" t="s">
        <v>597</v>
      </c>
      <c r="L130" s="5" t="s">
        <v>598</v>
      </c>
      <c r="M130" s="3">
        <f t="shared" si="10"/>
        <v>-4.6999999904073775E-3</v>
      </c>
      <c r="N130" s="3">
        <f t="shared" si="11"/>
        <v>3.1900000001769513E-2</v>
      </c>
      <c r="O130" s="3">
        <f t="shared" si="12"/>
        <v>1.2199999999992883E-2</v>
      </c>
      <c r="P130">
        <f t="shared" si="13"/>
        <v>2.2089999909829348E-5</v>
      </c>
      <c r="Q130">
        <f t="shared" si="14"/>
        <v>1.0176100001128949E-3</v>
      </c>
      <c r="R130">
        <f t="shared" si="15"/>
        <v>1.4883999999982636E-4</v>
      </c>
      <c r="S130">
        <f t="shared" si="16"/>
        <v>1.0397000000227242E-3</v>
      </c>
      <c r="T130">
        <f t="shared" si="17"/>
        <v>3.2244379355520617E-2</v>
      </c>
    </row>
    <row r="131" spans="1:20" x14ac:dyDescent="0.3">
      <c r="A131" s="2" t="s">
        <v>1168</v>
      </c>
      <c r="B131" s="6" t="s">
        <v>602</v>
      </c>
      <c r="C131" s="2" t="s">
        <v>20</v>
      </c>
      <c r="D131" s="2" t="s">
        <v>110</v>
      </c>
      <c r="E131" s="3" t="s">
        <v>603</v>
      </c>
      <c r="F131" s="3" t="s">
        <v>604</v>
      </c>
      <c r="G131" s="3" t="s">
        <v>605</v>
      </c>
      <c r="J131" s="5" t="s">
        <v>606</v>
      </c>
      <c r="K131" s="5" t="s">
        <v>607</v>
      </c>
      <c r="L131" s="5" t="s">
        <v>598</v>
      </c>
      <c r="M131" s="3">
        <f t="shared" ref="M131:M194" si="18">J131-E131</f>
        <v>-3.1999999773688614E-3</v>
      </c>
      <c r="N131" s="3">
        <f t="shared" ref="N131:N194" si="19">K131-F131</f>
        <v>2.9999999998835847E-2</v>
      </c>
      <c r="O131" s="3">
        <f t="shared" ref="O131:O194" si="20">ABS(L131-G131)</f>
        <v>2.2199999999997999E-2</v>
      </c>
      <c r="P131">
        <f t="shared" ref="P131:P194" si="21">POWER(M131,2)</f>
        <v>1.0239999855160714E-5</v>
      </c>
      <c r="Q131">
        <f t="shared" ref="Q131:Q194" si="22">POWER(N131,2)</f>
        <v>8.9999999993015079E-4</v>
      </c>
      <c r="R131">
        <f t="shared" ref="R131:R194" si="23">POWER(O131,2)</f>
        <v>4.9283999999991113E-4</v>
      </c>
      <c r="S131">
        <f t="shared" ref="S131:S194" si="24">P131+Q131</f>
        <v>9.1023999978531148E-4</v>
      </c>
      <c r="T131">
        <f t="shared" ref="T131:T194" si="25">SQRT(S131)</f>
        <v>3.0170183953454964E-2</v>
      </c>
    </row>
    <row r="132" spans="1:20" x14ac:dyDescent="0.3">
      <c r="A132" s="2" t="s">
        <v>1168</v>
      </c>
      <c r="B132" s="6" t="s">
        <v>602</v>
      </c>
      <c r="C132" s="2" t="s">
        <v>20</v>
      </c>
      <c r="D132" s="2" t="s">
        <v>37</v>
      </c>
      <c r="E132" s="3" t="s">
        <v>608</v>
      </c>
      <c r="F132" s="3" t="s">
        <v>609</v>
      </c>
      <c r="G132" s="3" t="s">
        <v>610</v>
      </c>
      <c r="J132" s="5" t="s">
        <v>606</v>
      </c>
      <c r="K132" s="5" t="s">
        <v>607</v>
      </c>
      <c r="L132" s="5" t="s">
        <v>598</v>
      </c>
      <c r="M132" s="3">
        <f t="shared" si="18"/>
        <v>3.0000000260770321E-3</v>
      </c>
      <c r="N132" s="3">
        <f t="shared" si="19"/>
        <v>2.590000000782311E-2</v>
      </c>
      <c r="O132" s="3">
        <f t="shared" si="20"/>
        <v>3.8200000000003342E-2</v>
      </c>
      <c r="P132">
        <f t="shared" si="21"/>
        <v>9.0000001564621932E-6</v>
      </c>
      <c r="Q132">
        <f t="shared" si="22"/>
        <v>6.7081000040523702E-4</v>
      </c>
      <c r="R132">
        <f t="shared" si="23"/>
        <v>1.4592400000002553E-3</v>
      </c>
      <c r="S132">
        <f t="shared" si="24"/>
        <v>6.7981000056169922E-4</v>
      </c>
      <c r="T132">
        <f t="shared" si="25"/>
        <v>2.6073166293369497E-2</v>
      </c>
    </row>
    <row r="133" spans="1:20" x14ac:dyDescent="0.3">
      <c r="A133" s="2" t="s">
        <v>1168</v>
      </c>
      <c r="B133" s="6" t="s">
        <v>602</v>
      </c>
      <c r="C133" s="2" t="s">
        <v>20</v>
      </c>
      <c r="D133" s="2" t="s">
        <v>46</v>
      </c>
      <c r="E133" s="3" t="s">
        <v>611</v>
      </c>
      <c r="F133" s="3" t="s">
        <v>612</v>
      </c>
      <c r="G133" s="3" t="s">
        <v>613</v>
      </c>
      <c r="J133" s="5" t="s">
        <v>606</v>
      </c>
      <c r="K133" s="5" t="s">
        <v>607</v>
      </c>
      <c r="L133" s="5" t="s">
        <v>598</v>
      </c>
      <c r="M133" s="3">
        <f t="shared" si="18"/>
        <v>1.0000000474974513E-4</v>
      </c>
      <c r="N133" s="3">
        <f t="shared" si="19"/>
        <v>2.2399999987101182E-2</v>
      </c>
      <c r="O133" s="3">
        <f t="shared" si="20"/>
        <v>2.9200000000003001E-2</v>
      </c>
      <c r="P133">
        <f t="shared" si="21"/>
        <v>1.0000000949949049E-8</v>
      </c>
      <c r="Q133">
        <f t="shared" si="22"/>
        <v>5.01759999422133E-4</v>
      </c>
      <c r="R133">
        <f t="shared" si="23"/>
        <v>8.5264000000017531E-4</v>
      </c>
      <c r="S133">
        <f t="shared" si="24"/>
        <v>5.0176999942308292E-4</v>
      </c>
      <c r="T133">
        <f t="shared" si="25"/>
        <v>2.2400223200296082E-2</v>
      </c>
    </row>
    <row r="134" spans="1:20" x14ac:dyDescent="0.3">
      <c r="A134" s="2" t="s">
        <v>1168</v>
      </c>
      <c r="B134" s="6" t="s">
        <v>602</v>
      </c>
      <c r="C134" s="2" t="s">
        <v>51</v>
      </c>
      <c r="D134" s="2" t="s">
        <v>63</v>
      </c>
      <c r="E134" s="3" t="s">
        <v>614</v>
      </c>
      <c r="F134" s="3" t="s">
        <v>615</v>
      </c>
      <c r="G134" s="3" t="s">
        <v>616</v>
      </c>
      <c r="J134" s="5" t="s">
        <v>606</v>
      </c>
      <c r="K134" s="5" t="s">
        <v>607</v>
      </c>
      <c r="L134" s="5" t="s">
        <v>598</v>
      </c>
      <c r="M134" s="3">
        <f t="shared" si="18"/>
        <v>-2.199999988079071E-3</v>
      </c>
      <c r="N134" s="3">
        <f t="shared" si="19"/>
        <v>2.8900000004796311E-2</v>
      </c>
      <c r="O134" s="3">
        <f t="shared" si="20"/>
        <v>0.15519999999999357</v>
      </c>
      <c r="P134">
        <f t="shared" si="21"/>
        <v>4.8399999475479127E-6</v>
      </c>
      <c r="Q134">
        <f t="shared" si="22"/>
        <v>8.3521000027722678E-4</v>
      </c>
      <c r="R134">
        <f t="shared" si="23"/>
        <v>2.4087039999998002E-2</v>
      </c>
      <c r="S134">
        <f t="shared" si="24"/>
        <v>8.4005000022477469E-4</v>
      </c>
      <c r="T134">
        <f t="shared" si="25"/>
        <v>2.8983616065370012E-2</v>
      </c>
    </row>
    <row r="135" spans="1:20" x14ac:dyDescent="0.3">
      <c r="A135" s="2" t="s">
        <v>1168</v>
      </c>
      <c r="B135" s="6" t="s">
        <v>602</v>
      </c>
      <c r="C135" s="2" t="s">
        <v>51</v>
      </c>
      <c r="D135" s="2" t="s">
        <v>30</v>
      </c>
      <c r="E135" s="3" t="s">
        <v>617</v>
      </c>
      <c r="F135" s="3" t="s">
        <v>618</v>
      </c>
      <c r="G135" s="3" t="s">
        <v>619</v>
      </c>
      <c r="J135" s="5" t="s">
        <v>606</v>
      </c>
      <c r="K135" s="5" t="s">
        <v>607</v>
      </c>
      <c r="L135" s="5" t="s">
        <v>598</v>
      </c>
      <c r="M135" s="3">
        <f t="shared" si="18"/>
        <v>-6.9999999832361937E-3</v>
      </c>
      <c r="N135" s="3">
        <f t="shared" si="19"/>
        <v>2.7399999991757795E-2</v>
      </c>
      <c r="O135" s="3">
        <f t="shared" si="20"/>
        <v>0.14820000000000277</v>
      </c>
      <c r="P135">
        <f t="shared" si="21"/>
        <v>4.8999999765306711E-5</v>
      </c>
      <c r="Q135">
        <f t="shared" si="22"/>
        <v>7.5075999954832718E-4</v>
      </c>
      <c r="R135">
        <f t="shared" si="23"/>
        <v>2.1963240000000821E-2</v>
      </c>
      <c r="S135">
        <f t="shared" si="24"/>
        <v>7.9975999931363394E-4</v>
      </c>
      <c r="T135">
        <f t="shared" si="25"/>
        <v>2.828002827639382E-2</v>
      </c>
    </row>
    <row r="136" spans="1:20" x14ac:dyDescent="0.3">
      <c r="A136" s="2" t="s">
        <v>1168</v>
      </c>
      <c r="B136" s="6" t="s">
        <v>602</v>
      </c>
      <c r="C136" s="2" t="s">
        <v>51</v>
      </c>
      <c r="D136" s="2" t="s">
        <v>52</v>
      </c>
      <c r="E136" s="3" t="s">
        <v>620</v>
      </c>
      <c r="F136" s="3" t="s">
        <v>621</v>
      </c>
      <c r="G136" s="3" t="s">
        <v>622</v>
      </c>
      <c r="J136" s="5" t="s">
        <v>606</v>
      </c>
      <c r="K136" s="5" t="s">
        <v>607</v>
      </c>
      <c r="L136" s="5" t="s">
        <v>598</v>
      </c>
      <c r="M136" s="3">
        <f t="shared" si="18"/>
        <v>1.7000000225380063E-3</v>
      </c>
      <c r="N136" s="3">
        <f t="shared" si="19"/>
        <v>2.5399999984074384E-2</v>
      </c>
      <c r="O136" s="3">
        <f t="shared" si="20"/>
        <v>0.16920000000000357</v>
      </c>
      <c r="P136">
        <f t="shared" si="21"/>
        <v>2.8900000766292219E-6</v>
      </c>
      <c r="Q136">
        <f t="shared" si="22"/>
        <v>6.4515999919097873E-4</v>
      </c>
      <c r="R136">
        <f t="shared" si="23"/>
        <v>2.8628640000001208E-2</v>
      </c>
      <c r="S136">
        <f t="shared" si="24"/>
        <v>6.4804999926760794E-4</v>
      </c>
      <c r="T136">
        <f t="shared" si="25"/>
        <v>2.5456826182138414E-2</v>
      </c>
    </row>
    <row r="137" spans="1:20" x14ac:dyDescent="0.3">
      <c r="A137" s="2" t="s">
        <v>1168</v>
      </c>
      <c r="B137" s="6" t="s">
        <v>602</v>
      </c>
      <c r="C137" s="2" t="s">
        <v>422</v>
      </c>
      <c r="D137" s="2" t="s">
        <v>423</v>
      </c>
      <c r="E137" s="3" t="s">
        <v>623</v>
      </c>
      <c r="F137" s="3" t="s">
        <v>624</v>
      </c>
      <c r="G137" s="3" t="s">
        <v>625</v>
      </c>
      <c r="J137" s="5" t="s">
        <v>606</v>
      </c>
      <c r="K137" s="5" t="s">
        <v>607</v>
      </c>
      <c r="L137" s="5" t="s">
        <v>598</v>
      </c>
      <c r="M137" s="3">
        <f t="shared" si="18"/>
        <v>-3.0000001424923539E-4</v>
      </c>
      <c r="N137" s="3">
        <f t="shared" si="19"/>
        <v>9.399999980814755E-3</v>
      </c>
      <c r="O137" s="3">
        <f t="shared" si="20"/>
        <v>0.13679999999999382</v>
      </c>
      <c r="P137">
        <f t="shared" si="21"/>
        <v>9.0000008549541438E-8</v>
      </c>
      <c r="Q137">
        <f t="shared" si="22"/>
        <v>8.8359999639317394E-5</v>
      </c>
      <c r="R137">
        <f t="shared" si="23"/>
        <v>1.8714239999998307E-2</v>
      </c>
      <c r="S137">
        <f t="shared" si="24"/>
        <v>8.8449999647866932E-5</v>
      </c>
      <c r="T137">
        <f t="shared" si="25"/>
        <v>9.4047859969202344E-3</v>
      </c>
    </row>
    <row r="138" spans="1:20" x14ac:dyDescent="0.3">
      <c r="A138" s="2" t="s">
        <v>1168</v>
      </c>
      <c r="B138" s="6" t="s">
        <v>626</v>
      </c>
      <c r="C138" s="2" t="s">
        <v>20</v>
      </c>
      <c r="D138" s="2" t="s">
        <v>30</v>
      </c>
      <c r="E138" s="3" t="s">
        <v>627</v>
      </c>
      <c r="F138" s="3" t="s">
        <v>628</v>
      </c>
      <c r="G138" s="3" t="s">
        <v>629</v>
      </c>
      <c r="J138" s="5" t="s">
        <v>630</v>
      </c>
      <c r="K138" s="5" t="s">
        <v>631</v>
      </c>
      <c r="L138" s="5" t="s">
        <v>632</v>
      </c>
      <c r="M138" s="3">
        <f t="shared" si="18"/>
        <v>4.2400000034831464E-2</v>
      </c>
      <c r="N138" s="3">
        <f t="shared" si="19"/>
        <v>-7.1000000170897692E-3</v>
      </c>
      <c r="O138" s="3">
        <f t="shared" si="20"/>
        <v>3.8799999999994839E-2</v>
      </c>
      <c r="P138">
        <f t="shared" si="21"/>
        <v>1.7977600029537083E-3</v>
      </c>
      <c r="Q138">
        <f t="shared" si="22"/>
        <v>5.0410000242674723E-5</v>
      </c>
      <c r="R138">
        <f t="shared" si="23"/>
        <v>1.5054399999995995E-3</v>
      </c>
      <c r="S138">
        <f t="shared" si="24"/>
        <v>1.8481700031963829E-3</v>
      </c>
      <c r="T138">
        <f t="shared" si="25"/>
        <v>4.2990347791060993E-2</v>
      </c>
    </row>
    <row r="139" spans="1:20" x14ac:dyDescent="0.3">
      <c r="A139" s="2" t="s">
        <v>1168</v>
      </c>
      <c r="B139" s="6" t="s">
        <v>626</v>
      </c>
      <c r="C139" s="2" t="s">
        <v>20</v>
      </c>
      <c r="D139" s="2" t="s">
        <v>21</v>
      </c>
      <c r="E139" s="3" t="s">
        <v>633</v>
      </c>
      <c r="F139" s="3" t="s">
        <v>634</v>
      </c>
      <c r="G139" s="3" t="s">
        <v>635</v>
      </c>
      <c r="J139" s="5" t="s">
        <v>630</v>
      </c>
      <c r="K139" s="5" t="s">
        <v>631</v>
      </c>
      <c r="L139" s="5" t="s">
        <v>632</v>
      </c>
      <c r="M139" s="3">
        <f t="shared" si="18"/>
        <v>4.4600000022910535E-2</v>
      </c>
      <c r="N139" s="3">
        <f t="shared" si="19"/>
        <v>-5.9000000183004886E-3</v>
      </c>
      <c r="O139" s="3">
        <f t="shared" si="20"/>
        <v>3.67999999999995E-2</v>
      </c>
      <c r="P139">
        <f t="shared" si="21"/>
        <v>1.9891600020436198E-3</v>
      </c>
      <c r="Q139">
        <f t="shared" si="22"/>
        <v>3.4810000215945765E-5</v>
      </c>
      <c r="R139">
        <f t="shared" si="23"/>
        <v>1.3542399999999632E-3</v>
      </c>
      <c r="S139">
        <f t="shared" si="24"/>
        <v>2.0239700022595657E-3</v>
      </c>
      <c r="T139">
        <f t="shared" si="25"/>
        <v>4.4988554125016796E-2</v>
      </c>
    </row>
    <row r="140" spans="1:20" x14ac:dyDescent="0.3">
      <c r="A140" s="2" t="s">
        <v>1168</v>
      </c>
      <c r="B140" s="6" t="s">
        <v>636</v>
      </c>
      <c r="C140" s="2" t="s">
        <v>20</v>
      </c>
      <c r="D140" s="2" t="s">
        <v>110</v>
      </c>
      <c r="E140" s="3" t="s">
        <v>637</v>
      </c>
      <c r="F140" s="3" t="s">
        <v>638</v>
      </c>
      <c r="G140" s="3" t="s">
        <v>639</v>
      </c>
      <c r="J140" s="5" t="s">
        <v>640</v>
      </c>
      <c r="K140" s="5" t="s">
        <v>641</v>
      </c>
      <c r="L140" s="5" t="s">
        <v>632</v>
      </c>
      <c r="M140" s="3">
        <f t="shared" si="18"/>
        <v>4.7300000034738332E-2</v>
      </c>
      <c r="N140" s="3">
        <f t="shared" si="19"/>
        <v>-1.4800000004470348E-2</v>
      </c>
      <c r="O140" s="3">
        <f t="shared" si="20"/>
        <v>1.279999999999859E-2</v>
      </c>
      <c r="P140">
        <f t="shared" si="21"/>
        <v>2.2372900032862461E-3</v>
      </c>
      <c r="Q140">
        <f t="shared" si="22"/>
        <v>2.1904000013232231E-4</v>
      </c>
      <c r="R140">
        <f t="shared" si="23"/>
        <v>1.638399999999639E-4</v>
      </c>
      <c r="S140">
        <f t="shared" si="24"/>
        <v>2.4563300034185684E-3</v>
      </c>
      <c r="T140">
        <f t="shared" si="25"/>
        <v>4.9561376125149798E-2</v>
      </c>
    </row>
    <row r="141" spans="1:20" x14ac:dyDescent="0.3">
      <c r="A141" s="2" t="s">
        <v>1168</v>
      </c>
      <c r="B141" s="6" t="s">
        <v>636</v>
      </c>
      <c r="C141" s="2" t="s">
        <v>20</v>
      </c>
      <c r="D141" s="2" t="s">
        <v>37</v>
      </c>
      <c r="E141" s="3" t="s">
        <v>642</v>
      </c>
      <c r="F141" s="3" t="s">
        <v>643</v>
      </c>
      <c r="G141" s="3" t="s">
        <v>644</v>
      </c>
      <c r="J141" s="5" t="s">
        <v>640</v>
      </c>
      <c r="K141" s="5" t="s">
        <v>641</v>
      </c>
      <c r="L141" s="5" t="s">
        <v>632</v>
      </c>
      <c r="M141" s="3">
        <f t="shared" si="18"/>
        <v>4.1700000001583248E-2</v>
      </c>
      <c r="N141" s="3">
        <f t="shared" si="19"/>
        <v>-9.09999999566935E-3</v>
      </c>
      <c r="O141" s="3">
        <f t="shared" si="20"/>
        <v>1.9799999999996487E-2</v>
      </c>
      <c r="P141">
        <f t="shared" si="21"/>
        <v>1.7388900001320429E-3</v>
      </c>
      <c r="Q141">
        <f t="shared" si="22"/>
        <v>8.2809999921182176E-5</v>
      </c>
      <c r="R141">
        <f t="shared" si="23"/>
        <v>3.9203999999986086E-4</v>
      </c>
      <c r="S141">
        <f t="shared" si="24"/>
        <v>1.8217000000532251E-3</v>
      </c>
      <c r="T141">
        <f t="shared" si="25"/>
        <v>4.2681377672858983E-2</v>
      </c>
    </row>
    <row r="142" spans="1:20" x14ac:dyDescent="0.3">
      <c r="A142" s="2" t="s">
        <v>1168</v>
      </c>
      <c r="B142" s="6" t="s">
        <v>636</v>
      </c>
      <c r="C142" s="2" t="s">
        <v>20</v>
      </c>
      <c r="D142" s="2" t="s">
        <v>46</v>
      </c>
      <c r="E142" s="3" t="s">
        <v>645</v>
      </c>
      <c r="F142" s="3" t="s">
        <v>646</v>
      </c>
      <c r="G142" s="3" t="s">
        <v>647</v>
      </c>
      <c r="J142" s="5" t="s">
        <v>640</v>
      </c>
      <c r="K142" s="5" t="s">
        <v>641</v>
      </c>
      <c r="L142" s="5" t="s">
        <v>632</v>
      </c>
      <c r="M142" s="3">
        <f t="shared" si="18"/>
        <v>4.2900000000372529E-2</v>
      </c>
      <c r="N142" s="3">
        <f t="shared" si="19"/>
        <v>-7.6000000117346644E-3</v>
      </c>
      <c r="O142" s="3">
        <f t="shared" si="20"/>
        <v>3.2799999999994611E-2</v>
      </c>
      <c r="P142">
        <f t="shared" si="21"/>
        <v>1.8404100000319629E-3</v>
      </c>
      <c r="Q142">
        <f t="shared" si="22"/>
        <v>5.77600001783669E-5</v>
      </c>
      <c r="R142">
        <f t="shared" si="23"/>
        <v>1.0758399999996465E-3</v>
      </c>
      <c r="S142">
        <f t="shared" si="24"/>
        <v>1.8981700002103298E-3</v>
      </c>
      <c r="T142">
        <f t="shared" si="25"/>
        <v>4.3567992841193982E-2</v>
      </c>
    </row>
    <row r="143" spans="1:20" x14ac:dyDescent="0.3">
      <c r="A143" s="2" t="s">
        <v>1168</v>
      </c>
      <c r="B143" s="6" t="s">
        <v>636</v>
      </c>
      <c r="C143" s="2" t="s">
        <v>51</v>
      </c>
      <c r="D143" s="2" t="s">
        <v>63</v>
      </c>
      <c r="E143" s="3" t="s">
        <v>648</v>
      </c>
      <c r="F143" s="3" t="s">
        <v>649</v>
      </c>
      <c r="G143" s="3" t="s">
        <v>650</v>
      </c>
      <c r="J143" s="5" t="s">
        <v>640</v>
      </c>
      <c r="K143" s="5" t="s">
        <v>641</v>
      </c>
      <c r="L143" s="5" t="s">
        <v>632</v>
      </c>
      <c r="M143" s="3">
        <f t="shared" si="18"/>
        <v>4.5199999993201345E-2</v>
      </c>
      <c r="N143" s="3">
        <f t="shared" si="19"/>
        <v>-1.3700000010430813E-2</v>
      </c>
      <c r="O143" s="3">
        <f t="shared" si="20"/>
        <v>0.11179999999999524</v>
      </c>
      <c r="P143">
        <f t="shared" si="21"/>
        <v>2.0430399993854017E-3</v>
      </c>
      <c r="Q143">
        <f t="shared" si="22"/>
        <v>1.8769000028580427E-4</v>
      </c>
      <c r="R143">
        <f t="shared" si="23"/>
        <v>1.2499239999998935E-2</v>
      </c>
      <c r="S143">
        <f t="shared" si="24"/>
        <v>2.2307299996712059E-3</v>
      </c>
      <c r="T143">
        <f t="shared" si="25"/>
        <v>4.72306044813234E-2</v>
      </c>
    </row>
    <row r="144" spans="1:20" x14ac:dyDescent="0.3">
      <c r="A144" s="2" t="s">
        <v>1168</v>
      </c>
      <c r="B144" s="6" t="s">
        <v>636</v>
      </c>
      <c r="C144" s="2" t="s">
        <v>51</v>
      </c>
      <c r="D144" s="2" t="s">
        <v>30</v>
      </c>
      <c r="E144" s="3" t="s">
        <v>651</v>
      </c>
      <c r="F144" s="3" t="s">
        <v>652</v>
      </c>
      <c r="G144" s="3" t="s">
        <v>653</v>
      </c>
      <c r="J144" s="5" t="s">
        <v>640</v>
      </c>
      <c r="K144" s="5" t="s">
        <v>641</v>
      </c>
      <c r="L144" s="5" t="s">
        <v>632</v>
      </c>
      <c r="M144" s="3">
        <f t="shared" si="18"/>
        <v>4.3200000014621764E-2</v>
      </c>
      <c r="N144" s="3">
        <f t="shared" si="19"/>
        <v>-7.8999999968800694E-3</v>
      </c>
      <c r="O144" s="3">
        <f t="shared" si="20"/>
        <v>0.13980000000000103</v>
      </c>
      <c r="P144">
        <f t="shared" si="21"/>
        <v>1.8662400012633205E-3</v>
      </c>
      <c r="Q144">
        <f t="shared" si="22"/>
        <v>6.2409999950705102E-5</v>
      </c>
      <c r="R144">
        <f t="shared" si="23"/>
        <v>1.954404000000029E-2</v>
      </c>
      <c r="S144">
        <f t="shared" si="24"/>
        <v>1.9286500012140257E-3</v>
      </c>
      <c r="T144">
        <f t="shared" si="25"/>
        <v>4.3916397862461647E-2</v>
      </c>
    </row>
    <row r="145" spans="1:20" x14ac:dyDescent="0.3">
      <c r="A145" s="2" t="s">
        <v>1168</v>
      </c>
      <c r="B145" s="6" t="s">
        <v>636</v>
      </c>
      <c r="C145" s="2" t="s">
        <v>51</v>
      </c>
      <c r="D145" s="2" t="s">
        <v>52</v>
      </c>
      <c r="E145" s="3" t="s">
        <v>654</v>
      </c>
      <c r="F145" s="3" t="s">
        <v>655</v>
      </c>
      <c r="G145" s="3" t="s">
        <v>656</v>
      </c>
      <c r="J145" s="5" t="s">
        <v>640</v>
      </c>
      <c r="K145" s="5" t="s">
        <v>641</v>
      </c>
      <c r="L145" s="5" t="s">
        <v>632</v>
      </c>
      <c r="M145" s="3">
        <f t="shared" si="18"/>
        <v>4.6200000040698797E-2</v>
      </c>
      <c r="N145" s="3">
        <f t="shared" si="19"/>
        <v>-6.2000000034458935E-3</v>
      </c>
      <c r="O145" s="3">
        <f t="shared" si="20"/>
        <v>0.14479999999999649</v>
      </c>
      <c r="P145">
        <f t="shared" si="21"/>
        <v>2.1344400037605687E-3</v>
      </c>
      <c r="Q145">
        <f t="shared" si="22"/>
        <v>3.8440000042729076E-5</v>
      </c>
      <c r="R145">
        <f t="shared" si="23"/>
        <v>2.0967039999998983E-2</v>
      </c>
      <c r="S145">
        <f t="shared" si="24"/>
        <v>2.1728800038032978E-3</v>
      </c>
      <c r="T145">
        <f t="shared" si="25"/>
        <v>4.6614160979291455E-2</v>
      </c>
    </row>
    <row r="146" spans="1:20" x14ac:dyDescent="0.3">
      <c r="A146" s="2" t="s">
        <v>1168</v>
      </c>
      <c r="B146" s="6" t="s">
        <v>636</v>
      </c>
      <c r="C146" s="2" t="s">
        <v>422</v>
      </c>
      <c r="D146" s="2" t="s">
        <v>423</v>
      </c>
      <c r="E146" s="3" t="s">
        <v>657</v>
      </c>
      <c r="F146" s="3" t="s">
        <v>658</v>
      </c>
      <c r="G146" s="3" t="s">
        <v>659</v>
      </c>
      <c r="J146" s="5" t="s">
        <v>640</v>
      </c>
      <c r="K146" s="5" t="s">
        <v>641</v>
      </c>
      <c r="L146" s="5" t="s">
        <v>632</v>
      </c>
      <c r="M146" s="3">
        <f t="shared" si="18"/>
        <v>2.68999999971129E-2</v>
      </c>
      <c r="N146" s="3">
        <f t="shared" si="19"/>
        <v>-7.0000000414438546E-4</v>
      </c>
      <c r="O146" s="3">
        <f t="shared" si="20"/>
        <v>0.13220000000000454</v>
      </c>
      <c r="P146">
        <f t="shared" si="21"/>
        <v>7.2360999984467402E-4</v>
      </c>
      <c r="Q146">
        <f t="shared" si="22"/>
        <v>4.9000000580213966E-7</v>
      </c>
      <c r="R146">
        <f t="shared" si="23"/>
        <v>1.7476840000001201E-2</v>
      </c>
      <c r="S146">
        <f t="shared" si="24"/>
        <v>7.2409999985047614E-4</v>
      </c>
      <c r="T146">
        <f t="shared" si="25"/>
        <v>2.6909106262573569E-2</v>
      </c>
    </row>
    <row r="147" spans="1:20" x14ac:dyDescent="0.3">
      <c r="A147" s="2" t="s">
        <v>1168</v>
      </c>
      <c r="B147" s="6" t="s">
        <v>660</v>
      </c>
      <c r="C147" s="2" t="s">
        <v>20</v>
      </c>
      <c r="D147" s="2" t="s">
        <v>30</v>
      </c>
      <c r="E147" s="3" t="s">
        <v>661</v>
      </c>
      <c r="F147" s="3" t="s">
        <v>662</v>
      </c>
      <c r="G147" s="3" t="s">
        <v>663</v>
      </c>
      <c r="J147" s="3">
        <v>358366.22029999999</v>
      </c>
      <c r="K147" s="3">
        <v>203018.79389999999</v>
      </c>
      <c r="L147" s="3">
        <v>65.672899999999998</v>
      </c>
      <c r="M147" s="3">
        <f t="shared" si="18"/>
        <v>-2.8099999995902181E-2</v>
      </c>
      <c r="N147" s="3">
        <f t="shared" si="19"/>
        <v>-1.2199999997392297E-2</v>
      </c>
      <c r="O147" s="3">
        <f t="shared" si="20"/>
        <v>5.0999999999987722E-3</v>
      </c>
      <c r="P147">
        <f t="shared" si="21"/>
        <v>7.896099997697025E-4</v>
      </c>
      <c r="Q147">
        <f t="shared" si="22"/>
        <v>1.4883999993637204E-4</v>
      </c>
      <c r="R147">
        <f t="shared" si="23"/>
        <v>2.6009999999987477E-5</v>
      </c>
      <c r="S147">
        <f t="shared" si="24"/>
        <v>9.3844999970607449E-4</v>
      </c>
      <c r="T147">
        <f t="shared" si="25"/>
        <v>3.0634131286949765E-2</v>
      </c>
    </row>
    <row r="148" spans="1:20" x14ac:dyDescent="0.3">
      <c r="A148" s="2" t="s">
        <v>1168</v>
      </c>
      <c r="B148" s="6" t="s">
        <v>660</v>
      </c>
      <c r="C148" s="2" t="s">
        <v>20</v>
      </c>
      <c r="D148" s="2" t="s">
        <v>21</v>
      </c>
      <c r="E148" s="3" t="s">
        <v>664</v>
      </c>
      <c r="F148" s="3" t="s">
        <v>665</v>
      </c>
      <c r="G148" s="3" t="s">
        <v>666</v>
      </c>
      <c r="J148" s="3">
        <v>358366.22029999999</v>
      </c>
      <c r="K148" s="3">
        <v>203018.79389999999</v>
      </c>
      <c r="L148" s="3">
        <v>65.672899999999998</v>
      </c>
      <c r="M148" s="3">
        <f t="shared" si="18"/>
        <v>-3.460000001359731E-2</v>
      </c>
      <c r="N148" s="3">
        <f t="shared" si="19"/>
        <v>-1.2700000021141022E-2</v>
      </c>
      <c r="O148" s="3">
        <f t="shared" si="20"/>
        <v>5.8999999999969077E-3</v>
      </c>
      <c r="P148">
        <f t="shared" si="21"/>
        <v>1.1971600009409338E-3</v>
      </c>
      <c r="Q148">
        <f t="shared" si="22"/>
        <v>1.6129000053698197E-4</v>
      </c>
      <c r="R148">
        <f t="shared" si="23"/>
        <v>3.480999999996351E-5</v>
      </c>
      <c r="S148">
        <f t="shared" si="24"/>
        <v>1.3584500014779159E-3</v>
      </c>
      <c r="T148">
        <f t="shared" si="25"/>
        <v>3.6857156719935898E-2</v>
      </c>
    </row>
    <row r="149" spans="1:20" x14ac:dyDescent="0.3">
      <c r="A149" s="2" t="s">
        <v>1168</v>
      </c>
      <c r="B149" s="6" t="s">
        <v>660</v>
      </c>
      <c r="C149" s="2" t="s">
        <v>20</v>
      </c>
      <c r="D149" s="2" t="s">
        <v>110</v>
      </c>
      <c r="E149" s="3" t="s">
        <v>667</v>
      </c>
      <c r="F149" s="3" t="s">
        <v>668</v>
      </c>
      <c r="G149" s="3" t="s">
        <v>669</v>
      </c>
      <c r="J149" s="3">
        <v>358366.22029999999</v>
      </c>
      <c r="K149" s="3">
        <v>203018.79389999999</v>
      </c>
      <c r="L149" s="3">
        <v>65.672899999999998</v>
      </c>
      <c r="M149" s="3">
        <f t="shared" si="18"/>
        <v>-3.0100000032689422E-2</v>
      </c>
      <c r="N149" s="3">
        <f t="shared" si="19"/>
        <v>-1.0900000022957101E-2</v>
      </c>
      <c r="O149" s="3">
        <f t="shared" si="20"/>
        <v>1.9099999999994566E-2</v>
      </c>
      <c r="P149">
        <f t="shared" si="21"/>
        <v>9.0601000196790322E-4</v>
      </c>
      <c r="Q149">
        <f t="shared" si="22"/>
        <v>1.1881000050046482E-4</v>
      </c>
      <c r="R149">
        <f t="shared" si="23"/>
        <v>3.648099999997924E-4</v>
      </c>
      <c r="S149">
        <f t="shared" si="24"/>
        <v>1.024820002468368E-3</v>
      </c>
      <c r="T149">
        <f t="shared" si="25"/>
        <v>3.2012809974576867E-2</v>
      </c>
    </row>
    <row r="150" spans="1:20" x14ac:dyDescent="0.3">
      <c r="A150" s="2" t="s">
        <v>1168</v>
      </c>
      <c r="B150" s="6" t="s">
        <v>660</v>
      </c>
      <c r="C150" s="2" t="s">
        <v>20</v>
      </c>
      <c r="D150" s="2" t="s">
        <v>37</v>
      </c>
      <c r="E150" s="3" t="s">
        <v>670</v>
      </c>
      <c r="F150" s="3" t="s">
        <v>671</v>
      </c>
      <c r="G150" s="3" t="s">
        <v>672</v>
      </c>
      <c r="J150" s="3">
        <v>358366.22029999999</v>
      </c>
      <c r="K150" s="3">
        <v>203018.79389999999</v>
      </c>
      <c r="L150" s="3">
        <v>65.672899999999998</v>
      </c>
      <c r="M150" s="3">
        <f t="shared" si="18"/>
        <v>-2.9399999999441206E-2</v>
      </c>
      <c r="N150" s="3">
        <f t="shared" si="19"/>
        <v>-1.0300000023562461E-2</v>
      </c>
      <c r="O150" s="3">
        <f t="shared" si="20"/>
        <v>2.6899999999997704E-2</v>
      </c>
      <c r="P150">
        <f t="shared" si="21"/>
        <v>8.6435999996714293E-4</v>
      </c>
      <c r="Q150">
        <f t="shared" si="22"/>
        <v>1.060900004853867E-4</v>
      </c>
      <c r="R150">
        <f t="shared" si="23"/>
        <v>7.2360999999987647E-4</v>
      </c>
      <c r="S150">
        <f t="shared" si="24"/>
        <v>9.704500004525296E-4</v>
      </c>
      <c r="T150">
        <f t="shared" si="25"/>
        <v>3.1152046488995385E-2</v>
      </c>
    </row>
    <row r="151" spans="1:20" x14ac:dyDescent="0.3">
      <c r="A151" s="2" t="s">
        <v>1168</v>
      </c>
      <c r="B151" s="6" t="s">
        <v>660</v>
      </c>
      <c r="C151" s="2" t="s">
        <v>20</v>
      </c>
      <c r="D151" s="2" t="s">
        <v>46</v>
      </c>
      <c r="E151" s="3" t="s">
        <v>673</v>
      </c>
      <c r="F151" s="3" t="s">
        <v>674</v>
      </c>
      <c r="G151" s="3" t="s">
        <v>675</v>
      </c>
      <c r="J151" s="3">
        <v>358366.22029999999</v>
      </c>
      <c r="K151" s="3">
        <v>203018.79389999999</v>
      </c>
      <c r="L151" s="3">
        <v>65.672899999999998</v>
      </c>
      <c r="M151" s="3">
        <f t="shared" si="18"/>
        <v>-3.0800000007729977E-2</v>
      </c>
      <c r="N151" s="3">
        <f t="shared" si="19"/>
        <v>-8.0000000016298145E-3</v>
      </c>
      <c r="O151" s="3">
        <f t="shared" si="20"/>
        <v>1.9899999999992701E-2</v>
      </c>
      <c r="P151">
        <f t="shared" si="21"/>
        <v>9.4864000047616658E-4</v>
      </c>
      <c r="Q151">
        <f t="shared" si="22"/>
        <v>6.4000000026077038E-5</v>
      </c>
      <c r="R151">
        <f t="shared" si="23"/>
        <v>3.9600999999970951E-4</v>
      </c>
      <c r="S151">
        <f t="shared" si="24"/>
        <v>1.0126400005022436E-3</v>
      </c>
      <c r="T151">
        <f t="shared" si="25"/>
        <v>3.1822004973009535E-2</v>
      </c>
    </row>
    <row r="152" spans="1:20" x14ac:dyDescent="0.3">
      <c r="A152" s="2" t="s">
        <v>1168</v>
      </c>
      <c r="B152" s="6" t="s">
        <v>660</v>
      </c>
      <c r="C152" s="2" t="s">
        <v>51</v>
      </c>
      <c r="D152" s="2" t="s">
        <v>63</v>
      </c>
      <c r="E152" s="3" t="s">
        <v>676</v>
      </c>
      <c r="F152" s="3" t="s">
        <v>677</v>
      </c>
      <c r="G152" s="3" t="s">
        <v>678</v>
      </c>
      <c r="J152" s="3">
        <v>358366.22029999999</v>
      </c>
      <c r="K152" s="3">
        <v>203018.79389999999</v>
      </c>
      <c r="L152" s="3">
        <v>65.672899999999998</v>
      </c>
      <c r="M152" s="3">
        <f t="shared" si="18"/>
        <v>-3.8600000028964132E-2</v>
      </c>
      <c r="N152" s="3">
        <f t="shared" si="19"/>
        <v>-5.9000000183004886E-3</v>
      </c>
      <c r="O152" s="3">
        <f t="shared" si="20"/>
        <v>9.9000000000017963E-3</v>
      </c>
      <c r="P152">
        <f t="shared" si="21"/>
        <v>1.489960002236031E-3</v>
      </c>
      <c r="Q152">
        <f t="shared" si="22"/>
        <v>3.4810000215945765E-5</v>
      </c>
      <c r="R152">
        <f t="shared" si="23"/>
        <v>9.8010000000035567E-5</v>
      </c>
      <c r="S152">
        <f t="shared" si="24"/>
        <v>1.5247700024519767E-3</v>
      </c>
      <c r="T152">
        <f t="shared" si="25"/>
        <v>3.9048303451647892E-2</v>
      </c>
    </row>
    <row r="153" spans="1:20" x14ac:dyDescent="0.3">
      <c r="A153" s="2" t="s">
        <v>1168</v>
      </c>
      <c r="B153" s="6" t="s">
        <v>660</v>
      </c>
      <c r="C153" s="2" t="s">
        <v>51</v>
      </c>
      <c r="D153" s="2" t="s">
        <v>30</v>
      </c>
      <c r="E153" s="3" t="s">
        <v>679</v>
      </c>
      <c r="F153" s="3" t="s">
        <v>680</v>
      </c>
      <c r="G153" s="3" t="s">
        <v>681</v>
      </c>
      <c r="J153" s="3">
        <v>358366.22029999999</v>
      </c>
      <c r="K153" s="3">
        <v>203018.79389999999</v>
      </c>
      <c r="L153" s="3">
        <v>65.672899999999998</v>
      </c>
      <c r="M153" s="3">
        <f t="shared" si="18"/>
        <v>-3.0399999988730997E-2</v>
      </c>
      <c r="N153" s="3">
        <f t="shared" si="19"/>
        <v>-7.5000000069849193E-3</v>
      </c>
      <c r="O153" s="3">
        <f t="shared" si="20"/>
        <v>1.4099999999999113E-2</v>
      </c>
      <c r="P153">
        <f t="shared" si="21"/>
        <v>9.2415999931484466E-4</v>
      </c>
      <c r="Q153">
        <f t="shared" si="22"/>
        <v>5.6250000104773786E-5</v>
      </c>
      <c r="R153">
        <f t="shared" si="23"/>
        <v>1.9880999999997498E-4</v>
      </c>
      <c r="S153">
        <f t="shared" si="24"/>
        <v>9.8040999941961847E-4</v>
      </c>
      <c r="T153">
        <f t="shared" si="25"/>
        <v>3.1311499475745623E-2</v>
      </c>
    </row>
    <row r="154" spans="1:20" x14ac:dyDescent="0.3">
      <c r="A154" s="2" t="s">
        <v>1168</v>
      </c>
      <c r="B154" s="6" t="s">
        <v>660</v>
      </c>
      <c r="C154" s="2" t="s">
        <v>51</v>
      </c>
      <c r="D154" s="2" t="s">
        <v>52</v>
      </c>
      <c r="E154" s="3" t="s">
        <v>682</v>
      </c>
      <c r="F154" s="3" t="s">
        <v>683</v>
      </c>
      <c r="G154" s="3" t="s">
        <v>684</v>
      </c>
      <c r="J154" s="3">
        <v>358366.22029999999</v>
      </c>
      <c r="K154" s="3">
        <v>203018.79389999999</v>
      </c>
      <c r="L154" s="3">
        <v>65.672899999999998</v>
      </c>
      <c r="M154" s="3">
        <f t="shared" si="18"/>
        <v>-2.9199999989941716E-2</v>
      </c>
      <c r="N154" s="3">
        <f t="shared" si="19"/>
        <v>-1.4800000004470348E-2</v>
      </c>
      <c r="O154" s="3">
        <f t="shared" si="20"/>
        <v>1.1000000000080945E-3</v>
      </c>
      <c r="P154">
        <f t="shared" si="21"/>
        <v>8.5263999941259617E-4</v>
      </c>
      <c r="Q154">
        <f t="shared" si="22"/>
        <v>2.1904000013232231E-4</v>
      </c>
      <c r="R154">
        <f t="shared" si="23"/>
        <v>1.2100000000178079E-6</v>
      </c>
      <c r="S154">
        <f t="shared" si="24"/>
        <v>1.0716799995449185E-3</v>
      </c>
      <c r="T154">
        <f t="shared" si="25"/>
        <v>3.2736523938025529E-2</v>
      </c>
    </row>
    <row r="155" spans="1:20" x14ac:dyDescent="0.3">
      <c r="A155" s="2" t="s">
        <v>1168</v>
      </c>
      <c r="B155" s="6" t="s">
        <v>660</v>
      </c>
      <c r="C155" s="2" t="s">
        <v>422</v>
      </c>
      <c r="D155" s="2" t="s">
        <v>423</v>
      </c>
      <c r="E155" s="3" t="s">
        <v>664</v>
      </c>
      <c r="F155" s="3" t="s">
        <v>685</v>
      </c>
      <c r="G155" s="3" t="s">
        <v>686</v>
      </c>
      <c r="J155" s="3">
        <v>358366.22029999999</v>
      </c>
      <c r="K155" s="3">
        <v>203018.79389999999</v>
      </c>
      <c r="L155" s="3">
        <v>65.672899999999998</v>
      </c>
      <c r="M155" s="3">
        <f t="shared" si="18"/>
        <v>-3.460000001359731E-2</v>
      </c>
      <c r="N155" s="3">
        <f t="shared" si="19"/>
        <v>-1.8500000005587935E-2</v>
      </c>
      <c r="O155" s="3">
        <f t="shared" si="20"/>
        <v>9.010000000000673E-2</v>
      </c>
      <c r="P155">
        <f t="shared" si="21"/>
        <v>1.1971600009409338E-3</v>
      </c>
      <c r="Q155">
        <f t="shared" si="22"/>
        <v>3.4225000020675361E-4</v>
      </c>
      <c r="R155">
        <f t="shared" si="23"/>
        <v>8.1180100000012127E-3</v>
      </c>
      <c r="S155">
        <f t="shared" si="24"/>
        <v>1.5394100011476874E-3</v>
      </c>
      <c r="T155">
        <f t="shared" si="25"/>
        <v>3.9235315739110439E-2</v>
      </c>
    </row>
    <row r="156" spans="1:20" x14ac:dyDescent="0.3">
      <c r="A156" s="2" t="s">
        <v>1168</v>
      </c>
      <c r="B156" s="6" t="s">
        <v>687</v>
      </c>
      <c r="C156" s="2" t="s">
        <v>20</v>
      </c>
      <c r="D156" s="2" t="s">
        <v>30</v>
      </c>
      <c r="E156" s="3" t="s">
        <v>688</v>
      </c>
      <c r="F156" s="3" t="s">
        <v>689</v>
      </c>
      <c r="G156" s="3" t="s">
        <v>690</v>
      </c>
      <c r="J156" s="7">
        <v>377029.62939999998</v>
      </c>
      <c r="K156" s="7">
        <v>209181.60630000001</v>
      </c>
      <c r="L156" s="7">
        <v>69.233599999999996</v>
      </c>
      <c r="M156" s="3">
        <f t="shared" si="18"/>
        <v>1.720000000204891E-2</v>
      </c>
      <c r="N156" s="3">
        <f t="shared" si="19"/>
        <v>-2.4599999975180253E-2</v>
      </c>
      <c r="O156" s="3">
        <f t="shared" si="20"/>
        <v>1.1400000000008959E-2</v>
      </c>
      <c r="P156">
        <f t="shared" si="21"/>
        <v>2.9584000007048248E-4</v>
      </c>
      <c r="Q156">
        <f t="shared" si="22"/>
        <v>6.051599987788685E-4</v>
      </c>
      <c r="R156">
        <f t="shared" si="23"/>
        <v>1.2996000000020425E-4</v>
      </c>
      <c r="S156">
        <f t="shared" si="24"/>
        <v>9.0099999884935098E-4</v>
      </c>
      <c r="T156">
        <f t="shared" si="25"/>
        <v>3.001666202044043E-2</v>
      </c>
    </row>
    <row r="157" spans="1:20" x14ac:dyDescent="0.3">
      <c r="A157" s="2" t="s">
        <v>1168</v>
      </c>
      <c r="B157" s="6" t="s">
        <v>687</v>
      </c>
      <c r="C157" s="2" t="s">
        <v>20</v>
      </c>
      <c r="D157" s="2" t="s">
        <v>21</v>
      </c>
      <c r="E157" s="3" t="s">
        <v>691</v>
      </c>
      <c r="F157" s="3" t="s">
        <v>692</v>
      </c>
      <c r="G157" s="3" t="s">
        <v>693</v>
      </c>
      <c r="J157" s="7">
        <v>377029.62939999998</v>
      </c>
      <c r="K157" s="7">
        <v>209181.60630000001</v>
      </c>
      <c r="L157" s="7">
        <v>69.233599999999996</v>
      </c>
      <c r="M157" s="3">
        <f t="shared" si="18"/>
        <v>8.0999999772757292E-3</v>
      </c>
      <c r="N157" s="3">
        <f t="shared" si="19"/>
        <v>-1.6399999993154779E-2</v>
      </c>
      <c r="O157" s="3">
        <f t="shared" si="20"/>
        <v>4.0400000000005321E-2</v>
      </c>
      <c r="P157">
        <f t="shared" si="21"/>
        <v>6.5609999631866813E-5</v>
      </c>
      <c r="Q157">
        <f t="shared" si="22"/>
        <v>2.6895999977547675E-4</v>
      </c>
      <c r="R157">
        <f t="shared" si="23"/>
        <v>1.6321600000004299E-3</v>
      </c>
      <c r="S157">
        <f t="shared" si="24"/>
        <v>3.3456999940734356E-4</v>
      </c>
      <c r="T157">
        <f t="shared" si="25"/>
        <v>1.8291254724795224E-2</v>
      </c>
    </row>
    <row r="158" spans="1:20" x14ac:dyDescent="0.3">
      <c r="A158" s="2" t="s">
        <v>1168</v>
      </c>
      <c r="B158" s="6" t="s">
        <v>687</v>
      </c>
      <c r="C158" s="2" t="s">
        <v>20</v>
      </c>
      <c r="D158" s="2" t="s">
        <v>110</v>
      </c>
      <c r="E158" s="3" t="s">
        <v>694</v>
      </c>
      <c r="F158" s="3" t="s">
        <v>695</v>
      </c>
      <c r="G158" s="3" t="s">
        <v>696</v>
      </c>
      <c r="J158" s="7">
        <v>377029.62939999998</v>
      </c>
      <c r="K158" s="7">
        <v>209181.60630000001</v>
      </c>
      <c r="L158" s="7">
        <v>69.233599999999996</v>
      </c>
      <c r="M158" s="3">
        <f t="shared" si="18"/>
        <v>2.2899999981746078E-2</v>
      </c>
      <c r="N158" s="3">
        <f t="shared" si="19"/>
        <v>-2.8999999980442226E-2</v>
      </c>
      <c r="O158" s="3">
        <f t="shared" si="20"/>
        <v>3.4400000000005093E-2</v>
      </c>
      <c r="P158">
        <f t="shared" si="21"/>
        <v>5.244099991639703E-4</v>
      </c>
      <c r="Q158">
        <f t="shared" si="22"/>
        <v>8.4099999886564909E-4</v>
      </c>
      <c r="R158">
        <f t="shared" si="23"/>
        <v>1.1833600000003505E-3</v>
      </c>
      <c r="S158">
        <f t="shared" si="24"/>
        <v>1.3654099980296194E-3</v>
      </c>
      <c r="T158">
        <f t="shared" si="25"/>
        <v>3.6951454613176185E-2</v>
      </c>
    </row>
    <row r="159" spans="1:20" x14ac:dyDescent="0.3">
      <c r="A159" s="2" t="s">
        <v>1168</v>
      </c>
      <c r="B159" s="6" t="s">
        <v>687</v>
      </c>
      <c r="C159" s="2" t="s">
        <v>20</v>
      </c>
      <c r="D159" s="2" t="s">
        <v>37</v>
      </c>
      <c r="E159" s="3" t="s">
        <v>697</v>
      </c>
      <c r="F159" s="3" t="s">
        <v>698</v>
      </c>
      <c r="G159" s="3" t="s">
        <v>699</v>
      </c>
      <c r="J159" s="7">
        <v>377029.62939999998</v>
      </c>
      <c r="K159" s="7">
        <v>209181.60630000001</v>
      </c>
      <c r="L159" s="7">
        <v>69.233599999999996</v>
      </c>
      <c r="M159" s="3">
        <f t="shared" si="18"/>
        <v>2.7199999953154474E-2</v>
      </c>
      <c r="N159" s="3">
        <f t="shared" si="19"/>
        <v>-2.6599999982863665E-2</v>
      </c>
      <c r="O159" s="3">
        <f t="shared" si="20"/>
        <v>3.2400000000009754E-2</v>
      </c>
      <c r="P159">
        <f t="shared" si="21"/>
        <v>7.3983999745160347E-4</v>
      </c>
      <c r="Q159">
        <f t="shared" si="22"/>
        <v>7.0755999908834696E-4</v>
      </c>
      <c r="R159">
        <f t="shared" si="23"/>
        <v>1.0497600000006321E-3</v>
      </c>
      <c r="S159">
        <f t="shared" si="24"/>
        <v>1.4473999965399504E-3</v>
      </c>
      <c r="T159">
        <f t="shared" si="25"/>
        <v>3.804471049357519E-2</v>
      </c>
    </row>
    <row r="160" spans="1:20" x14ac:dyDescent="0.3">
      <c r="A160" s="2" t="s">
        <v>1168</v>
      </c>
      <c r="B160" s="6" t="s">
        <v>687</v>
      </c>
      <c r="C160" s="2" t="s">
        <v>20</v>
      </c>
      <c r="D160" s="2" t="s">
        <v>46</v>
      </c>
      <c r="E160" s="3" t="s">
        <v>700</v>
      </c>
      <c r="F160" s="3" t="s">
        <v>701</v>
      </c>
      <c r="G160" s="3" t="s">
        <v>702</v>
      </c>
      <c r="J160" s="7">
        <v>377029.62939999998</v>
      </c>
      <c r="K160" s="7">
        <v>209181.60630000001</v>
      </c>
      <c r="L160" s="7">
        <v>69.233599999999996</v>
      </c>
      <c r="M160" s="3">
        <f t="shared" si="18"/>
        <v>2.4899999960325658E-2</v>
      </c>
      <c r="N160" s="3">
        <f t="shared" si="19"/>
        <v>-2.1599999978207052E-2</v>
      </c>
      <c r="O160" s="3">
        <f t="shared" si="20"/>
        <v>2.6400000000009527E-2</v>
      </c>
      <c r="P160">
        <f t="shared" si="21"/>
        <v>6.2000999802421777E-4</v>
      </c>
      <c r="Q160">
        <f t="shared" si="22"/>
        <v>4.6655999905854462E-4</v>
      </c>
      <c r="R160">
        <f t="shared" si="23"/>
        <v>6.9696000000050301E-4</v>
      </c>
      <c r="S160">
        <f t="shared" si="24"/>
        <v>1.0865699970827624E-3</v>
      </c>
      <c r="T160">
        <f t="shared" si="25"/>
        <v>3.2963161211915983E-2</v>
      </c>
    </row>
    <row r="161" spans="1:20" x14ac:dyDescent="0.3">
      <c r="A161" s="2" t="s">
        <v>1168</v>
      </c>
      <c r="B161" s="6" t="s">
        <v>687</v>
      </c>
      <c r="C161" s="2" t="s">
        <v>51</v>
      </c>
      <c r="D161" s="2" t="s">
        <v>63</v>
      </c>
      <c r="E161" s="3" t="s">
        <v>703</v>
      </c>
      <c r="F161" s="3" t="s">
        <v>704</v>
      </c>
      <c r="G161" s="3" t="s">
        <v>705</v>
      </c>
      <c r="J161" s="7">
        <v>377029.62939999998</v>
      </c>
      <c r="K161" s="7">
        <v>209181.60630000001</v>
      </c>
      <c r="L161" s="7">
        <v>69.233599999999996</v>
      </c>
      <c r="M161" s="3">
        <f t="shared" si="18"/>
        <v>1.5099999960511923E-2</v>
      </c>
      <c r="N161" s="3">
        <f t="shared" si="19"/>
        <v>-2.5599999993573874E-2</v>
      </c>
      <c r="O161" s="3">
        <f t="shared" si="20"/>
        <v>3.7400000000005207E-2</v>
      </c>
      <c r="P161">
        <f t="shared" si="21"/>
        <v>2.2800999880746007E-4</v>
      </c>
      <c r="Q161">
        <f t="shared" si="22"/>
        <v>6.5535999967098238E-4</v>
      </c>
      <c r="R161">
        <f t="shared" si="23"/>
        <v>1.3987600000003894E-3</v>
      </c>
      <c r="S161">
        <f t="shared" si="24"/>
        <v>8.8336999847844246E-4</v>
      </c>
      <c r="T161">
        <f t="shared" si="25"/>
        <v>2.9721540984249832E-2</v>
      </c>
    </row>
    <row r="162" spans="1:20" x14ac:dyDescent="0.3">
      <c r="A162" s="2" t="s">
        <v>1168</v>
      </c>
      <c r="B162" s="6" t="s">
        <v>687</v>
      </c>
      <c r="C162" s="2" t="s">
        <v>51</v>
      </c>
      <c r="D162" s="2" t="s">
        <v>30</v>
      </c>
      <c r="E162" s="3" t="s">
        <v>706</v>
      </c>
      <c r="F162" s="3" t="s">
        <v>707</v>
      </c>
      <c r="G162" s="3" t="s">
        <v>708</v>
      </c>
      <c r="J162" s="7">
        <v>377029.62939999998</v>
      </c>
      <c r="K162" s="7">
        <v>209181.60630000001</v>
      </c>
      <c r="L162" s="7">
        <v>69.233599999999996</v>
      </c>
      <c r="M162" s="3">
        <f t="shared" si="18"/>
        <v>1.7499999958090484E-2</v>
      </c>
      <c r="N162" s="3">
        <f t="shared" si="19"/>
        <v>-2.0099999994272366E-2</v>
      </c>
      <c r="O162" s="3">
        <f t="shared" si="20"/>
        <v>5.2400000000005775E-2</v>
      </c>
      <c r="P162">
        <f t="shared" si="21"/>
        <v>3.0624999853316693E-4</v>
      </c>
      <c r="Q162">
        <f t="shared" si="22"/>
        <v>4.0400999976974913E-4</v>
      </c>
      <c r="R162">
        <f t="shared" si="23"/>
        <v>2.7457600000006053E-3</v>
      </c>
      <c r="S162">
        <f t="shared" si="24"/>
        <v>7.10259998302916E-4</v>
      </c>
      <c r="T162">
        <f t="shared" si="25"/>
        <v>2.6650703523601698E-2</v>
      </c>
    </row>
    <row r="163" spans="1:20" x14ac:dyDescent="0.3">
      <c r="A163" s="2" t="s">
        <v>1168</v>
      </c>
      <c r="B163" s="6" t="s">
        <v>687</v>
      </c>
      <c r="C163" s="2" t="s">
        <v>51</v>
      </c>
      <c r="D163" s="2" t="s">
        <v>52</v>
      </c>
      <c r="E163" s="3" t="s">
        <v>694</v>
      </c>
      <c r="F163" s="3" t="s">
        <v>709</v>
      </c>
      <c r="G163" s="3" t="s">
        <v>710</v>
      </c>
      <c r="J163" s="7">
        <v>377029.62939999998</v>
      </c>
      <c r="K163" s="7">
        <v>209181.60630000001</v>
      </c>
      <c r="L163" s="7">
        <v>69.233599999999996</v>
      </c>
      <c r="M163" s="3">
        <f t="shared" si="18"/>
        <v>2.2899999981746078E-2</v>
      </c>
      <c r="N163" s="3">
        <f t="shared" si="19"/>
        <v>-2.3999999975785613E-2</v>
      </c>
      <c r="O163" s="3">
        <f t="shared" si="20"/>
        <v>3.1400000000004979E-2</v>
      </c>
      <c r="P163">
        <f t="shared" si="21"/>
        <v>5.244099991639703E-4</v>
      </c>
      <c r="Q163">
        <f t="shared" si="22"/>
        <v>5.7599999883770937E-4</v>
      </c>
      <c r="R163">
        <f t="shared" si="23"/>
        <v>9.8596000000031282E-4</v>
      </c>
      <c r="S163">
        <f t="shared" si="24"/>
        <v>1.1004099980016797E-3</v>
      </c>
      <c r="T163">
        <f t="shared" si="25"/>
        <v>3.3172428280149761E-2</v>
      </c>
    </row>
    <row r="164" spans="1:20" x14ac:dyDescent="0.3">
      <c r="A164" s="2" t="s">
        <v>1168</v>
      </c>
      <c r="B164" s="6" t="s">
        <v>687</v>
      </c>
      <c r="C164" s="2" t="s">
        <v>422</v>
      </c>
      <c r="D164" s="2" t="s">
        <v>423</v>
      </c>
      <c r="E164" s="3" t="s">
        <v>711</v>
      </c>
      <c r="F164" s="3" t="s">
        <v>712</v>
      </c>
      <c r="G164" s="3" t="s">
        <v>713</v>
      </c>
      <c r="J164" s="7">
        <v>377029.62939999998</v>
      </c>
      <c r="K164" s="7">
        <v>209181.60630000001</v>
      </c>
      <c r="L164" s="7">
        <v>69.233599999999996</v>
      </c>
      <c r="M164" s="3">
        <f t="shared" si="18"/>
        <v>1.779999997233972E-2</v>
      </c>
      <c r="N164" s="3">
        <f t="shared" si="19"/>
        <v>-2.8699999995296821E-2</v>
      </c>
      <c r="O164" s="3">
        <f t="shared" si="20"/>
        <v>0.12239999999999895</v>
      </c>
      <c r="P164">
        <f t="shared" si="21"/>
        <v>3.1683999901529401E-4</v>
      </c>
      <c r="Q164">
        <f t="shared" si="22"/>
        <v>8.2368999973003753E-4</v>
      </c>
      <c r="R164">
        <f t="shared" si="23"/>
        <v>1.4981759999999743E-2</v>
      </c>
      <c r="S164">
        <f t="shared" si="24"/>
        <v>1.1405299987453316E-3</v>
      </c>
      <c r="T164">
        <f t="shared" si="25"/>
        <v>3.3771733724304587E-2</v>
      </c>
    </row>
    <row r="165" spans="1:20" x14ac:dyDescent="0.3">
      <c r="A165" s="2" t="s">
        <v>1168</v>
      </c>
      <c r="B165" s="6" t="s">
        <v>714</v>
      </c>
      <c r="C165" s="2" t="s">
        <v>20</v>
      </c>
      <c r="D165" s="2" t="s">
        <v>30</v>
      </c>
      <c r="E165" s="3" t="s">
        <v>715</v>
      </c>
      <c r="F165" s="3" t="s">
        <v>716</v>
      </c>
      <c r="G165" s="3" t="s">
        <v>717</v>
      </c>
      <c r="J165" s="7">
        <v>355521.61139999999</v>
      </c>
      <c r="K165" s="7">
        <v>216079.61929999999</v>
      </c>
      <c r="L165" s="7">
        <v>89.840999999999994</v>
      </c>
      <c r="M165" s="3">
        <f t="shared" si="18"/>
        <v>5.5600000021513551E-2</v>
      </c>
      <c r="N165" s="3">
        <f t="shared" si="19"/>
        <v>3.8199999980861321E-2</v>
      </c>
      <c r="O165" s="3">
        <f t="shared" si="20"/>
        <v>2.4999999999991473E-2</v>
      </c>
      <c r="P165">
        <f t="shared" si="21"/>
        <v>3.0913600023923069E-3</v>
      </c>
      <c r="Q165">
        <f t="shared" si="22"/>
        <v>1.4592399985378049E-3</v>
      </c>
      <c r="R165">
        <f t="shared" si="23"/>
        <v>6.249999999995737E-4</v>
      </c>
      <c r="S165">
        <f t="shared" si="24"/>
        <v>4.550600000930112E-3</v>
      </c>
      <c r="T165">
        <f t="shared" si="25"/>
        <v>6.7458135172343087E-2</v>
      </c>
    </row>
    <row r="166" spans="1:20" x14ac:dyDescent="0.3">
      <c r="A166" s="2" t="s">
        <v>1168</v>
      </c>
      <c r="B166" s="6" t="s">
        <v>714</v>
      </c>
      <c r="C166" s="2" t="s">
        <v>20</v>
      </c>
      <c r="D166" s="2" t="s">
        <v>21</v>
      </c>
      <c r="E166" s="3" t="s">
        <v>718</v>
      </c>
      <c r="F166" s="3" t="s">
        <v>719</v>
      </c>
      <c r="G166" s="3" t="s">
        <v>720</v>
      </c>
      <c r="J166" s="7">
        <v>355521.61139999999</v>
      </c>
      <c r="K166" s="7">
        <v>216079.61929999999</v>
      </c>
      <c r="L166" s="7">
        <v>89.840999999999994</v>
      </c>
      <c r="M166" s="3">
        <f t="shared" si="18"/>
        <v>5.6500000006053597E-2</v>
      </c>
      <c r="N166" s="3">
        <f t="shared" si="19"/>
        <v>3.6499999987427145E-2</v>
      </c>
      <c r="O166" s="3">
        <f t="shared" si="20"/>
        <v>1.2000000000000455E-2</v>
      </c>
      <c r="P166">
        <f t="shared" si="21"/>
        <v>3.1922500006840563E-3</v>
      </c>
      <c r="Q166">
        <f t="shared" si="22"/>
        <v>1.3322499990821815E-3</v>
      </c>
      <c r="R166">
        <f t="shared" si="23"/>
        <v>1.4400000000001093E-4</v>
      </c>
      <c r="S166">
        <f t="shared" si="24"/>
        <v>4.5244999997662381E-3</v>
      </c>
      <c r="T166">
        <f t="shared" si="25"/>
        <v>6.7264403660229066E-2</v>
      </c>
    </row>
    <row r="167" spans="1:20" x14ac:dyDescent="0.3">
      <c r="A167" s="2" t="s">
        <v>1168</v>
      </c>
      <c r="B167" s="6" t="s">
        <v>714</v>
      </c>
      <c r="C167" s="2" t="s">
        <v>20</v>
      </c>
      <c r="D167" s="2" t="s">
        <v>110</v>
      </c>
      <c r="E167" s="3" t="s">
        <v>721</v>
      </c>
      <c r="F167" s="3" t="s">
        <v>722</v>
      </c>
      <c r="G167" s="3" t="s">
        <v>723</v>
      </c>
      <c r="J167" s="7">
        <v>355521.61139999999</v>
      </c>
      <c r="K167" s="7">
        <v>216079.61929999999</v>
      </c>
      <c r="L167" s="7">
        <v>89.840999999999994</v>
      </c>
      <c r="M167" s="3">
        <f t="shared" si="18"/>
        <v>5.6899999966844916E-2</v>
      </c>
      <c r="N167" s="3">
        <f t="shared" si="19"/>
        <v>3.2299999991664663E-2</v>
      </c>
      <c r="O167" s="3">
        <f t="shared" si="20"/>
        <v>4.6999999999997044E-2</v>
      </c>
      <c r="P167">
        <f t="shared" si="21"/>
        <v>3.2376099962269514E-3</v>
      </c>
      <c r="Q167">
        <f t="shared" si="22"/>
        <v>1.0432899994615372E-3</v>
      </c>
      <c r="R167">
        <f t="shared" si="23"/>
        <v>2.208999999999722E-3</v>
      </c>
      <c r="S167">
        <f t="shared" si="24"/>
        <v>4.2808999956884886E-3</v>
      </c>
      <c r="T167">
        <f t="shared" si="25"/>
        <v>6.5428586991379295E-2</v>
      </c>
    </row>
    <row r="168" spans="1:20" x14ac:dyDescent="0.3">
      <c r="A168" s="2" t="s">
        <v>1168</v>
      </c>
      <c r="B168" s="6" t="s">
        <v>714</v>
      </c>
      <c r="C168" s="2" t="s">
        <v>20</v>
      </c>
      <c r="D168" s="2" t="s">
        <v>37</v>
      </c>
      <c r="E168" s="3" t="s">
        <v>724</v>
      </c>
      <c r="F168" s="3" t="s">
        <v>725</v>
      </c>
      <c r="G168" s="3" t="s">
        <v>726</v>
      </c>
      <c r="J168" s="7">
        <v>355521.61139999999</v>
      </c>
      <c r="K168" s="7">
        <v>216079.61929999999</v>
      </c>
      <c r="L168" s="7">
        <v>89.840999999999994</v>
      </c>
      <c r="M168" s="3">
        <f t="shared" si="18"/>
        <v>7.7500000013969839E-2</v>
      </c>
      <c r="N168" s="3">
        <f t="shared" si="19"/>
        <v>6.6699999995762482E-2</v>
      </c>
      <c r="O168" s="3">
        <f t="shared" si="20"/>
        <v>6.1999999999997613E-2</v>
      </c>
      <c r="P168">
        <f t="shared" si="21"/>
        <v>6.0062500021653246E-3</v>
      </c>
      <c r="Q168">
        <f t="shared" si="22"/>
        <v>4.4488899994347148E-3</v>
      </c>
      <c r="R168">
        <f t="shared" si="23"/>
        <v>3.843999999999704E-3</v>
      </c>
      <c r="S168">
        <f t="shared" si="24"/>
        <v>1.0455140001600039E-2</v>
      </c>
      <c r="T168">
        <f t="shared" si="25"/>
        <v>0.10225037898022696</v>
      </c>
    </row>
    <row r="169" spans="1:20" x14ac:dyDescent="0.3">
      <c r="A169" s="2" t="s">
        <v>1168</v>
      </c>
      <c r="B169" s="6" t="s">
        <v>714</v>
      </c>
      <c r="C169" s="2" t="s">
        <v>20</v>
      </c>
      <c r="D169" s="2" t="s">
        <v>46</v>
      </c>
      <c r="E169" s="3" t="s">
        <v>727</v>
      </c>
      <c r="F169" s="3" t="s">
        <v>728</v>
      </c>
      <c r="G169" s="3" t="s">
        <v>729</v>
      </c>
      <c r="J169" s="7">
        <v>355521.61139999999</v>
      </c>
      <c r="K169" s="7">
        <v>216079.61929999999</v>
      </c>
      <c r="L169" s="7">
        <v>89.840999999999994</v>
      </c>
      <c r="M169" s="3">
        <f t="shared" si="18"/>
        <v>8.0199999967589974E-2</v>
      </c>
      <c r="N169" s="3">
        <f t="shared" si="19"/>
        <v>6.6800000000512227E-2</v>
      </c>
      <c r="O169" s="3">
        <f t="shared" si="20"/>
        <v>5.7999999999992724E-2</v>
      </c>
      <c r="P169">
        <f t="shared" si="21"/>
        <v>6.4320399948014318E-3</v>
      </c>
      <c r="Q169">
        <f t="shared" si="22"/>
        <v>4.4622400000684332E-3</v>
      </c>
      <c r="R169">
        <f t="shared" si="23"/>
        <v>3.3639999999991559E-3</v>
      </c>
      <c r="S169">
        <f t="shared" si="24"/>
        <v>1.0894279994869865E-2</v>
      </c>
      <c r="T169">
        <f t="shared" si="25"/>
        <v>0.10437566763795988</v>
      </c>
    </row>
    <row r="170" spans="1:20" x14ac:dyDescent="0.3">
      <c r="A170" s="2" t="s">
        <v>1168</v>
      </c>
      <c r="B170" s="6" t="s">
        <v>714</v>
      </c>
      <c r="C170" s="2" t="s">
        <v>51</v>
      </c>
      <c r="D170" s="2" t="s">
        <v>63</v>
      </c>
      <c r="E170" s="3" t="s">
        <v>730</v>
      </c>
      <c r="F170" s="3" t="s">
        <v>731</v>
      </c>
      <c r="G170" s="3" t="s">
        <v>732</v>
      </c>
      <c r="J170" s="7">
        <v>355521.61139999999</v>
      </c>
      <c r="K170" s="7">
        <v>216079.61929999999</v>
      </c>
      <c r="L170" s="7">
        <v>89.840999999999994</v>
      </c>
      <c r="M170" s="3">
        <f t="shared" si="18"/>
        <v>7.9599999997299165E-2</v>
      </c>
      <c r="N170" s="3">
        <f t="shared" si="19"/>
        <v>6.0299999982817098E-2</v>
      </c>
      <c r="O170" s="3">
        <f t="shared" si="20"/>
        <v>6.799999999999784E-2</v>
      </c>
      <c r="P170">
        <f t="shared" si="21"/>
        <v>6.3361599995700266E-3</v>
      </c>
      <c r="Q170">
        <f t="shared" si="22"/>
        <v>3.6360899979277421E-3</v>
      </c>
      <c r="R170">
        <f t="shared" si="23"/>
        <v>4.6239999999997065E-3</v>
      </c>
      <c r="S170">
        <f t="shared" si="24"/>
        <v>9.9722499974977692E-3</v>
      </c>
      <c r="T170">
        <f t="shared" si="25"/>
        <v>9.986115359586914E-2</v>
      </c>
    </row>
    <row r="171" spans="1:20" x14ac:dyDescent="0.3">
      <c r="A171" s="2" t="s">
        <v>1168</v>
      </c>
      <c r="B171" s="6" t="s">
        <v>714</v>
      </c>
      <c r="C171" s="2" t="s">
        <v>51</v>
      </c>
      <c r="D171" s="2" t="s">
        <v>30</v>
      </c>
      <c r="E171" s="3" t="s">
        <v>733</v>
      </c>
      <c r="F171" s="3" t="s">
        <v>734</v>
      </c>
      <c r="G171" s="3" t="s">
        <v>735</v>
      </c>
      <c r="J171" s="7">
        <v>355521.61139999999</v>
      </c>
      <c r="K171" s="7">
        <v>216079.61929999999</v>
      </c>
      <c r="L171" s="7">
        <v>89.840999999999994</v>
      </c>
      <c r="M171" s="3">
        <f t="shared" si="18"/>
        <v>8.4600000001955777E-2</v>
      </c>
      <c r="N171" s="3">
        <f t="shared" si="19"/>
        <v>5.6899999995948747E-2</v>
      </c>
      <c r="O171" s="3">
        <f t="shared" si="20"/>
        <v>4.0999999999996817E-2</v>
      </c>
      <c r="P171">
        <f t="shared" si="21"/>
        <v>7.1571600003309177E-3</v>
      </c>
      <c r="Q171">
        <f t="shared" si="22"/>
        <v>3.2376099995389675E-3</v>
      </c>
      <c r="R171">
        <f t="shared" si="23"/>
        <v>1.6809999999997389E-3</v>
      </c>
      <c r="S171">
        <f t="shared" si="24"/>
        <v>1.0394769999869885E-2</v>
      </c>
      <c r="T171">
        <f t="shared" si="25"/>
        <v>0.10195474486197238</v>
      </c>
    </row>
    <row r="172" spans="1:20" x14ac:dyDescent="0.3">
      <c r="A172" s="2" t="s">
        <v>1168</v>
      </c>
      <c r="B172" s="6" t="s">
        <v>714</v>
      </c>
      <c r="C172" s="2" t="s">
        <v>51</v>
      </c>
      <c r="D172" s="2" t="s">
        <v>52</v>
      </c>
      <c r="E172" s="3" t="s">
        <v>736</v>
      </c>
      <c r="F172" s="3" t="s">
        <v>737</v>
      </c>
      <c r="G172" s="3" t="s">
        <v>738</v>
      </c>
      <c r="J172" s="7">
        <v>355521.61139999999</v>
      </c>
      <c r="K172" s="7">
        <v>216079.61929999999</v>
      </c>
      <c r="L172" s="7">
        <v>89.840999999999994</v>
      </c>
      <c r="M172" s="3">
        <f t="shared" si="18"/>
        <v>8.1599999975878745E-2</v>
      </c>
      <c r="N172" s="3">
        <f t="shared" si="19"/>
        <v>5.8499999984633178E-2</v>
      </c>
      <c r="O172" s="3">
        <f t="shared" si="20"/>
        <v>3.299999999998704E-2</v>
      </c>
      <c r="P172">
        <f t="shared" si="21"/>
        <v>6.6585599960634111E-3</v>
      </c>
      <c r="Q172">
        <f t="shared" si="22"/>
        <v>3.4222499982020818E-3</v>
      </c>
      <c r="R172">
        <f t="shared" si="23"/>
        <v>1.0889999999991447E-3</v>
      </c>
      <c r="S172">
        <f t="shared" si="24"/>
        <v>1.0080809994265492E-2</v>
      </c>
      <c r="T172">
        <f t="shared" si="25"/>
        <v>0.10040323697105334</v>
      </c>
    </row>
    <row r="173" spans="1:20" x14ac:dyDescent="0.3">
      <c r="A173" s="2" t="s">
        <v>1168</v>
      </c>
      <c r="B173" s="6" t="s">
        <v>714</v>
      </c>
      <c r="C173" s="2" t="s">
        <v>422</v>
      </c>
      <c r="D173" s="2" t="s">
        <v>423</v>
      </c>
      <c r="E173" s="3" t="s">
        <v>739</v>
      </c>
      <c r="F173" s="3" t="s">
        <v>740</v>
      </c>
      <c r="G173" s="3" t="s">
        <v>741</v>
      </c>
      <c r="J173" s="7">
        <v>355521.61139999999</v>
      </c>
      <c r="K173" s="7">
        <v>216079.61929999999</v>
      </c>
      <c r="L173" s="7">
        <v>89.840999999999994</v>
      </c>
      <c r="M173" s="3">
        <f t="shared" si="18"/>
        <v>7.3800000012852252E-2</v>
      </c>
      <c r="N173" s="3">
        <f t="shared" si="19"/>
        <v>6.2000000005355105E-2</v>
      </c>
      <c r="O173" s="3">
        <f t="shared" si="20"/>
        <v>6.6000000000002501E-2</v>
      </c>
      <c r="P173">
        <f t="shared" si="21"/>
        <v>5.4464400018969924E-3</v>
      </c>
      <c r="Q173">
        <f t="shared" si="22"/>
        <v>3.8440000006640328E-3</v>
      </c>
      <c r="R173">
        <f t="shared" si="23"/>
        <v>4.3560000000003301E-3</v>
      </c>
      <c r="S173">
        <f t="shared" si="24"/>
        <v>9.2904400025610248E-3</v>
      </c>
      <c r="T173">
        <f t="shared" si="25"/>
        <v>9.638692858765148E-2</v>
      </c>
    </row>
    <row r="174" spans="1:20" x14ac:dyDescent="0.3">
      <c r="A174" s="2" t="s">
        <v>1168</v>
      </c>
      <c r="B174" s="6" t="s">
        <v>742</v>
      </c>
      <c r="C174" s="2" t="s">
        <v>20</v>
      </c>
      <c r="D174" s="2" t="s">
        <v>30</v>
      </c>
      <c r="E174" s="3" t="s">
        <v>743</v>
      </c>
      <c r="F174" s="3" t="s">
        <v>744</v>
      </c>
      <c r="G174" s="3" t="s">
        <v>745</v>
      </c>
      <c r="J174" s="5" t="s">
        <v>746</v>
      </c>
      <c r="K174" s="5" t="s">
        <v>747</v>
      </c>
      <c r="L174" s="5" t="s">
        <v>748</v>
      </c>
      <c r="M174" s="3">
        <f t="shared" si="18"/>
        <v>5.9800000046379864E-2</v>
      </c>
      <c r="N174" s="3">
        <f t="shared" si="19"/>
        <v>3.579999998328276E-2</v>
      </c>
      <c r="O174" s="3">
        <f t="shared" si="20"/>
        <v>1.0000000000331966E-4</v>
      </c>
      <c r="P174">
        <f t="shared" si="21"/>
        <v>3.576040005547032E-3</v>
      </c>
      <c r="Q174">
        <f t="shared" si="22"/>
        <v>1.2816399988030457E-3</v>
      </c>
      <c r="R174">
        <f t="shared" si="23"/>
        <v>1.0000000000663932E-8</v>
      </c>
      <c r="S174">
        <f t="shared" si="24"/>
        <v>4.8576800043500772E-3</v>
      </c>
      <c r="T174">
        <f t="shared" si="25"/>
        <v>6.9697058792678457E-2</v>
      </c>
    </row>
    <row r="175" spans="1:20" x14ac:dyDescent="0.3">
      <c r="A175" s="2" t="s">
        <v>1168</v>
      </c>
      <c r="B175" s="6" t="s">
        <v>742</v>
      </c>
      <c r="C175" s="2" t="s">
        <v>20</v>
      </c>
      <c r="D175" s="2" t="s">
        <v>21</v>
      </c>
      <c r="E175" s="3" t="s">
        <v>749</v>
      </c>
      <c r="F175" s="3" t="s">
        <v>750</v>
      </c>
      <c r="G175" s="3" t="s">
        <v>751</v>
      </c>
      <c r="J175" s="5" t="s">
        <v>746</v>
      </c>
      <c r="K175" s="5" t="s">
        <v>747</v>
      </c>
      <c r="L175" s="5" t="s">
        <v>748</v>
      </c>
      <c r="M175" s="3">
        <f t="shared" si="18"/>
        <v>6.4200000022538006E-2</v>
      </c>
      <c r="N175" s="3">
        <f t="shared" si="19"/>
        <v>3.6499999987427145E-2</v>
      </c>
      <c r="O175" s="3">
        <f t="shared" si="20"/>
        <v>1.089999999999236E-2</v>
      </c>
      <c r="P175">
        <f t="shared" si="21"/>
        <v>4.1216400028938798E-3</v>
      </c>
      <c r="Q175">
        <f t="shared" si="22"/>
        <v>1.3322499990821815E-3</v>
      </c>
      <c r="R175">
        <f t="shared" si="23"/>
        <v>1.1880999999983345E-4</v>
      </c>
      <c r="S175">
        <f t="shared" si="24"/>
        <v>5.4538900019760611E-3</v>
      </c>
      <c r="T175">
        <f t="shared" si="25"/>
        <v>7.3850457019412286E-2</v>
      </c>
    </row>
    <row r="176" spans="1:20" x14ac:dyDescent="0.3">
      <c r="A176" s="2" t="s">
        <v>1168</v>
      </c>
      <c r="B176" s="6" t="s">
        <v>752</v>
      </c>
      <c r="C176" s="2" t="s">
        <v>20</v>
      </c>
      <c r="D176" s="2" t="s">
        <v>110</v>
      </c>
      <c r="E176" s="3" t="s">
        <v>753</v>
      </c>
      <c r="F176" s="3" t="s">
        <v>754</v>
      </c>
      <c r="G176" s="3" t="s">
        <v>755</v>
      </c>
      <c r="J176" s="5" t="s">
        <v>756</v>
      </c>
      <c r="K176" s="5" t="s">
        <v>757</v>
      </c>
      <c r="L176" s="5" t="s">
        <v>748</v>
      </c>
      <c r="M176" s="3">
        <f t="shared" si="18"/>
        <v>5.4999999993015081E-2</v>
      </c>
      <c r="N176" s="3">
        <f t="shared" si="19"/>
        <v>2.4499999999534339E-2</v>
      </c>
      <c r="O176" s="3">
        <f t="shared" si="20"/>
        <v>2.7899999999988268E-2</v>
      </c>
      <c r="P176">
        <f t="shared" si="21"/>
        <v>3.0249999992316588E-3</v>
      </c>
      <c r="Q176">
        <f t="shared" si="22"/>
        <v>6.0024999997718262E-4</v>
      </c>
      <c r="R176">
        <f t="shared" si="23"/>
        <v>7.7840999999934535E-4</v>
      </c>
      <c r="S176">
        <f t="shared" si="24"/>
        <v>3.6252499992088412E-3</v>
      </c>
      <c r="T176">
        <f t="shared" si="25"/>
        <v>6.0210048988593598E-2</v>
      </c>
    </row>
    <row r="177" spans="1:20" x14ac:dyDescent="0.3">
      <c r="A177" s="2" t="s">
        <v>1168</v>
      </c>
      <c r="B177" s="6" t="s">
        <v>752</v>
      </c>
      <c r="C177" s="2" t="s">
        <v>20</v>
      </c>
      <c r="D177" s="2" t="s">
        <v>37</v>
      </c>
      <c r="E177" s="3" t="s">
        <v>758</v>
      </c>
      <c r="F177" s="3" t="s">
        <v>759</v>
      </c>
      <c r="G177" s="3" t="s">
        <v>760</v>
      </c>
      <c r="J177" s="5" t="s">
        <v>756</v>
      </c>
      <c r="K177" s="5" t="s">
        <v>757</v>
      </c>
      <c r="L177" s="5" t="s">
        <v>748</v>
      </c>
      <c r="M177" s="3">
        <f t="shared" si="18"/>
        <v>4.470000002766028E-2</v>
      </c>
      <c r="N177" s="3">
        <f t="shared" si="19"/>
        <v>2.9199999989941716E-2</v>
      </c>
      <c r="O177" s="3">
        <f t="shared" si="20"/>
        <v>6.9000000000016826E-3</v>
      </c>
      <c r="P177">
        <f t="shared" si="21"/>
        <v>1.9980900024728289E-3</v>
      </c>
      <c r="Q177">
        <f t="shared" si="22"/>
        <v>8.5263999941259617E-4</v>
      </c>
      <c r="R177">
        <f t="shared" si="23"/>
        <v>4.7610000000023222E-5</v>
      </c>
      <c r="S177">
        <f t="shared" si="24"/>
        <v>2.8507300018854251E-3</v>
      </c>
      <c r="T177">
        <f t="shared" si="25"/>
        <v>5.3392227916480739E-2</v>
      </c>
    </row>
    <row r="178" spans="1:20" x14ac:dyDescent="0.3">
      <c r="A178" s="2" t="s">
        <v>1168</v>
      </c>
      <c r="B178" s="6" t="s">
        <v>752</v>
      </c>
      <c r="C178" s="2" t="s">
        <v>20</v>
      </c>
      <c r="D178" s="2" t="s">
        <v>46</v>
      </c>
      <c r="E178" s="3" t="s">
        <v>761</v>
      </c>
      <c r="F178" s="3" t="s">
        <v>762</v>
      </c>
      <c r="G178" s="3" t="s">
        <v>763</v>
      </c>
      <c r="J178" s="5" t="s">
        <v>756</v>
      </c>
      <c r="K178" s="5" t="s">
        <v>757</v>
      </c>
      <c r="L178" s="5" t="s">
        <v>748</v>
      </c>
      <c r="M178" s="3">
        <f t="shared" si="18"/>
        <v>4.390000004786998E-2</v>
      </c>
      <c r="N178" s="3">
        <f t="shared" si="19"/>
        <v>2.5399999984074384E-2</v>
      </c>
      <c r="O178" s="3">
        <f t="shared" si="20"/>
        <v>2.189999999998804E-2</v>
      </c>
      <c r="P178">
        <f t="shared" si="21"/>
        <v>1.9272100042029843E-3</v>
      </c>
      <c r="Q178">
        <f t="shared" si="22"/>
        <v>6.4515999919097873E-4</v>
      </c>
      <c r="R178">
        <f t="shared" si="23"/>
        <v>4.7960999999947616E-4</v>
      </c>
      <c r="S178">
        <f t="shared" si="24"/>
        <v>2.5723700033939631E-3</v>
      </c>
      <c r="T178">
        <f t="shared" si="25"/>
        <v>5.071853707860631E-2</v>
      </c>
    </row>
    <row r="179" spans="1:20" x14ac:dyDescent="0.3">
      <c r="A179" s="2" t="s">
        <v>1168</v>
      </c>
      <c r="B179" s="6" t="s">
        <v>752</v>
      </c>
      <c r="C179" s="2" t="s">
        <v>51</v>
      </c>
      <c r="D179" s="2" t="s">
        <v>63</v>
      </c>
      <c r="E179" s="3" t="s">
        <v>764</v>
      </c>
      <c r="F179" s="3" t="s">
        <v>765</v>
      </c>
      <c r="G179" s="3" t="s">
        <v>766</v>
      </c>
      <c r="J179" s="5" t="s">
        <v>756</v>
      </c>
      <c r="K179" s="5" t="s">
        <v>757</v>
      </c>
      <c r="L179" s="5" t="s">
        <v>748</v>
      </c>
      <c r="M179" s="3">
        <f t="shared" si="18"/>
        <v>7.2600000014062971E-2</v>
      </c>
      <c r="N179" s="3">
        <f t="shared" si="19"/>
        <v>2.2399999987101182E-2</v>
      </c>
      <c r="O179" s="3">
        <f t="shared" si="20"/>
        <v>6.100000000003547E-3</v>
      </c>
      <c r="P179">
        <f t="shared" si="21"/>
        <v>5.2707600020419432E-3</v>
      </c>
      <c r="Q179">
        <f t="shared" si="22"/>
        <v>5.01759999422133E-4</v>
      </c>
      <c r="R179">
        <f t="shared" si="23"/>
        <v>3.7210000000043271E-5</v>
      </c>
      <c r="S179">
        <f t="shared" si="24"/>
        <v>5.772520001464076E-3</v>
      </c>
      <c r="T179">
        <f t="shared" si="25"/>
        <v>7.5977101823273538E-2</v>
      </c>
    </row>
    <row r="180" spans="1:20" x14ac:dyDescent="0.3">
      <c r="A180" s="2" t="s">
        <v>1168</v>
      </c>
      <c r="B180" s="6" t="s">
        <v>752</v>
      </c>
      <c r="C180" s="2" t="s">
        <v>51</v>
      </c>
      <c r="D180" s="2" t="s">
        <v>30</v>
      </c>
      <c r="E180" s="3" t="s">
        <v>767</v>
      </c>
      <c r="F180" s="3" t="s">
        <v>768</v>
      </c>
      <c r="G180" s="3" t="s">
        <v>769</v>
      </c>
      <c r="J180" s="5" t="s">
        <v>756</v>
      </c>
      <c r="K180" s="5" t="s">
        <v>757</v>
      </c>
      <c r="L180" s="5" t="s">
        <v>748</v>
      </c>
      <c r="M180" s="3">
        <f t="shared" si="18"/>
        <v>7.3300000047311187E-2</v>
      </c>
      <c r="N180" s="3">
        <f t="shared" si="19"/>
        <v>2.3199999995995313E-2</v>
      </c>
      <c r="O180" s="3">
        <f t="shared" si="20"/>
        <v>3.6900000000002819E-2</v>
      </c>
      <c r="P180">
        <f t="shared" si="21"/>
        <v>5.3728900069358199E-3</v>
      </c>
      <c r="Q180">
        <f t="shared" si="22"/>
        <v>5.3823999981418254E-4</v>
      </c>
      <c r="R180">
        <f t="shared" si="23"/>
        <v>1.361610000000208E-3</v>
      </c>
      <c r="S180">
        <f t="shared" si="24"/>
        <v>5.9111300067500021E-3</v>
      </c>
      <c r="T180">
        <f t="shared" si="25"/>
        <v>7.6883873515516912E-2</v>
      </c>
    </row>
    <row r="181" spans="1:20" x14ac:dyDescent="0.3">
      <c r="A181" s="2" t="s">
        <v>1168</v>
      </c>
      <c r="B181" s="6" t="s">
        <v>752</v>
      </c>
      <c r="C181" s="2" t="s">
        <v>51</v>
      </c>
      <c r="D181" s="2" t="s">
        <v>52</v>
      </c>
      <c r="E181" s="3" t="s">
        <v>770</v>
      </c>
      <c r="F181" s="3" t="s">
        <v>771</v>
      </c>
      <c r="G181" s="3" t="s">
        <v>772</v>
      </c>
      <c r="J181" s="5" t="s">
        <v>756</v>
      </c>
      <c r="K181" s="5" t="s">
        <v>757</v>
      </c>
      <c r="L181" s="5" t="s">
        <v>748</v>
      </c>
      <c r="M181" s="3">
        <f t="shared" si="18"/>
        <v>6.8599999998696148E-2</v>
      </c>
      <c r="N181" s="3">
        <f t="shared" si="19"/>
        <v>3.539999999338761E-2</v>
      </c>
      <c r="O181" s="3">
        <f t="shared" si="20"/>
        <v>5.3899999999998727E-2</v>
      </c>
      <c r="P181">
        <f t="shared" si="21"/>
        <v>4.7059599998211113E-3</v>
      </c>
      <c r="Q181">
        <f t="shared" si="22"/>
        <v>1.2531599995318427E-3</v>
      </c>
      <c r="R181">
        <f t="shared" si="23"/>
        <v>2.9052099999998626E-3</v>
      </c>
      <c r="S181">
        <f t="shared" si="24"/>
        <v>5.9591199993529543E-3</v>
      </c>
      <c r="T181">
        <f t="shared" si="25"/>
        <v>7.7195336642526244E-2</v>
      </c>
    </row>
    <row r="182" spans="1:20" x14ac:dyDescent="0.3">
      <c r="A182" s="2" t="s">
        <v>1168</v>
      </c>
      <c r="B182" s="6" t="s">
        <v>773</v>
      </c>
      <c r="C182" s="2" t="s">
        <v>20</v>
      </c>
      <c r="D182" s="2" t="s">
        <v>30</v>
      </c>
      <c r="E182" s="3" t="s">
        <v>774</v>
      </c>
      <c r="F182" s="3" t="s">
        <v>775</v>
      </c>
      <c r="G182" s="3" t="s">
        <v>776</v>
      </c>
      <c r="J182" s="5" t="s">
        <v>777</v>
      </c>
      <c r="K182" s="5" t="s">
        <v>778</v>
      </c>
      <c r="L182" s="5" t="s">
        <v>779</v>
      </c>
      <c r="M182" s="3">
        <f t="shared" si="18"/>
        <v>1.7000000225380063E-3</v>
      </c>
      <c r="N182" s="3">
        <f t="shared" si="19"/>
        <v>-0.14500000001862645</v>
      </c>
      <c r="O182" s="3">
        <f t="shared" si="20"/>
        <v>2.9799999999994498E-2</v>
      </c>
      <c r="P182">
        <f t="shared" si="21"/>
        <v>2.8900000766292219E-6</v>
      </c>
      <c r="Q182">
        <f t="shared" si="22"/>
        <v>2.1025000005401671E-2</v>
      </c>
      <c r="R182">
        <f t="shared" si="23"/>
        <v>8.8803999999967202E-4</v>
      </c>
      <c r="S182">
        <f t="shared" si="24"/>
        <v>2.1027890005478299E-2</v>
      </c>
      <c r="T182">
        <f t="shared" si="25"/>
        <v>0.14500996519370074</v>
      </c>
    </row>
    <row r="183" spans="1:20" x14ac:dyDescent="0.3">
      <c r="A183" s="2" t="s">
        <v>1168</v>
      </c>
      <c r="B183" s="6" t="s">
        <v>773</v>
      </c>
      <c r="C183" s="2" t="s">
        <v>20</v>
      </c>
      <c r="D183" s="2" t="s">
        <v>21</v>
      </c>
      <c r="E183" s="3" t="s">
        <v>780</v>
      </c>
      <c r="F183" s="3" t="s">
        <v>781</v>
      </c>
      <c r="G183" s="3" t="s">
        <v>782</v>
      </c>
      <c r="J183" s="5" t="s">
        <v>777</v>
      </c>
      <c r="K183" s="5" t="s">
        <v>778</v>
      </c>
      <c r="L183" s="5" t="s">
        <v>779</v>
      </c>
      <c r="M183" s="3">
        <f t="shared" si="18"/>
        <v>3.1999999773688614E-3</v>
      </c>
      <c r="N183" s="3">
        <f t="shared" si="19"/>
        <v>-0.14430000001448207</v>
      </c>
      <c r="O183" s="3">
        <f t="shared" si="20"/>
        <v>2.5799999999975398E-2</v>
      </c>
      <c r="P183">
        <f t="shared" si="21"/>
        <v>1.0239999855160714E-5</v>
      </c>
      <c r="Q183">
        <f t="shared" si="22"/>
        <v>2.0822490004179524E-2</v>
      </c>
      <c r="R183">
        <f t="shared" si="23"/>
        <v>6.6563999999873051E-4</v>
      </c>
      <c r="S183">
        <f t="shared" si="24"/>
        <v>2.0832730004034683E-2</v>
      </c>
      <c r="T183">
        <f t="shared" si="25"/>
        <v>0.14433547728827686</v>
      </c>
    </row>
    <row r="184" spans="1:20" x14ac:dyDescent="0.3">
      <c r="A184" s="2" t="s">
        <v>1168</v>
      </c>
      <c r="B184" s="6" t="s">
        <v>783</v>
      </c>
      <c r="C184" s="2" t="s">
        <v>20</v>
      </c>
      <c r="D184" s="2" t="s">
        <v>110</v>
      </c>
      <c r="E184" s="3" t="s">
        <v>784</v>
      </c>
      <c r="F184" s="3" t="s">
        <v>785</v>
      </c>
      <c r="G184" s="3" t="s">
        <v>786</v>
      </c>
      <c r="J184" s="5" t="s">
        <v>787</v>
      </c>
      <c r="K184" s="5" t="s">
        <v>788</v>
      </c>
      <c r="L184" s="5" t="s">
        <v>779</v>
      </c>
      <c r="M184" s="3">
        <f t="shared" si="18"/>
        <v>8.6000000010244548E-3</v>
      </c>
      <c r="N184" s="3">
        <f t="shared" si="19"/>
        <v>-0.14440000001923181</v>
      </c>
      <c r="O184" s="3">
        <f t="shared" si="20"/>
        <v>1.5799999999984493E-2</v>
      </c>
      <c r="P184">
        <f t="shared" si="21"/>
        <v>7.396000001762062E-5</v>
      </c>
      <c r="Q184">
        <f t="shared" si="22"/>
        <v>2.0851360005554147E-2</v>
      </c>
      <c r="R184">
        <f t="shared" si="23"/>
        <v>2.4963999999950997E-4</v>
      </c>
      <c r="S184">
        <f t="shared" si="24"/>
        <v>2.0925320005571766E-2</v>
      </c>
      <c r="T184">
        <f t="shared" si="25"/>
        <v>0.14465586751173201</v>
      </c>
    </row>
    <row r="185" spans="1:20" x14ac:dyDescent="0.3">
      <c r="A185" s="2" t="s">
        <v>1168</v>
      </c>
      <c r="B185" s="6" t="s">
        <v>783</v>
      </c>
      <c r="C185" s="2" t="s">
        <v>20</v>
      </c>
      <c r="D185" s="2" t="s">
        <v>37</v>
      </c>
      <c r="E185" s="3" t="s">
        <v>789</v>
      </c>
      <c r="F185" s="3" t="s">
        <v>790</v>
      </c>
      <c r="G185" s="3" t="s">
        <v>791</v>
      </c>
      <c r="J185" s="5" t="s">
        <v>787</v>
      </c>
      <c r="K185" s="5" t="s">
        <v>788</v>
      </c>
      <c r="L185" s="5" t="s">
        <v>779</v>
      </c>
      <c r="M185" s="3">
        <f t="shared" si="18"/>
        <v>2.1999999997206032E-2</v>
      </c>
      <c r="N185" s="3">
        <f t="shared" si="19"/>
        <v>-0.14610000001266599</v>
      </c>
      <c r="O185" s="3">
        <f t="shared" si="20"/>
        <v>1.279999999999859E-2</v>
      </c>
      <c r="P185">
        <f t="shared" si="21"/>
        <v>4.8399999987706541E-4</v>
      </c>
      <c r="Q185">
        <f t="shared" si="22"/>
        <v>2.1345210003701001E-2</v>
      </c>
      <c r="R185">
        <f t="shared" si="23"/>
        <v>1.638399999999639E-4</v>
      </c>
      <c r="S185">
        <f t="shared" si="24"/>
        <v>2.1829210003578067E-2</v>
      </c>
      <c r="T185">
        <f t="shared" si="25"/>
        <v>0.14774711504316443</v>
      </c>
    </row>
    <row r="186" spans="1:20" x14ac:dyDescent="0.3">
      <c r="A186" s="2" t="s">
        <v>1168</v>
      </c>
      <c r="B186" s="6" t="s">
        <v>783</v>
      </c>
      <c r="C186" s="2" t="s">
        <v>20</v>
      </c>
      <c r="D186" s="2" t="s">
        <v>46</v>
      </c>
      <c r="E186" s="3" t="s">
        <v>792</v>
      </c>
      <c r="F186" s="3" t="s">
        <v>775</v>
      </c>
      <c r="G186" s="3" t="s">
        <v>793</v>
      </c>
      <c r="J186" s="5" t="s">
        <v>787</v>
      </c>
      <c r="K186" s="5" t="s">
        <v>788</v>
      </c>
      <c r="L186" s="5" t="s">
        <v>779</v>
      </c>
      <c r="M186" s="3">
        <f t="shared" si="18"/>
        <v>8.9000000152736902E-3</v>
      </c>
      <c r="N186" s="3">
        <f t="shared" si="19"/>
        <v>-0.14500000001862645</v>
      </c>
      <c r="O186" s="3">
        <f t="shared" si="20"/>
        <v>1.1799999999993815E-2</v>
      </c>
      <c r="P186">
        <f t="shared" si="21"/>
        <v>7.9210000271871686E-5</v>
      </c>
      <c r="Q186">
        <f t="shared" si="22"/>
        <v>2.1025000005401671E-2</v>
      </c>
      <c r="R186">
        <f t="shared" si="23"/>
        <v>1.3923999999985404E-4</v>
      </c>
      <c r="S186">
        <f t="shared" si="24"/>
        <v>2.1104210005673543E-2</v>
      </c>
      <c r="T186">
        <f t="shared" si="25"/>
        <v>0.1452728811777117</v>
      </c>
    </row>
    <row r="187" spans="1:20" x14ac:dyDescent="0.3">
      <c r="A187" s="2" t="s">
        <v>1168</v>
      </c>
      <c r="B187" s="6" t="s">
        <v>783</v>
      </c>
      <c r="C187" s="2" t="s">
        <v>51</v>
      </c>
      <c r="D187" s="2" t="s">
        <v>63</v>
      </c>
      <c r="E187" s="3" t="s">
        <v>794</v>
      </c>
      <c r="F187" s="3" t="s">
        <v>795</v>
      </c>
      <c r="G187" s="3" t="s">
        <v>796</v>
      </c>
      <c r="J187" s="5" t="s">
        <v>787</v>
      </c>
      <c r="K187" s="5" t="s">
        <v>788</v>
      </c>
      <c r="L187" s="5" t="s">
        <v>779</v>
      </c>
      <c r="M187" s="3">
        <f t="shared" si="18"/>
        <v>7.7000000164844096E-3</v>
      </c>
      <c r="N187" s="3">
        <f t="shared" si="19"/>
        <v>-0.13750000001164153</v>
      </c>
      <c r="O187" s="3">
        <f t="shared" si="20"/>
        <v>9.5799999999996999E-2</v>
      </c>
      <c r="P187">
        <f t="shared" si="21"/>
        <v>5.9290000253859904E-5</v>
      </c>
      <c r="Q187">
        <f t="shared" si="22"/>
        <v>1.8906250003201421E-2</v>
      </c>
      <c r="R187">
        <f t="shared" si="23"/>
        <v>9.1776399999994249E-3</v>
      </c>
      <c r="S187">
        <f t="shared" si="24"/>
        <v>1.8965540003455281E-2</v>
      </c>
      <c r="T187">
        <f t="shared" si="25"/>
        <v>0.13771543124666633</v>
      </c>
    </row>
    <row r="188" spans="1:20" x14ac:dyDescent="0.3">
      <c r="A188" s="2" t="s">
        <v>1168</v>
      </c>
      <c r="B188" s="6" t="s">
        <v>783</v>
      </c>
      <c r="C188" s="2" t="s">
        <v>51</v>
      </c>
      <c r="D188" s="2" t="s">
        <v>30</v>
      </c>
      <c r="E188" s="3" t="s">
        <v>797</v>
      </c>
      <c r="F188" s="3" t="s">
        <v>798</v>
      </c>
      <c r="G188" s="3" t="s">
        <v>793</v>
      </c>
      <c r="J188" s="5" t="s">
        <v>787</v>
      </c>
      <c r="K188" s="5" t="s">
        <v>788</v>
      </c>
      <c r="L188" s="5" t="s">
        <v>779</v>
      </c>
      <c r="M188" s="3">
        <f t="shared" si="18"/>
        <v>3.9000000106170774E-3</v>
      </c>
      <c r="N188" s="3">
        <f t="shared" si="19"/>
        <v>-0.13330000001587905</v>
      </c>
      <c r="O188" s="3">
        <f t="shared" si="20"/>
        <v>1.1799999999993815E-2</v>
      </c>
      <c r="P188">
        <f t="shared" si="21"/>
        <v>1.5210000082813203E-5</v>
      </c>
      <c r="Q188">
        <f t="shared" si="22"/>
        <v>1.7768890004233356E-2</v>
      </c>
      <c r="R188">
        <f t="shared" si="23"/>
        <v>1.3923999999985404E-4</v>
      </c>
      <c r="S188">
        <f t="shared" si="24"/>
        <v>1.778410000431617E-2</v>
      </c>
      <c r="T188">
        <f t="shared" si="25"/>
        <v>0.13335703957540512</v>
      </c>
    </row>
    <row r="189" spans="1:20" x14ac:dyDescent="0.3">
      <c r="A189" s="2" t="s">
        <v>1168</v>
      </c>
      <c r="B189" s="6" t="s">
        <v>783</v>
      </c>
      <c r="C189" s="2" t="s">
        <v>51</v>
      </c>
      <c r="D189" s="2" t="s">
        <v>52</v>
      </c>
      <c r="E189" s="3" t="s">
        <v>799</v>
      </c>
      <c r="F189" s="3" t="s">
        <v>800</v>
      </c>
      <c r="G189" s="3" t="s">
        <v>801</v>
      </c>
      <c r="J189" s="5" t="s">
        <v>787</v>
      </c>
      <c r="K189" s="5" t="s">
        <v>788</v>
      </c>
      <c r="L189" s="5" t="s">
        <v>779</v>
      </c>
      <c r="M189" s="3">
        <f t="shared" si="18"/>
        <v>1.049999997485429E-2</v>
      </c>
      <c r="N189" s="3">
        <f t="shared" si="19"/>
        <v>-0.13830000002053566</v>
      </c>
      <c r="O189" s="3">
        <f t="shared" si="20"/>
        <v>1.7799999999994043E-2</v>
      </c>
      <c r="P189">
        <f t="shared" si="21"/>
        <v>1.102499994719401E-4</v>
      </c>
      <c r="Q189">
        <f t="shared" si="22"/>
        <v>1.9126890005680165E-2</v>
      </c>
      <c r="R189">
        <f t="shared" si="23"/>
        <v>3.1683999999978791E-4</v>
      </c>
      <c r="S189">
        <f t="shared" si="24"/>
        <v>1.9237140005152104E-2</v>
      </c>
      <c r="T189">
        <f t="shared" si="25"/>
        <v>0.13869801730793452</v>
      </c>
    </row>
    <row r="190" spans="1:20" x14ac:dyDescent="0.3">
      <c r="A190" s="2" t="s">
        <v>1168</v>
      </c>
      <c r="B190" s="6" t="s">
        <v>783</v>
      </c>
      <c r="C190" s="2" t="s">
        <v>422</v>
      </c>
      <c r="D190" s="2" t="s">
        <v>423</v>
      </c>
      <c r="E190" s="3" t="s">
        <v>802</v>
      </c>
      <c r="F190" s="3" t="s">
        <v>803</v>
      </c>
      <c r="G190" s="3" t="s">
        <v>804</v>
      </c>
      <c r="J190" s="5" t="s">
        <v>787</v>
      </c>
      <c r="K190" s="5" t="s">
        <v>788</v>
      </c>
      <c r="L190" s="5" t="s">
        <v>779</v>
      </c>
      <c r="M190" s="3">
        <f t="shared" si="18"/>
        <v>5.5000000284053385E-3</v>
      </c>
      <c r="N190" s="3">
        <f t="shared" si="19"/>
        <v>-0.12520000000949949</v>
      </c>
      <c r="O190" s="3">
        <f t="shared" si="20"/>
        <v>0.17119999999999891</v>
      </c>
      <c r="P190">
        <f t="shared" si="21"/>
        <v>3.0250000312458725E-5</v>
      </c>
      <c r="Q190">
        <f t="shared" si="22"/>
        <v>1.5675040002378671E-2</v>
      </c>
      <c r="R190">
        <f t="shared" si="23"/>
        <v>2.9309439999999628E-2</v>
      </c>
      <c r="S190">
        <f t="shared" si="24"/>
        <v>1.5705290002691129E-2</v>
      </c>
      <c r="T190">
        <f t="shared" si="25"/>
        <v>0.12532074849238306</v>
      </c>
    </row>
    <row r="191" spans="1:20" x14ac:dyDescent="0.3">
      <c r="A191" s="2" t="s">
        <v>1168</v>
      </c>
      <c r="B191" s="6" t="s">
        <v>805</v>
      </c>
      <c r="C191" s="2" t="s">
        <v>20</v>
      </c>
      <c r="D191" s="2" t="s">
        <v>30</v>
      </c>
      <c r="E191" s="3" t="s">
        <v>806</v>
      </c>
      <c r="F191" s="3" t="s">
        <v>807</v>
      </c>
      <c r="G191" s="3" t="s">
        <v>808</v>
      </c>
      <c r="J191" s="5">
        <v>312765.5956</v>
      </c>
      <c r="K191" s="5">
        <v>229031.7292</v>
      </c>
      <c r="L191" s="5">
        <v>131.845</v>
      </c>
      <c r="M191" s="3">
        <f t="shared" si="18"/>
        <v>0.11080000002402812</v>
      </c>
      <c r="N191" s="3">
        <f t="shared" si="19"/>
        <v>-1.9000000029336661E-3</v>
      </c>
      <c r="O191" s="3">
        <f t="shared" si="20"/>
        <v>5.4000000000002046E-2</v>
      </c>
      <c r="P191">
        <f t="shared" si="21"/>
        <v>1.2276640005324631E-2</v>
      </c>
      <c r="Q191">
        <f t="shared" si="22"/>
        <v>3.6100000111479312E-6</v>
      </c>
      <c r="R191">
        <f t="shared" si="23"/>
        <v>2.9160000000002209E-3</v>
      </c>
      <c r="S191">
        <f t="shared" si="24"/>
        <v>1.228025000533578E-2</v>
      </c>
      <c r="T191">
        <f t="shared" si="25"/>
        <v>0.11081628944038768</v>
      </c>
    </row>
    <row r="192" spans="1:20" x14ac:dyDescent="0.3">
      <c r="A192" s="2" t="s">
        <v>1168</v>
      </c>
      <c r="B192" s="6" t="s">
        <v>805</v>
      </c>
      <c r="C192" s="2" t="s">
        <v>20</v>
      </c>
      <c r="D192" s="2" t="s">
        <v>21</v>
      </c>
      <c r="E192" s="3" t="s">
        <v>809</v>
      </c>
      <c r="F192" s="3" t="s">
        <v>810</v>
      </c>
      <c r="G192" s="3" t="s">
        <v>811</v>
      </c>
      <c r="J192" s="5">
        <v>312765.5956</v>
      </c>
      <c r="K192" s="5">
        <v>229031.7292</v>
      </c>
      <c r="L192" s="5">
        <v>131.845</v>
      </c>
      <c r="M192" s="3">
        <f t="shared" si="18"/>
        <v>0.11400000000139698</v>
      </c>
      <c r="N192" s="3">
        <f t="shared" si="19"/>
        <v>-8.4999999962747097E-3</v>
      </c>
      <c r="O192" s="3">
        <f t="shared" si="20"/>
        <v>6.2999999999988177E-2</v>
      </c>
      <c r="P192">
        <f t="shared" si="21"/>
        <v>1.2996000000318513E-2</v>
      </c>
      <c r="Q192">
        <f t="shared" si="22"/>
        <v>7.2249999936670065E-5</v>
      </c>
      <c r="R192">
        <f t="shared" si="23"/>
        <v>3.9689999999985102E-3</v>
      </c>
      <c r="S192">
        <f t="shared" si="24"/>
        <v>1.3068250000255183E-2</v>
      </c>
      <c r="T192">
        <f t="shared" si="25"/>
        <v>0.11431644676185131</v>
      </c>
    </row>
    <row r="193" spans="1:20" x14ac:dyDescent="0.3">
      <c r="A193" s="2" t="s">
        <v>1168</v>
      </c>
      <c r="B193" s="6" t="s">
        <v>812</v>
      </c>
      <c r="C193" s="2" t="s">
        <v>20</v>
      </c>
      <c r="D193" s="2" t="s">
        <v>110</v>
      </c>
      <c r="E193" s="3" t="s">
        <v>813</v>
      </c>
      <c r="F193" s="3" t="s">
        <v>814</v>
      </c>
      <c r="G193" s="3" t="s">
        <v>815</v>
      </c>
      <c r="J193" s="5">
        <v>312765.5956</v>
      </c>
      <c r="K193" s="5">
        <v>229031.7292</v>
      </c>
      <c r="L193" s="5">
        <v>131.845</v>
      </c>
      <c r="M193" s="3">
        <f t="shared" si="18"/>
        <v>0.11650000000372529</v>
      </c>
      <c r="N193" s="3">
        <f t="shared" si="19"/>
        <v>-1.3000000035390258E-3</v>
      </c>
      <c r="O193" s="3">
        <f t="shared" si="20"/>
        <v>6.3999999999992951E-2</v>
      </c>
      <c r="P193">
        <f t="shared" si="21"/>
        <v>1.3572250000867992E-2</v>
      </c>
      <c r="Q193">
        <f t="shared" si="22"/>
        <v>1.690000009201467E-6</v>
      </c>
      <c r="R193">
        <f t="shared" si="23"/>
        <v>4.0959999999990978E-3</v>
      </c>
      <c r="S193">
        <f t="shared" si="24"/>
        <v>1.3573940000877194E-2</v>
      </c>
      <c r="T193">
        <f t="shared" si="25"/>
        <v>0.11650725299687223</v>
      </c>
    </row>
    <row r="194" spans="1:20" x14ac:dyDescent="0.3">
      <c r="A194" s="2" t="s">
        <v>1168</v>
      </c>
      <c r="B194" s="6" t="s">
        <v>812</v>
      </c>
      <c r="C194" s="2" t="s">
        <v>20</v>
      </c>
      <c r="D194" s="2" t="s">
        <v>37</v>
      </c>
      <c r="E194" s="3" t="s">
        <v>816</v>
      </c>
      <c r="F194" s="3" t="s">
        <v>817</v>
      </c>
      <c r="G194" s="3" t="s">
        <v>818</v>
      </c>
      <c r="J194" s="5">
        <v>312765.5956</v>
      </c>
      <c r="K194" s="5">
        <v>229031.7292</v>
      </c>
      <c r="L194" s="5">
        <v>131.845</v>
      </c>
      <c r="M194" s="3">
        <f t="shared" si="18"/>
        <v>0.11849999998230487</v>
      </c>
      <c r="N194" s="3">
        <f t="shared" si="19"/>
        <v>-1.5899999998509884E-2</v>
      </c>
      <c r="O194" s="3">
        <f t="shared" si="20"/>
        <v>3.9999999999992042E-2</v>
      </c>
      <c r="P194">
        <f t="shared" si="21"/>
        <v>1.4042249995806255E-2</v>
      </c>
      <c r="Q194">
        <f t="shared" si="22"/>
        <v>2.5280999995261431E-4</v>
      </c>
      <c r="R194">
        <f t="shared" si="23"/>
        <v>1.5999999999993634E-3</v>
      </c>
      <c r="S194">
        <f t="shared" si="24"/>
        <v>1.429505999575887E-2</v>
      </c>
      <c r="T194">
        <f t="shared" si="25"/>
        <v>0.11956195045146625</v>
      </c>
    </row>
    <row r="195" spans="1:20" x14ac:dyDescent="0.3">
      <c r="A195" s="2" t="s">
        <v>1168</v>
      </c>
      <c r="B195" s="6" t="s">
        <v>812</v>
      </c>
      <c r="C195" s="2" t="s">
        <v>20</v>
      </c>
      <c r="D195" s="2" t="s">
        <v>46</v>
      </c>
      <c r="E195" s="3" t="s">
        <v>819</v>
      </c>
      <c r="F195" s="3" t="s">
        <v>820</v>
      </c>
      <c r="G195" s="3" t="s">
        <v>821</v>
      </c>
      <c r="J195" s="5">
        <v>312765.5956</v>
      </c>
      <c r="K195" s="5">
        <v>229031.7292</v>
      </c>
      <c r="L195" s="5">
        <v>131.845</v>
      </c>
      <c r="M195" s="3">
        <f t="shared" ref="M195:M258" si="26">J195-E195</f>
        <v>0.11440000002039596</v>
      </c>
      <c r="N195" s="3">
        <f t="shared" ref="N195:N258" si="27">K195-F195</f>
        <v>-7.299999997485429E-3</v>
      </c>
      <c r="O195" s="3">
        <f t="shared" ref="O195:O258" si="28">ABS(L195-G195)</f>
        <v>5.0999999999987722E-2</v>
      </c>
      <c r="P195">
        <f t="shared" ref="P195:P258" si="29">POWER(M195,2)</f>
        <v>1.3087360004666596E-2</v>
      </c>
      <c r="Q195">
        <f t="shared" ref="Q195:Q258" si="30">POWER(N195,2)</f>
        <v>5.3289999963287261E-5</v>
      </c>
      <c r="R195">
        <f t="shared" ref="R195:R258" si="31">POWER(O195,2)</f>
        <v>2.6009999999987475E-3</v>
      </c>
      <c r="S195">
        <f t="shared" ref="S195:S258" si="32">P195+Q195</f>
        <v>1.3140650004629884E-2</v>
      </c>
      <c r="T195">
        <f t="shared" ref="T195:T258" si="33">SQRT(S195)</f>
        <v>0.11463267424530357</v>
      </c>
    </row>
    <row r="196" spans="1:20" x14ac:dyDescent="0.3">
      <c r="A196" s="2" t="s">
        <v>1168</v>
      </c>
      <c r="B196" s="6" t="s">
        <v>812</v>
      </c>
      <c r="C196" s="2" t="s">
        <v>51</v>
      </c>
      <c r="D196" s="2" t="s">
        <v>63</v>
      </c>
      <c r="E196" s="3" t="s">
        <v>822</v>
      </c>
      <c r="F196" s="3" t="s">
        <v>823</v>
      </c>
      <c r="G196" s="3" t="s">
        <v>824</v>
      </c>
      <c r="J196" s="5">
        <v>312765.5956</v>
      </c>
      <c r="K196" s="5">
        <v>229031.7292</v>
      </c>
      <c r="L196" s="5">
        <v>131.845</v>
      </c>
      <c r="M196" s="3">
        <f t="shared" si="26"/>
        <v>0.11450000002514571</v>
      </c>
      <c r="N196" s="3">
        <f t="shared" si="27"/>
        <v>-8.0000000016298145E-3</v>
      </c>
      <c r="O196" s="3">
        <f t="shared" si="28"/>
        <v>1.300000000000523E-2</v>
      </c>
      <c r="P196">
        <f t="shared" si="29"/>
        <v>1.3110250005758368E-2</v>
      </c>
      <c r="Q196">
        <f t="shared" si="30"/>
        <v>6.4000000026077038E-5</v>
      </c>
      <c r="R196">
        <f t="shared" si="31"/>
        <v>1.6900000000013597E-4</v>
      </c>
      <c r="S196">
        <f t="shared" si="32"/>
        <v>1.3174250005784444E-2</v>
      </c>
      <c r="T196">
        <f t="shared" si="33"/>
        <v>0.11477913575987773</v>
      </c>
    </row>
    <row r="197" spans="1:20" x14ac:dyDescent="0.3">
      <c r="A197" s="2" t="s">
        <v>1168</v>
      </c>
      <c r="B197" s="6" t="s">
        <v>812</v>
      </c>
      <c r="C197" s="2" t="s">
        <v>51</v>
      </c>
      <c r="D197" s="2" t="s">
        <v>30</v>
      </c>
      <c r="E197" s="3" t="s">
        <v>825</v>
      </c>
      <c r="F197" s="3" t="s">
        <v>826</v>
      </c>
      <c r="G197" s="3" t="s">
        <v>827</v>
      </c>
      <c r="J197" s="5">
        <v>312765.5956</v>
      </c>
      <c r="K197" s="5">
        <v>229031.7292</v>
      </c>
      <c r="L197" s="5">
        <v>131.845</v>
      </c>
      <c r="M197" s="3">
        <f t="shared" si="26"/>
        <v>0.10149999998975545</v>
      </c>
      <c r="N197" s="3">
        <f t="shared" si="27"/>
        <v>2.0000000076834112E-3</v>
      </c>
      <c r="O197" s="3">
        <f t="shared" si="28"/>
        <v>3.9999999999906777E-3</v>
      </c>
      <c r="P197">
        <f t="shared" si="29"/>
        <v>1.0302249997920357E-2</v>
      </c>
      <c r="Q197">
        <f t="shared" si="30"/>
        <v>4.000000030733645E-6</v>
      </c>
      <c r="R197">
        <f t="shared" si="31"/>
        <v>1.5999999999925423E-5</v>
      </c>
      <c r="S197">
        <f t="shared" si="32"/>
        <v>1.030624999795109E-2</v>
      </c>
      <c r="T197">
        <f t="shared" si="33"/>
        <v>0.10151970251114358</v>
      </c>
    </row>
    <row r="198" spans="1:20" x14ac:dyDescent="0.3">
      <c r="A198" s="2" t="s">
        <v>1168</v>
      </c>
      <c r="B198" s="6" t="s">
        <v>812</v>
      </c>
      <c r="C198" s="2" t="s">
        <v>51</v>
      </c>
      <c r="D198" s="2" t="s">
        <v>52</v>
      </c>
      <c r="E198" s="3" t="s">
        <v>828</v>
      </c>
      <c r="F198" s="3" t="s">
        <v>829</v>
      </c>
      <c r="G198" s="3" t="s">
        <v>827</v>
      </c>
      <c r="J198" s="5">
        <v>312765.5956</v>
      </c>
      <c r="K198" s="5">
        <v>229031.7292</v>
      </c>
      <c r="L198" s="5">
        <v>131.845</v>
      </c>
      <c r="M198" s="3">
        <f t="shared" si="26"/>
        <v>0.11040000000502914</v>
      </c>
      <c r="N198" s="3">
        <f t="shared" si="27"/>
        <v>-2.9999999969732016E-3</v>
      </c>
      <c r="O198" s="3">
        <f t="shared" si="28"/>
        <v>3.9999999999906777E-3</v>
      </c>
      <c r="P198">
        <f t="shared" si="29"/>
        <v>1.2188160001110435E-2</v>
      </c>
      <c r="Q198">
        <f t="shared" si="30"/>
        <v>8.999999981839209E-6</v>
      </c>
      <c r="R198">
        <f t="shared" si="31"/>
        <v>1.5999999999925423E-5</v>
      </c>
      <c r="S198">
        <f t="shared" si="32"/>
        <v>1.2197160001092274E-2</v>
      </c>
      <c r="T198">
        <f t="shared" si="33"/>
        <v>0.11044075335261107</v>
      </c>
    </row>
    <row r="199" spans="1:20" x14ac:dyDescent="0.3">
      <c r="A199" s="2" t="s">
        <v>1168</v>
      </c>
      <c r="B199" s="6" t="s">
        <v>812</v>
      </c>
      <c r="C199" s="2" t="s">
        <v>422</v>
      </c>
      <c r="D199" s="2" t="s">
        <v>423</v>
      </c>
      <c r="E199" s="3" t="s">
        <v>830</v>
      </c>
      <c r="F199" s="3" t="s">
        <v>831</v>
      </c>
      <c r="G199" s="3" t="s">
        <v>832</v>
      </c>
      <c r="J199" s="5">
        <v>312765.5956</v>
      </c>
      <c r="K199" s="5">
        <v>229031.7292</v>
      </c>
      <c r="L199" s="5">
        <v>131.845</v>
      </c>
      <c r="M199" s="3">
        <f t="shared" si="26"/>
        <v>0.11780000000726432</v>
      </c>
      <c r="N199" s="3">
        <f t="shared" si="27"/>
        <v>-1.4200000005075708E-2</v>
      </c>
      <c r="O199" s="3">
        <f t="shared" si="28"/>
        <v>0.16800000000000637</v>
      </c>
      <c r="P199">
        <f t="shared" si="29"/>
        <v>1.3876840001711473E-2</v>
      </c>
      <c r="Q199">
        <f t="shared" si="30"/>
        <v>2.016400001441501E-4</v>
      </c>
      <c r="R199">
        <f t="shared" si="31"/>
        <v>2.822400000000214E-2</v>
      </c>
      <c r="S199">
        <f t="shared" si="32"/>
        <v>1.4078480001855622E-2</v>
      </c>
      <c r="T199">
        <f t="shared" si="33"/>
        <v>0.11865277072978794</v>
      </c>
    </row>
    <row r="200" spans="1:20" x14ac:dyDescent="0.3">
      <c r="A200" s="2" t="s">
        <v>1168</v>
      </c>
      <c r="B200" s="6" t="s">
        <v>833</v>
      </c>
      <c r="C200" s="2" t="s">
        <v>20</v>
      </c>
      <c r="D200" s="2" t="s">
        <v>30</v>
      </c>
      <c r="E200" s="3" t="s">
        <v>834</v>
      </c>
      <c r="F200" s="3" t="s">
        <v>835</v>
      </c>
      <c r="G200" s="3" t="s">
        <v>836</v>
      </c>
      <c r="J200" s="8" t="s">
        <v>837</v>
      </c>
      <c r="K200" s="8" t="s">
        <v>838</v>
      </c>
      <c r="L200" s="8" t="s">
        <v>839</v>
      </c>
      <c r="M200" s="3">
        <f t="shared" si="26"/>
        <v>-7.7699999965261668E-2</v>
      </c>
      <c r="N200" s="3">
        <f t="shared" si="27"/>
        <v>8.009999999194406E-2</v>
      </c>
      <c r="O200" s="3">
        <f t="shared" si="28"/>
        <v>7.2100000000006048E-2</v>
      </c>
      <c r="P200">
        <f t="shared" si="29"/>
        <v>6.0372899946016636E-3</v>
      </c>
      <c r="Q200">
        <f t="shared" si="30"/>
        <v>6.4160099987094384E-3</v>
      </c>
      <c r="R200">
        <f t="shared" si="31"/>
        <v>5.1984100000008722E-3</v>
      </c>
      <c r="S200">
        <f t="shared" si="32"/>
        <v>1.2453299993311101E-2</v>
      </c>
      <c r="T200">
        <f t="shared" si="33"/>
        <v>0.11159435466595567</v>
      </c>
    </row>
    <row r="201" spans="1:20" x14ac:dyDescent="0.3">
      <c r="A201" s="2" t="s">
        <v>1168</v>
      </c>
      <c r="B201" s="6" t="s">
        <v>833</v>
      </c>
      <c r="C201" s="2" t="s">
        <v>20</v>
      </c>
      <c r="D201" s="2" t="s">
        <v>21</v>
      </c>
      <c r="E201" s="3" t="s">
        <v>840</v>
      </c>
      <c r="F201" s="3" t="s">
        <v>841</v>
      </c>
      <c r="G201" s="3" t="s">
        <v>842</v>
      </c>
      <c r="J201" s="8" t="s">
        <v>837</v>
      </c>
      <c r="K201" s="8" t="s">
        <v>838</v>
      </c>
      <c r="L201" s="8" t="s">
        <v>839</v>
      </c>
      <c r="M201" s="3">
        <f t="shared" si="26"/>
        <v>-8.1100000010337681E-2</v>
      </c>
      <c r="N201" s="3">
        <f t="shared" si="27"/>
        <v>7.6300000015180558E-2</v>
      </c>
      <c r="O201" s="3">
        <f t="shared" si="28"/>
        <v>5.1100000000005252E-2</v>
      </c>
      <c r="P201">
        <f t="shared" si="29"/>
        <v>6.5772100016767716E-3</v>
      </c>
      <c r="Q201">
        <f t="shared" si="30"/>
        <v>5.8216900023165532E-3</v>
      </c>
      <c r="R201">
        <f t="shared" si="31"/>
        <v>2.611210000000537E-3</v>
      </c>
      <c r="S201">
        <f t="shared" si="32"/>
        <v>1.2398900003993324E-2</v>
      </c>
      <c r="T201">
        <f t="shared" si="33"/>
        <v>0.11135034801918368</v>
      </c>
    </row>
    <row r="202" spans="1:20" x14ac:dyDescent="0.3">
      <c r="A202" s="2" t="s">
        <v>1168</v>
      </c>
      <c r="B202" s="6" t="s">
        <v>833</v>
      </c>
      <c r="C202" s="2" t="s">
        <v>20</v>
      </c>
      <c r="D202" s="2" t="s">
        <v>110</v>
      </c>
      <c r="E202" s="3" t="s">
        <v>843</v>
      </c>
      <c r="F202" s="3" t="s">
        <v>844</v>
      </c>
      <c r="G202" s="3" t="s">
        <v>845</v>
      </c>
      <c r="J202" s="8" t="s">
        <v>837</v>
      </c>
      <c r="K202" s="8" t="s">
        <v>838</v>
      </c>
      <c r="L202" s="8" t="s">
        <v>839</v>
      </c>
      <c r="M202" s="3">
        <f t="shared" si="26"/>
        <v>-7.4199999973643571E-2</v>
      </c>
      <c r="N202" s="3">
        <f t="shared" si="27"/>
        <v>8.3400000003166497E-2</v>
      </c>
      <c r="O202" s="3">
        <f t="shared" si="28"/>
        <v>7.5100000000006162E-2</v>
      </c>
      <c r="P202">
        <f t="shared" si="29"/>
        <v>5.505639996088706E-3</v>
      </c>
      <c r="Q202">
        <f t="shared" si="30"/>
        <v>6.9555600005281716E-3</v>
      </c>
      <c r="R202">
        <f t="shared" si="31"/>
        <v>5.6400100000009255E-3</v>
      </c>
      <c r="S202">
        <f t="shared" si="32"/>
        <v>1.2461199996616878E-2</v>
      </c>
      <c r="T202">
        <f t="shared" si="33"/>
        <v>0.11162974512475105</v>
      </c>
    </row>
    <row r="203" spans="1:20" x14ac:dyDescent="0.3">
      <c r="A203" s="2" t="s">
        <v>1168</v>
      </c>
      <c r="B203" s="6" t="s">
        <v>833</v>
      </c>
      <c r="C203" s="2" t="s">
        <v>20</v>
      </c>
      <c r="D203" s="2" t="s">
        <v>37</v>
      </c>
      <c r="E203" s="3" t="s">
        <v>834</v>
      </c>
      <c r="F203" s="3" t="s">
        <v>846</v>
      </c>
      <c r="G203" s="3" t="s">
        <v>847</v>
      </c>
      <c r="J203" s="8" t="s">
        <v>837</v>
      </c>
      <c r="K203" s="8" t="s">
        <v>838</v>
      </c>
      <c r="L203" s="8" t="s">
        <v>839</v>
      </c>
      <c r="M203" s="3">
        <f t="shared" si="26"/>
        <v>-7.7699999965261668E-2</v>
      </c>
      <c r="N203" s="3">
        <f t="shared" si="27"/>
        <v>6.1199999996460974E-2</v>
      </c>
      <c r="O203" s="3">
        <f t="shared" si="28"/>
        <v>3.4099999999995134E-2</v>
      </c>
      <c r="P203">
        <f t="shared" si="29"/>
        <v>6.0372899946016636E-3</v>
      </c>
      <c r="Q203">
        <f t="shared" si="30"/>
        <v>3.7454399995668231E-3</v>
      </c>
      <c r="R203">
        <f t="shared" si="31"/>
        <v>1.1628099999996682E-3</v>
      </c>
      <c r="S203">
        <f t="shared" si="32"/>
        <v>9.7827299941684875E-3</v>
      </c>
      <c r="T203">
        <f t="shared" si="33"/>
        <v>9.8907684201827759E-2</v>
      </c>
    </row>
    <row r="204" spans="1:20" x14ac:dyDescent="0.3">
      <c r="A204" s="2" t="s">
        <v>1168</v>
      </c>
      <c r="B204" s="6" t="s">
        <v>833</v>
      </c>
      <c r="C204" s="2" t="s">
        <v>20</v>
      </c>
      <c r="D204" s="2" t="s">
        <v>46</v>
      </c>
      <c r="E204" s="3" t="s">
        <v>848</v>
      </c>
      <c r="F204" s="3" t="s">
        <v>849</v>
      </c>
      <c r="G204" s="3" t="s">
        <v>850</v>
      </c>
      <c r="J204" s="8" t="s">
        <v>837</v>
      </c>
      <c r="K204" s="8" t="s">
        <v>838</v>
      </c>
      <c r="L204" s="8" t="s">
        <v>839</v>
      </c>
      <c r="M204" s="3">
        <f t="shared" si="26"/>
        <v>-6.7800000018905848E-2</v>
      </c>
      <c r="N204" s="3">
        <f t="shared" si="27"/>
        <v>7.9100000002654269E-2</v>
      </c>
      <c r="O204" s="3">
        <f t="shared" si="28"/>
        <v>4.9099999999995703E-2</v>
      </c>
      <c r="P204">
        <f t="shared" si="29"/>
        <v>4.5968400025636329E-3</v>
      </c>
      <c r="Q204">
        <f t="shared" si="30"/>
        <v>6.2568100004199052E-3</v>
      </c>
      <c r="R204">
        <f t="shared" si="31"/>
        <v>2.4108099999995778E-3</v>
      </c>
      <c r="S204">
        <f t="shared" si="32"/>
        <v>1.0853650002983538E-2</v>
      </c>
      <c r="T204">
        <f t="shared" si="33"/>
        <v>0.10418085238172865</v>
      </c>
    </row>
    <row r="205" spans="1:20" x14ac:dyDescent="0.3">
      <c r="A205" s="2" t="s">
        <v>1168</v>
      </c>
      <c r="B205" s="6" t="s">
        <v>833</v>
      </c>
      <c r="C205" s="2" t="s">
        <v>51</v>
      </c>
      <c r="D205" s="2" t="s">
        <v>63</v>
      </c>
      <c r="E205" s="3" t="s">
        <v>851</v>
      </c>
      <c r="F205" s="3" t="s">
        <v>852</v>
      </c>
      <c r="G205" s="3" t="s">
        <v>853</v>
      </c>
      <c r="J205" s="8" t="s">
        <v>837</v>
      </c>
      <c r="K205" s="8" t="s">
        <v>838</v>
      </c>
      <c r="L205" s="8" t="s">
        <v>839</v>
      </c>
      <c r="M205" s="3">
        <f t="shared" si="26"/>
        <v>-0.11300000001210719</v>
      </c>
      <c r="N205" s="3">
        <f t="shared" si="27"/>
        <v>0.15210000000661239</v>
      </c>
      <c r="O205" s="3">
        <f t="shared" si="28"/>
        <v>0.21110000000000184</v>
      </c>
      <c r="P205">
        <f t="shared" si="29"/>
        <v>1.2769000002736225E-2</v>
      </c>
      <c r="Q205">
        <f t="shared" si="30"/>
        <v>2.3134410002011489E-2</v>
      </c>
      <c r="R205">
        <f t="shared" si="31"/>
        <v>4.4563210000000776E-2</v>
      </c>
      <c r="S205">
        <f t="shared" si="32"/>
        <v>3.5903410004747713E-2</v>
      </c>
      <c r="T205">
        <f t="shared" si="33"/>
        <v>0.18948195165964413</v>
      </c>
    </row>
    <row r="206" spans="1:20" x14ac:dyDescent="0.3">
      <c r="A206" s="2" t="s">
        <v>1168</v>
      </c>
      <c r="B206" s="6" t="s">
        <v>833</v>
      </c>
      <c r="C206" s="2" t="s">
        <v>51</v>
      </c>
      <c r="D206" s="2" t="s">
        <v>30</v>
      </c>
      <c r="E206" s="3" t="s">
        <v>854</v>
      </c>
      <c r="F206" s="3" t="s">
        <v>855</v>
      </c>
      <c r="G206" s="3" t="s">
        <v>856</v>
      </c>
      <c r="J206" s="8" t="s">
        <v>837</v>
      </c>
      <c r="K206" s="8" t="s">
        <v>838</v>
      </c>
      <c r="L206" s="8" t="s">
        <v>839</v>
      </c>
      <c r="M206" s="3">
        <f t="shared" si="26"/>
        <v>-7.7199999999720603E-2</v>
      </c>
      <c r="N206" s="3">
        <f t="shared" si="27"/>
        <v>8.7399999989429489E-2</v>
      </c>
      <c r="O206" s="3">
        <f t="shared" si="28"/>
        <v>1.9099999999994566E-2</v>
      </c>
      <c r="P206">
        <f t="shared" si="29"/>
        <v>5.959839999956861E-3</v>
      </c>
      <c r="Q206">
        <f t="shared" si="30"/>
        <v>7.6387599981522745E-3</v>
      </c>
      <c r="R206">
        <f t="shared" si="31"/>
        <v>3.648099999997924E-4</v>
      </c>
      <c r="S206">
        <f t="shared" si="32"/>
        <v>1.3598599998109136E-2</v>
      </c>
      <c r="T206">
        <f t="shared" si="33"/>
        <v>0.11661303528383582</v>
      </c>
    </row>
    <row r="207" spans="1:20" x14ac:dyDescent="0.3">
      <c r="A207" s="2" t="s">
        <v>1168</v>
      </c>
      <c r="B207" s="6" t="s">
        <v>833</v>
      </c>
      <c r="C207" s="2" t="s">
        <v>51</v>
      </c>
      <c r="D207" s="2" t="s">
        <v>52</v>
      </c>
      <c r="E207" s="3" t="s">
        <v>857</v>
      </c>
      <c r="F207" s="3" t="s">
        <v>858</v>
      </c>
      <c r="G207" s="3" t="s">
        <v>859</v>
      </c>
      <c r="J207" s="8" t="s">
        <v>837</v>
      </c>
      <c r="K207" s="8" t="s">
        <v>838</v>
      </c>
      <c r="L207" s="8" t="s">
        <v>839</v>
      </c>
      <c r="M207" s="3">
        <f t="shared" si="26"/>
        <v>-8.2200000004377216E-2</v>
      </c>
      <c r="N207" s="3">
        <f t="shared" si="27"/>
        <v>7.4800000002142042E-2</v>
      </c>
      <c r="O207" s="3">
        <f t="shared" si="28"/>
        <v>2.1100000000004115E-2</v>
      </c>
      <c r="P207">
        <f t="shared" si="29"/>
        <v>6.7568400007196145E-3</v>
      </c>
      <c r="Q207">
        <f t="shared" si="30"/>
        <v>5.5950400003204493E-3</v>
      </c>
      <c r="R207">
        <f t="shared" si="31"/>
        <v>4.4521000000017366E-4</v>
      </c>
      <c r="S207">
        <f t="shared" si="32"/>
        <v>1.2351880001040063E-2</v>
      </c>
      <c r="T207">
        <f t="shared" si="33"/>
        <v>0.11113901205715328</v>
      </c>
    </row>
    <row r="208" spans="1:20" x14ac:dyDescent="0.3">
      <c r="A208" s="2" t="s">
        <v>1168</v>
      </c>
      <c r="B208" s="6" t="s">
        <v>833</v>
      </c>
      <c r="C208" s="2" t="s">
        <v>422</v>
      </c>
      <c r="D208" s="2" t="s">
        <v>423</v>
      </c>
      <c r="E208" s="3" t="s">
        <v>860</v>
      </c>
      <c r="F208" s="3" t="s">
        <v>861</v>
      </c>
      <c r="G208" s="3" t="s">
        <v>862</v>
      </c>
      <c r="J208" s="8" t="s">
        <v>837</v>
      </c>
      <c r="K208" s="8" t="s">
        <v>838</v>
      </c>
      <c r="L208" s="8" t="s">
        <v>839</v>
      </c>
      <c r="M208" s="3">
        <f t="shared" si="26"/>
        <v>-7.9099999973550439E-2</v>
      </c>
      <c r="N208" s="3">
        <f t="shared" si="27"/>
        <v>6.210000001010485E-2</v>
      </c>
      <c r="O208" s="3">
        <f t="shared" si="28"/>
        <v>0.18810000000000571</v>
      </c>
      <c r="P208">
        <f t="shared" si="29"/>
        <v>6.2568099958156794E-3</v>
      </c>
      <c r="Q208">
        <f t="shared" si="30"/>
        <v>3.8564100012550223E-3</v>
      </c>
      <c r="R208">
        <f t="shared" si="31"/>
        <v>3.5381610000002145E-2</v>
      </c>
      <c r="S208">
        <f t="shared" si="32"/>
        <v>1.0113219997070702E-2</v>
      </c>
      <c r="T208">
        <f t="shared" si="33"/>
        <v>0.10056450664658333</v>
      </c>
    </row>
    <row r="209" spans="1:20" x14ac:dyDescent="0.3">
      <c r="A209" s="2" t="s">
        <v>1168</v>
      </c>
      <c r="B209" s="6" t="s">
        <v>863</v>
      </c>
      <c r="C209" s="2" t="s">
        <v>20</v>
      </c>
      <c r="D209" s="2" t="s">
        <v>30</v>
      </c>
      <c r="E209" s="3" t="s">
        <v>864</v>
      </c>
      <c r="F209" s="3" t="s">
        <v>865</v>
      </c>
      <c r="G209" s="3" t="s">
        <v>866</v>
      </c>
      <c r="J209" s="5" t="s">
        <v>867</v>
      </c>
      <c r="K209" s="5" t="s">
        <v>868</v>
      </c>
      <c r="L209" s="5" t="s">
        <v>869</v>
      </c>
      <c r="M209" s="3">
        <f t="shared" si="26"/>
        <v>5.7000000029802322E-2</v>
      </c>
      <c r="N209" s="3">
        <f t="shared" si="27"/>
        <v>-2.6400000002468005E-2</v>
      </c>
      <c r="O209" s="3">
        <f t="shared" si="28"/>
        <v>2.4799999999999045E-2</v>
      </c>
      <c r="P209">
        <f t="shared" si="29"/>
        <v>3.2490000033974648E-3</v>
      </c>
      <c r="Q209">
        <f t="shared" si="30"/>
        <v>6.9696000013031063E-4</v>
      </c>
      <c r="R209">
        <f t="shared" si="31"/>
        <v>6.1503999999995259E-4</v>
      </c>
      <c r="S209">
        <f t="shared" si="32"/>
        <v>3.9459600035277754E-3</v>
      </c>
      <c r="T209">
        <f t="shared" si="33"/>
        <v>6.2816876741268943E-2</v>
      </c>
    </row>
    <row r="210" spans="1:20" x14ac:dyDescent="0.3">
      <c r="A210" s="2" t="s">
        <v>1168</v>
      </c>
      <c r="B210" s="6" t="s">
        <v>863</v>
      </c>
      <c r="C210" s="2" t="s">
        <v>20</v>
      </c>
      <c r="D210" s="2" t="s">
        <v>21</v>
      </c>
      <c r="E210" s="3" t="s">
        <v>870</v>
      </c>
      <c r="F210" s="3" t="s">
        <v>871</v>
      </c>
      <c r="G210" s="3" t="s">
        <v>872</v>
      </c>
      <c r="J210" s="5" t="s">
        <v>867</v>
      </c>
      <c r="K210" s="5" t="s">
        <v>868</v>
      </c>
      <c r="L210" s="5" t="s">
        <v>869</v>
      </c>
      <c r="M210" s="3">
        <f t="shared" si="26"/>
        <v>4.5500000007450581E-2</v>
      </c>
      <c r="N210" s="3">
        <f t="shared" si="27"/>
        <v>-2.1299999993061647E-2</v>
      </c>
      <c r="O210" s="3">
        <f t="shared" si="28"/>
        <v>9.1999999999927695E-3</v>
      </c>
      <c r="P210">
        <f t="shared" si="29"/>
        <v>2.0702500006780028E-3</v>
      </c>
      <c r="Q210">
        <f t="shared" si="30"/>
        <v>4.5368999970442613E-4</v>
      </c>
      <c r="R210">
        <f t="shared" si="31"/>
        <v>8.4639999999866958E-5</v>
      </c>
      <c r="S210">
        <f t="shared" si="32"/>
        <v>2.523940000382429E-3</v>
      </c>
      <c r="T210">
        <f t="shared" si="33"/>
        <v>5.0238829608007678E-2</v>
      </c>
    </row>
    <row r="211" spans="1:20" x14ac:dyDescent="0.3">
      <c r="A211" s="2" t="s">
        <v>1168</v>
      </c>
      <c r="B211" s="6" t="s">
        <v>873</v>
      </c>
      <c r="C211" s="2" t="s">
        <v>20</v>
      </c>
      <c r="D211" s="2" t="s">
        <v>110</v>
      </c>
      <c r="E211" s="3" t="s">
        <v>874</v>
      </c>
      <c r="F211" s="3" t="s">
        <v>875</v>
      </c>
      <c r="G211" s="3" t="s">
        <v>876</v>
      </c>
      <c r="J211" s="5" t="s">
        <v>877</v>
      </c>
      <c r="K211" s="5" t="s">
        <v>878</v>
      </c>
      <c r="L211" s="5" t="s">
        <v>869</v>
      </c>
      <c r="M211" s="3">
        <f t="shared" si="26"/>
        <v>4.6399999991990626E-2</v>
      </c>
      <c r="N211" s="3">
        <f t="shared" si="27"/>
        <v>-2.1899999992456287E-2</v>
      </c>
      <c r="O211" s="3">
        <f t="shared" si="28"/>
        <v>5.1999999999736701E-3</v>
      </c>
      <c r="P211">
        <f t="shared" si="29"/>
        <v>2.1529599992567302E-3</v>
      </c>
      <c r="Q211">
        <f t="shared" si="30"/>
        <v>4.7960999966958537E-4</v>
      </c>
      <c r="R211">
        <f t="shared" si="31"/>
        <v>2.703999999972617E-5</v>
      </c>
      <c r="S211">
        <f t="shared" si="32"/>
        <v>2.6325699989263153E-3</v>
      </c>
      <c r="T211">
        <f t="shared" si="33"/>
        <v>5.1308576270700741E-2</v>
      </c>
    </row>
    <row r="212" spans="1:20" x14ac:dyDescent="0.3">
      <c r="A212" s="2" t="s">
        <v>1168</v>
      </c>
      <c r="B212" s="6" t="s">
        <v>873</v>
      </c>
      <c r="C212" s="2" t="s">
        <v>20</v>
      </c>
      <c r="D212" s="2" t="s">
        <v>37</v>
      </c>
      <c r="E212" s="3" t="s">
        <v>879</v>
      </c>
      <c r="F212" s="3" t="s">
        <v>880</v>
      </c>
      <c r="G212" s="3" t="s">
        <v>881</v>
      </c>
      <c r="J212" s="5" t="s">
        <v>877</v>
      </c>
      <c r="K212" s="5" t="s">
        <v>878</v>
      </c>
      <c r="L212" s="5" t="s">
        <v>869</v>
      </c>
      <c r="M212" s="3">
        <f t="shared" si="26"/>
        <v>4.9500000022817403E-2</v>
      </c>
      <c r="N212" s="3">
        <f t="shared" si="27"/>
        <v>-2.5400000013178214E-2</v>
      </c>
      <c r="O212" s="3">
        <f t="shared" si="28"/>
        <v>1.9800000000003593E-2</v>
      </c>
      <c r="P212">
        <f t="shared" si="29"/>
        <v>2.4502500022589228E-3</v>
      </c>
      <c r="Q212">
        <f t="shared" si="30"/>
        <v>6.451600006694533E-4</v>
      </c>
      <c r="R212">
        <f t="shared" si="31"/>
        <v>3.9204000000014227E-4</v>
      </c>
      <c r="S212">
        <f t="shared" si="32"/>
        <v>3.0954100029283761E-3</v>
      </c>
      <c r="T212">
        <f t="shared" si="33"/>
        <v>5.563640896866346E-2</v>
      </c>
    </row>
    <row r="213" spans="1:20" x14ac:dyDescent="0.3">
      <c r="A213" s="2" t="s">
        <v>1168</v>
      </c>
      <c r="B213" s="6" t="s">
        <v>873</v>
      </c>
      <c r="C213" s="2" t="s">
        <v>20</v>
      </c>
      <c r="D213" s="2" t="s">
        <v>46</v>
      </c>
      <c r="E213" s="3" t="s">
        <v>882</v>
      </c>
      <c r="F213" s="3" t="s">
        <v>883</v>
      </c>
      <c r="G213" s="3" t="s">
        <v>884</v>
      </c>
      <c r="J213" s="5" t="s">
        <v>877</v>
      </c>
      <c r="K213" s="5" t="s">
        <v>878</v>
      </c>
      <c r="L213" s="5" t="s">
        <v>869</v>
      </c>
      <c r="M213" s="3">
        <f t="shared" si="26"/>
        <v>4.6299999987240881E-2</v>
      </c>
      <c r="N213" s="3">
        <f t="shared" si="27"/>
        <v>-2.590000000782311E-2</v>
      </c>
      <c r="O213" s="3">
        <f t="shared" si="28"/>
        <v>1.8000000000029104E-3</v>
      </c>
      <c r="P213">
        <f t="shared" si="29"/>
        <v>2.1436899988185056E-3</v>
      </c>
      <c r="Q213">
        <f t="shared" si="30"/>
        <v>6.7081000040523702E-4</v>
      </c>
      <c r="R213">
        <f t="shared" si="31"/>
        <v>3.2400000000104773E-6</v>
      </c>
      <c r="S213">
        <f t="shared" si="32"/>
        <v>2.8144999992237426E-3</v>
      </c>
      <c r="T213">
        <f t="shared" si="33"/>
        <v>5.305186141148812E-2</v>
      </c>
    </row>
    <row r="214" spans="1:20" x14ac:dyDescent="0.3">
      <c r="A214" s="2" t="s">
        <v>1168</v>
      </c>
      <c r="B214" s="6" t="s">
        <v>873</v>
      </c>
      <c r="C214" s="2" t="s">
        <v>51</v>
      </c>
      <c r="D214" s="2" t="s">
        <v>63</v>
      </c>
      <c r="E214" s="3" t="s">
        <v>885</v>
      </c>
      <c r="F214" s="3" t="s">
        <v>886</v>
      </c>
      <c r="G214" s="3" t="s">
        <v>887</v>
      </c>
      <c r="J214" s="5" t="s">
        <v>877</v>
      </c>
      <c r="K214" s="5" t="s">
        <v>878</v>
      </c>
      <c r="L214" s="5" t="s">
        <v>869</v>
      </c>
      <c r="M214" s="3">
        <f t="shared" si="26"/>
        <v>5.2599999995436519E-2</v>
      </c>
      <c r="N214" s="3">
        <f t="shared" si="27"/>
        <v>-2.68999999971129E-2</v>
      </c>
      <c r="O214" s="3">
        <f t="shared" si="28"/>
        <v>7.8000000000031378E-3</v>
      </c>
      <c r="P214">
        <f t="shared" si="29"/>
        <v>2.7667599995199218E-3</v>
      </c>
      <c r="Q214">
        <f t="shared" si="30"/>
        <v>7.2360999984467402E-4</v>
      </c>
      <c r="R214">
        <f t="shared" si="31"/>
        <v>6.0840000000048952E-5</v>
      </c>
      <c r="S214">
        <f t="shared" si="32"/>
        <v>3.490369999364596E-3</v>
      </c>
      <c r="T214">
        <f t="shared" si="33"/>
        <v>5.9079353410177025E-2</v>
      </c>
    </row>
    <row r="215" spans="1:20" x14ac:dyDescent="0.3">
      <c r="A215" s="2" t="s">
        <v>1168</v>
      </c>
      <c r="B215" s="6" t="s">
        <v>873</v>
      </c>
      <c r="C215" s="2" t="s">
        <v>51</v>
      </c>
      <c r="D215" s="2" t="s">
        <v>30</v>
      </c>
      <c r="E215" s="3" t="s">
        <v>888</v>
      </c>
      <c r="F215" s="3" t="s">
        <v>889</v>
      </c>
      <c r="G215" s="3" t="s">
        <v>890</v>
      </c>
      <c r="J215" s="5" t="s">
        <v>877</v>
      </c>
      <c r="K215" s="5" t="s">
        <v>878</v>
      </c>
      <c r="L215" s="5" t="s">
        <v>869</v>
      </c>
      <c r="M215" s="3">
        <f t="shared" si="26"/>
        <v>5.7399999990593642E-2</v>
      </c>
      <c r="N215" s="3">
        <f t="shared" si="27"/>
        <v>-2.2300000011455268E-2</v>
      </c>
      <c r="O215" s="3">
        <f t="shared" si="28"/>
        <v>1.480000000000814E-2</v>
      </c>
      <c r="P215">
        <f t="shared" si="29"/>
        <v>3.2947599989201501E-3</v>
      </c>
      <c r="Q215">
        <f t="shared" si="30"/>
        <v>4.9729000051090496E-4</v>
      </c>
      <c r="R215">
        <f t="shared" si="31"/>
        <v>2.1904000000024095E-4</v>
      </c>
      <c r="S215">
        <f t="shared" si="32"/>
        <v>3.7920499994310549E-3</v>
      </c>
      <c r="T215">
        <f t="shared" si="33"/>
        <v>6.1579623248531286E-2</v>
      </c>
    </row>
    <row r="216" spans="1:20" x14ac:dyDescent="0.3">
      <c r="A216" s="2" t="s">
        <v>1168</v>
      </c>
      <c r="B216" s="6" t="s">
        <v>873</v>
      </c>
      <c r="C216" s="2" t="s">
        <v>51</v>
      </c>
      <c r="D216" s="2" t="s">
        <v>52</v>
      </c>
      <c r="E216" s="3" t="s">
        <v>891</v>
      </c>
      <c r="F216" s="3" t="s">
        <v>892</v>
      </c>
      <c r="G216" s="3" t="s">
        <v>881</v>
      </c>
      <c r="J216" s="5" t="s">
        <v>877</v>
      </c>
      <c r="K216" s="5" t="s">
        <v>878</v>
      </c>
      <c r="L216" s="5" t="s">
        <v>869</v>
      </c>
      <c r="M216" s="3">
        <f t="shared" si="26"/>
        <v>5.5099999997764826E-2</v>
      </c>
      <c r="N216" s="3">
        <f t="shared" si="27"/>
        <v>-2.5599999993573874E-2</v>
      </c>
      <c r="O216" s="3">
        <f t="shared" si="28"/>
        <v>1.9800000000003593E-2</v>
      </c>
      <c r="P216">
        <f t="shared" si="29"/>
        <v>3.0360099997536836E-3</v>
      </c>
      <c r="Q216">
        <f t="shared" si="30"/>
        <v>6.5535999967098238E-4</v>
      </c>
      <c r="R216">
        <f t="shared" si="31"/>
        <v>3.9204000000014227E-4</v>
      </c>
      <c r="S216">
        <f t="shared" si="32"/>
        <v>3.6913699994246662E-3</v>
      </c>
      <c r="T216">
        <f t="shared" si="33"/>
        <v>6.0756645722296637E-2</v>
      </c>
    </row>
    <row r="217" spans="1:20" x14ac:dyDescent="0.3">
      <c r="A217" s="2" t="s">
        <v>1168</v>
      </c>
      <c r="B217" s="6" t="s">
        <v>873</v>
      </c>
      <c r="C217" s="2" t="s">
        <v>422</v>
      </c>
      <c r="D217" s="2" t="s">
        <v>423</v>
      </c>
      <c r="E217" s="3" t="s">
        <v>893</v>
      </c>
      <c r="F217" s="3" t="s">
        <v>894</v>
      </c>
      <c r="G217" s="3" t="s">
        <v>895</v>
      </c>
      <c r="J217" s="5" t="s">
        <v>877</v>
      </c>
      <c r="K217" s="5" t="s">
        <v>878</v>
      </c>
      <c r="L217" s="5" t="s">
        <v>869</v>
      </c>
      <c r="M217" s="3">
        <f t="shared" si="26"/>
        <v>5.2499999990686774E-2</v>
      </c>
      <c r="N217" s="3">
        <f t="shared" si="27"/>
        <v>-3.0100000003585592E-2</v>
      </c>
      <c r="O217" s="3">
        <f t="shared" si="28"/>
        <v>0.17480000000000473</v>
      </c>
      <c r="P217">
        <f t="shared" si="29"/>
        <v>2.7562499990221112E-3</v>
      </c>
      <c r="Q217">
        <f t="shared" si="30"/>
        <v>9.0601000021585268E-4</v>
      </c>
      <c r="R217">
        <f t="shared" si="31"/>
        <v>3.0555040000001654E-2</v>
      </c>
      <c r="S217">
        <f t="shared" si="32"/>
        <v>3.6622599992379638E-3</v>
      </c>
      <c r="T217">
        <f t="shared" si="33"/>
        <v>6.0516609284046674E-2</v>
      </c>
    </row>
    <row r="218" spans="1:20" x14ac:dyDescent="0.3">
      <c r="A218" s="2" t="s">
        <v>1168</v>
      </c>
      <c r="B218" s="6" t="s">
        <v>896</v>
      </c>
      <c r="C218" s="2" t="s">
        <v>20</v>
      </c>
      <c r="D218" s="2" t="s">
        <v>30</v>
      </c>
      <c r="E218" s="3" t="s">
        <v>897</v>
      </c>
      <c r="F218" s="3" t="s">
        <v>898</v>
      </c>
      <c r="G218" s="3" t="s">
        <v>899</v>
      </c>
      <c r="J218" s="8" t="s">
        <v>900</v>
      </c>
      <c r="K218" s="8" t="s">
        <v>901</v>
      </c>
      <c r="L218" s="8" t="s">
        <v>902</v>
      </c>
      <c r="M218" s="3">
        <f t="shared" si="26"/>
        <v>8.9099999982863665E-2</v>
      </c>
      <c r="N218" s="3">
        <f t="shared" si="27"/>
        <v>-5.479999998351559E-2</v>
      </c>
      <c r="O218" s="3">
        <f t="shared" si="28"/>
        <v>6.4999999999997726E-2</v>
      </c>
      <c r="P218">
        <f t="shared" si="29"/>
        <v>7.9388099969463048E-3</v>
      </c>
      <c r="Q218">
        <f t="shared" si="30"/>
        <v>3.0030399981933087E-3</v>
      </c>
      <c r="R218">
        <f t="shared" si="31"/>
        <v>4.2249999999997047E-3</v>
      </c>
      <c r="S218">
        <f t="shared" si="32"/>
        <v>1.0941849995139613E-2</v>
      </c>
      <c r="T218">
        <f t="shared" si="33"/>
        <v>0.10460329820392669</v>
      </c>
    </row>
    <row r="219" spans="1:20" x14ac:dyDescent="0.3">
      <c r="A219" s="2" t="s">
        <v>1168</v>
      </c>
      <c r="B219" s="6" t="s">
        <v>896</v>
      </c>
      <c r="C219" s="2" t="s">
        <v>20</v>
      </c>
      <c r="D219" s="2" t="s">
        <v>21</v>
      </c>
      <c r="E219" s="3" t="s">
        <v>903</v>
      </c>
      <c r="F219" s="3" t="s">
        <v>904</v>
      </c>
      <c r="G219" s="3" t="s">
        <v>905</v>
      </c>
      <c r="J219" s="8" t="s">
        <v>900</v>
      </c>
      <c r="K219" s="8" t="s">
        <v>901</v>
      </c>
      <c r="L219" s="8" t="s">
        <v>902</v>
      </c>
      <c r="M219" s="3">
        <f t="shared" si="26"/>
        <v>8.9299999992363155E-2</v>
      </c>
      <c r="N219" s="3">
        <f t="shared" si="27"/>
        <v>-5.4100000008475035E-2</v>
      </c>
      <c r="O219" s="3">
        <f t="shared" si="28"/>
        <v>6.8999999999959982E-2</v>
      </c>
      <c r="P219">
        <f t="shared" si="29"/>
        <v>7.9744899986360588E-3</v>
      </c>
      <c r="Q219">
        <f t="shared" si="30"/>
        <v>2.9268100009169989E-3</v>
      </c>
      <c r="R219">
        <f t="shared" si="31"/>
        <v>4.7609999999944771E-3</v>
      </c>
      <c r="S219">
        <f t="shared" si="32"/>
        <v>1.0901299999553058E-2</v>
      </c>
      <c r="T219">
        <f t="shared" si="33"/>
        <v>0.10440929077219641</v>
      </c>
    </row>
    <row r="220" spans="1:20" x14ac:dyDescent="0.3">
      <c r="A220" s="2" t="s">
        <v>1168</v>
      </c>
      <c r="B220" s="6" t="s">
        <v>896</v>
      </c>
      <c r="C220" s="2" t="s">
        <v>20</v>
      </c>
      <c r="D220" s="2" t="s">
        <v>110</v>
      </c>
      <c r="E220" s="3" t="s">
        <v>906</v>
      </c>
      <c r="F220" s="3" t="s">
        <v>907</v>
      </c>
      <c r="G220" s="3" t="s">
        <v>908</v>
      </c>
      <c r="J220" s="8" t="s">
        <v>900</v>
      </c>
      <c r="K220" s="8" t="s">
        <v>901</v>
      </c>
      <c r="L220" s="8" t="s">
        <v>902</v>
      </c>
      <c r="M220" s="3">
        <f t="shared" si="26"/>
        <v>8.2600000023376197E-2</v>
      </c>
      <c r="N220" s="3">
        <f t="shared" si="27"/>
        <v>-5.1099999982398003E-2</v>
      </c>
      <c r="O220" s="3">
        <f t="shared" si="28"/>
        <v>6.9999999999481588E-3</v>
      </c>
      <c r="P220">
        <f t="shared" si="29"/>
        <v>6.8227600038617475E-3</v>
      </c>
      <c r="Q220">
        <f t="shared" si="30"/>
        <v>2.6112099982010758E-3</v>
      </c>
      <c r="R220">
        <f t="shared" si="31"/>
        <v>4.899999999927422E-5</v>
      </c>
      <c r="S220">
        <f t="shared" si="32"/>
        <v>9.4339700020628237E-3</v>
      </c>
      <c r="T220">
        <f t="shared" si="33"/>
        <v>9.7128626069057644E-2</v>
      </c>
    </row>
    <row r="221" spans="1:20" x14ac:dyDescent="0.3">
      <c r="A221" s="2" t="s">
        <v>1168</v>
      </c>
      <c r="B221" s="6" t="s">
        <v>896</v>
      </c>
      <c r="C221" s="2" t="s">
        <v>20</v>
      </c>
      <c r="D221" s="2" t="s">
        <v>37</v>
      </c>
      <c r="E221" s="3" t="s">
        <v>909</v>
      </c>
      <c r="F221" s="3" t="s">
        <v>910</v>
      </c>
      <c r="G221" s="3" t="s">
        <v>902</v>
      </c>
      <c r="J221" s="8" t="s">
        <v>900</v>
      </c>
      <c r="K221" s="8" t="s">
        <v>901</v>
      </c>
      <c r="L221" s="8" t="s">
        <v>902</v>
      </c>
      <c r="M221" s="3">
        <f t="shared" si="26"/>
        <v>8.2799999974668026E-2</v>
      </c>
      <c r="N221" s="3">
        <f t="shared" si="27"/>
        <v>-5.4899999988265336E-2</v>
      </c>
      <c r="O221" s="3">
        <f t="shared" si="28"/>
        <v>0</v>
      </c>
      <c r="P221">
        <f t="shared" si="29"/>
        <v>6.8558399958050251E-3</v>
      </c>
      <c r="Q221">
        <f t="shared" si="30"/>
        <v>3.0140099987115338E-3</v>
      </c>
      <c r="R221">
        <f t="shared" si="31"/>
        <v>0</v>
      </c>
      <c r="S221">
        <f t="shared" si="32"/>
        <v>9.8698499945165594E-3</v>
      </c>
      <c r="T221">
        <f t="shared" si="33"/>
        <v>9.9347118702640583E-2</v>
      </c>
    </row>
    <row r="222" spans="1:20" x14ac:dyDescent="0.3">
      <c r="A222" s="2" t="s">
        <v>1168</v>
      </c>
      <c r="B222" s="6" t="s">
        <v>896</v>
      </c>
      <c r="C222" s="2" t="s">
        <v>51</v>
      </c>
      <c r="D222" s="2" t="s">
        <v>52</v>
      </c>
      <c r="E222" s="3" t="s">
        <v>911</v>
      </c>
      <c r="F222" s="3" t="s">
        <v>912</v>
      </c>
      <c r="G222" s="3" t="s">
        <v>913</v>
      </c>
      <c r="J222" s="8" t="s">
        <v>900</v>
      </c>
      <c r="K222" s="8" t="s">
        <v>901</v>
      </c>
      <c r="L222" s="8" t="s">
        <v>902</v>
      </c>
      <c r="M222" s="3">
        <f t="shared" si="26"/>
        <v>9.4900000025518239E-2</v>
      </c>
      <c r="N222" s="3">
        <f t="shared" si="27"/>
        <v>-4.7299999976530671E-2</v>
      </c>
      <c r="O222" s="3">
        <f t="shared" si="28"/>
        <v>1.4000000000010004E-2</v>
      </c>
      <c r="P222">
        <f t="shared" si="29"/>
        <v>9.0060100048433619E-3</v>
      </c>
      <c r="Q222">
        <f t="shared" si="30"/>
        <v>2.2372899977798014E-3</v>
      </c>
      <c r="R222">
        <f t="shared" si="31"/>
        <v>1.9600000000028012E-4</v>
      </c>
      <c r="S222">
        <f t="shared" si="32"/>
        <v>1.1243300002623163E-2</v>
      </c>
      <c r="T222">
        <f t="shared" si="33"/>
        <v>0.1060344283835357</v>
      </c>
    </row>
    <row r="223" spans="1:20" x14ac:dyDescent="0.3">
      <c r="A223" s="2" t="s">
        <v>1168</v>
      </c>
      <c r="B223" s="6" t="s">
        <v>896</v>
      </c>
      <c r="C223" s="2" t="s">
        <v>51</v>
      </c>
      <c r="D223" s="2" t="s">
        <v>63</v>
      </c>
      <c r="E223" s="3" t="s">
        <v>914</v>
      </c>
      <c r="F223" s="3" t="s">
        <v>915</v>
      </c>
      <c r="G223" s="3" t="s">
        <v>916</v>
      </c>
      <c r="J223" s="8" t="s">
        <v>900</v>
      </c>
      <c r="K223" s="8" t="s">
        <v>901</v>
      </c>
      <c r="L223" s="8" t="s">
        <v>902</v>
      </c>
      <c r="M223" s="3">
        <f t="shared" si="26"/>
        <v>9.9199999996926636E-2</v>
      </c>
      <c r="N223" s="3">
        <f t="shared" si="27"/>
        <v>-6.1600000015459955E-2</v>
      </c>
      <c r="O223" s="3">
        <f t="shared" si="28"/>
        <v>5.2999999999997272E-2</v>
      </c>
      <c r="P223">
        <f t="shared" si="29"/>
        <v>9.8406399993902442E-3</v>
      </c>
      <c r="Q223">
        <f t="shared" si="30"/>
        <v>3.7945600019046663E-3</v>
      </c>
      <c r="R223">
        <f t="shared" si="31"/>
        <v>2.8089999999997106E-3</v>
      </c>
      <c r="S223">
        <f t="shared" si="32"/>
        <v>1.363520000129491E-2</v>
      </c>
      <c r="T223">
        <f t="shared" si="33"/>
        <v>0.11676985913023494</v>
      </c>
    </row>
    <row r="224" spans="1:20" x14ac:dyDescent="0.3">
      <c r="A224" s="2" t="s">
        <v>1168</v>
      </c>
      <c r="B224" s="6" t="s">
        <v>896</v>
      </c>
      <c r="C224" s="2" t="s">
        <v>51</v>
      </c>
      <c r="D224" s="2" t="s">
        <v>30</v>
      </c>
      <c r="E224" s="3" t="s">
        <v>917</v>
      </c>
      <c r="F224" s="3" t="s">
        <v>918</v>
      </c>
      <c r="G224" s="3" t="s">
        <v>919</v>
      </c>
      <c r="J224" s="8" t="s">
        <v>900</v>
      </c>
      <c r="K224" s="8" t="s">
        <v>901</v>
      </c>
      <c r="L224" s="8" t="s">
        <v>902</v>
      </c>
      <c r="M224" s="3">
        <f t="shared" si="26"/>
        <v>8.6599999980535358E-2</v>
      </c>
      <c r="N224" s="3">
        <f t="shared" si="27"/>
        <v>-6.1400000005960464E-2</v>
      </c>
      <c r="O224" s="3">
        <f t="shared" si="28"/>
        <v>1.0999999999967258E-2</v>
      </c>
      <c r="P224">
        <f t="shared" si="29"/>
        <v>7.4995599966287243E-3</v>
      </c>
      <c r="Q224">
        <f t="shared" si="30"/>
        <v>3.769960000731945E-3</v>
      </c>
      <c r="R224">
        <f t="shared" si="31"/>
        <v>1.2099999999927968E-4</v>
      </c>
      <c r="S224">
        <f t="shared" si="32"/>
        <v>1.1269519997360668E-2</v>
      </c>
      <c r="T224">
        <f t="shared" si="33"/>
        <v>0.10615799544716671</v>
      </c>
    </row>
    <row r="225" spans="1:20" x14ac:dyDescent="0.3">
      <c r="A225" s="2" t="s">
        <v>1168</v>
      </c>
      <c r="B225" s="6" t="s">
        <v>896</v>
      </c>
      <c r="C225" s="2" t="s">
        <v>20</v>
      </c>
      <c r="D225" s="2" t="s">
        <v>52</v>
      </c>
      <c r="E225" s="3" t="s">
        <v>920</v>
      </c>
      <c r="F225" s="3" t="s">
        <v>921</v>
      </c>
      <c r="G225" s="3" t="s">
        <v>922</v>
      </c>
      <c r="J225" s="8" t="s">
        <v>900</v>
      </c>
      <c r="K225" s="8" t="s">
        <v>901</v>
      </c>
      <c r="L225" s="8" t="s">
        <v>902</v>
      </c>
      <c r="M225" s="3">
        <f t="shared" si="26"/>
        <v>7.5100000016391277E-2</v>
      </c>
      <c r="N225" s="3">
        <f t="shared" si="27"/>
        <v>-5.0400000007357448E-2</v>
      </c>
      <c r="O225" s="3">
        <f t="shared" si="28"/>
        <v>5.3999999999973625E-2</v>
      </c>
      <c r="P225">
        <f t="shared" si="29"/>
        <v>5.6400100024619699E-3</v>
      </c>
      <c r="Q225">
        <f t="shared" si="30"/>
        <v>2.5401600007416308E-3</v>
      </c>
      <c r="R225">
        <f t="shared" si="31"/>
        <v>2.9159999999971513E-3</v>
      </c>
      <c r="S225">
        <f t="shared" si="32"/>
        <v>8.1801700032036011E-3</v>
      </c>
      <c r="T225">
        <f t="shared" si="33"/>
        <v>9.0444292264374546E-2</v>
      </c>
    </row>
    <row r="226" spans="1:20" x14ac:dyDescent="0.3">
      <c r="A226" s="2" t="s">
        <v>1168</v>
      </c>
      <c r="B226" s="6" t="s">
        <v>896</v>
      </c>
      <c r="C226" s="2" t="s">
        <v>422</v>
      </c>
      <c r="D226" s="2" t="s">
        <v>423</v>
      </c>
      <c r="E226" s="3" t="s">
        <v>923</v>
      </c>
      <c r="F226" s="3" t="s">
        <v>924</v>
      </c>
      <c r="G226" s="3" t="s">
        <v>925</v>
      </c>
      <c r="J226" s="8" t="s">
        <v>900</v>
      </c>
      <c r="K226" s="8" t="s">
        <v>901</v>
      </c>
      <c r="L226" s="8" t="s">
        <v>902</v>
      </c>
      <c r="M226" s="3">
        <f t="shared" si="26"/>
        <v>7.4699999997392297E-2</v>
      </c>
      <c r="N226" s="3">
        <f t="shared" si="27"/>
        <v>-7.8800000017508864E-2</v>
      </c>
      <c r="O226" s="3">
        <f t="shared" si="28"/>
        <v>0.12400000000002365</v>
      </c>
      <c r="P226">
        <f t="shared" si="29"/>
        <v>5.5800899996104091E-3</v>
      </c>
      <c r="Q226">
        <f t="shared" si="30"/>
        <v>6.209440002759397E-3</v>
      </c>
      <c r="R226">
        <f t="shared" si="31"/>
        <v>1.5376000000005864E-2</v>
      </c>
      <c r="S226">
        <f t="shared" si="32"/>
        <v>1.1789530002369805E-2</v>
      </c>
      <c r="T226">
        <f t="shared" si="33"/>
        <v>0.10857960214685725</v>
      </c>
    </row>
    <row r="227" spans="1:20" x14ac:dyDescent="0.3">
      <c r="A227" s="2" t="s">
        <v>1168</v>
      </c>
      <c r="B227" s="6" t="s">
        <v>926</v>
      </c>
      <c r="C227" s="2" t="s">
        <v>20</v>
      </c>
      <c r="D227" s="2" t="s">
        <v>30</v>
      </c>
      <c r="E227" s="3" t="s">
        <v>927</v>
      </c>
      <c r="F227" s="3" t="s">
        <v>928</v>
      </c>
      <c r="G227" s="3" t="s">
        <v>929</v>
      </c>
      <c r="J227" s="8" t="s">
        <v>930</v>
      </c>
      <c r="K227" s="8" t="s">
        <v>931</v>
      </c>
      <c r="L227" s="8" t="s">
        <v>932</v>
      </c>
      <c r="M227" s="3">
        <f t="shared" si="26"/>
        <v>0.11400000000139698</v>
      </c>
      <c r="N227" s="3">
        <f t="shared" si="27"/>
        <v>4.0500000002793968E-2</v>
      </c>
      <c r="O227" s="3">
        <f t="shared" si="28"/>
        <v>3.8499999999999091E-2</v>
      </c>
      <c r="P227">
        <f t="shared" si="29"/>
        <v>1.2996000000318513E-2</v>
      </c>
      <c r="Q227">
        <f t="shared" si="30"/>
        <v>1.6402500002263114E-3</v>
      </c>
      <c r="R227">
        <f t="shared" si="31"/>
        <v>1.48224999999993E-3</v>
      </c>
      <c r="S227">
        <f t="shared" si="32"/>
        <v>1.4636250000544825E-2</v>
      </c>
      <c r="T227">
        <f t="shared" si="33"/>
        <v>0.12098037031082698</v>
      </c>
    </row>
    <row r="228" spans="1:20" x14ac:dyDescent="0.3">
      <c r="A228" s="2" t="s">
        <v>1168</v>
      </c>
      <c r="B228" s="6" t="s">
        <v>926</v>
      </c>
      <c r="C228" s="2" t="s">
        <v>20</v>
      </c>
      <c r="D228" s="2" t="s">
        <v>21</v>
      </c>
      <c r="E228" s="3" t="s">
        <v>933</v>
      </c>
      <c r="F228" s="3" t="s">
        <v>934</v>
      </c>
      <c r="G228" s="3" t="s">
        <v>935</v>
      </c>
      <c r="J228" s="8" t="s">
        <v>930</v>
      </c>
      <c r="K228" s="8" t="s">
        <v>931</v>
      </c>
      <c r="L228" s="8" t="s">
        <v>932</v>
      </c>
      <c r="M228" s="3">
        <f t="shared" si="26"/>
        <v>0.11190000001806766</v>
      </c>
      <c r="N228" s="3">
        <f t="shared" si="27"/>
        <v>4.7400000039488077E-2</v>
      </c>
      <c r="O228" s="3">
        <f t="shared" si="28"/>
        <v>4.4499999999999318E-2</v>
      </c>
      <c r="P228">
        <f t="shared" si="29"/>
        <v>1.2521610004043542E-2</v>
      </c>
      <c r="Q228">
        <f t="shared" si="30"/>
        <v>2.2467600037434695E-3</v>
      </c>
      <c r="R228">
        <f t="shared" si="31"/>
        <v>1.9802499999999391E-3</v>
      </c>
      <c r="S228">
        <f t="shared" si="32"/>
        <v>1.4768370007787012E-2</v>
      </c>
      <c r="T228">
        <f t="shared" si="33"/>
        <v>0.12152518260750325</v>
      </c>
    </row>
    <row r="229" spans="1:20" x14ac:dyDescent="0.3">
      <c r="A229" s="2" t="s">
        <v>1168</v>
      </c>
      <c r="B229" s="6" t="s">
        <v>926</v>
      </c>
      <c r="C229" s="2" t="s">
        <v>20</v>
      </c>
      <c r="D229" s="2" t="s">
        <v>110</v>
      </c>
      <c r="E229" s="3" t="s">
        <v>936</v>
      </c>
      <c r="F229" s="3" t="s">
        <v>937</v>
      </c>
      <c r="G229" s="3" t="s">
        <v>938</v>
      </c>
      <c r="J229" s="8" t="s">
        <v>930</v>
      </c>
      <c r="K229" s="8" t="s">
        <v>931</v>
      </c>
      <c r="L229" s="8" t="s">
        <v>932</v>
      </c>
      <c r="M229" s="3">
        <f t="shared" si="26"/>
        <v>0.11110000003827736</v>
      </c>
      <c r="N229" s="3">
        <f t="shared" si="27"/>
        <v>5.30000000144355E-2</v>
      </c>
      <c r="O229" s="3">
        <f t="shared" si="28"/>
        <v>7.550000000000523E-2</v>
      </c>
      <c r="P229">
        <f t="shared" si="29"/>
        <v>1.2343210008505228E-2</v>
      </c>
      <c r="Q229">
        <f t="shared" si="30"/>
        <v>2.809000001530163E-3</v>
      </c>
      <c r="R229">
        <f t="shared" si="31"/>
        <v>5.7002500000007898E-3</v>
      </c>
      <c r="S229">
        <f t="shared" si="32"/>
        <v>1.5152210010035392E-2</v>
      </c>
      <c r="T229">
        <f t="shared" si="33"/>
        <v>0.12309431347562483</v>
      </c>
    </row>
    <row r="230" spans="1:20" x14ac:dyDescent="0.3">
      <c r="A230" s="2" t="s">
        <v>1168</v>
      </c>
      <c r="B230" s="6" t="s">
        <v>926</v>
      </c>
      <c r="C230" s="2" t="s">
        <v>20</v>
      </c>
      <c r="D230" s="2" t="s">
        <v>37</v>
      </c>
      <c r="E230" s="3" t="s">
        <v>939</v>
      </c>
      <c r="F230" s="3" t="s">
        <v>934</v>
      </c>
      <c r="G230" s="3" t="s">
        <v>940</v>
      </c>
      <c r="J230" s="8" t="s">
        <v>930</v>
      </c>
      <c r="K230" s="8" t="s">
        <v>931</v>
      </c>
      <c r="L230" s="8" t="s">
        <v>932</v>
      </c>
      <c r="M230" s="3">
        <f t="shared" si="26"/>
        <v>0.1103000000002794</v>
      </c>
      <c r="N230" s="3">
        <f t="shared" si="27"/>
        <v>4.7400000039488077E-2</v>
      </c>
      <c r="O230" s="3">
        <f t="shared" si="28"/>
        <v>4.949999999999477E-2</v>
      </c>
      <c r="P230">
        <f t="shared" si="29"/>
        <v>1.2166090000061636E-2</v>
      </c>
      <c r="Q230">
        <f t="shared" si="30"/>
        <v>2.2467600037434695E-3</v>
      </c>
      <c r="R230">
        <f t="shared" si="31"/>
        <v>2.4502499999994824E-3</v>
      </c>
      <c r="S230">
        <f t="shared" si="32"/>
        <v>1.4412850003805105E-2</v>
      </c>
      <c r="T230">
        <f t="shared" si="33"/>
        <v>0.1200535297432154</v>
      </c>
    </row>
    <row r="231" spans="1:20" x14ac:dyDescent="0.3">
      <c r="A231" s="2" t="s">
        <v>1168</v>
      </c>
      <c r="B231" s="6" t="s">
        <v>926</v>
      </c>
      <c r="C231" s="2" t="s">
        <v>20</v>
      </c>
      <c r="D231" s="2" t="s">
        <v>46</v>
      </c>
      <c r="E231" s="3" t="s">
        <v>941</v>
      </c>
      <c r="F231" s="3" t="s">
        <v>942</v>
      </c>
      <c r="G231" s="3" t="s">
        <v>943</v>
      </c>
      <c r="J231" s="8" t="s">
        <v>930</v>
      </c>
      <c r="K231" s="8" t="s">
        <v>931</v>
      </c>
      <c r="L231" s="8" t="s">
        <v>932</v>
      </c>
      <c r="M231" s="3">
        <f t="shared" si="26"/>
        <v>0.11160000000381842</v>
      </c>
      <c r="N231" s="3">
        <f t="shared" si="27"/>
        <v>5.0000000046566129E-2</v>
      </c>
      <c r="O231" s="3">
        <f t="shared" si="28"/>
        <v>3.0499999999989313E-2</v>
      </c>
      <c r="P231">
        <f t="shared" si="29"/>
        <v>1.2454560000852271E-2</v>
      </c>
      <c r="Q231">
        <f t="shared" si="30"/>
        <v>2.5000000046566128E-3</v>
      </c>
      <c r="R231">
        <f t="shared" si="31"/>
        <v>9.3024999999934816E-4</v>
      </c>
      <c r="S231">
        <f t="shared" si="32"/>
        <v>1.4954560005508884E-2</v>
      </c>
      <c r="T231">
        <f t="shared" si="33"/>
        <v>0.12228883843388522</v>
      </c>
    </row>
    <row r="232" spans="1:20" x14ac:dyDescent="0.3">
      <c r="A232" s="2" t="s">
        <v>1168</v>
      </c>
      <c r="B232" s="6" t="s">
        <v>926</v>
      </c>
      <c r="C232" s="2" t="s">
        <v>51</v>
      </c>
      <c r="D232" s="2" t="s">
        <v>63</v>
      </c>
      <c r="E232" s="3" t="s">
        <v>944</v>
      </c>
      <c r="F232" s="3" t="s">
        <v>945</v>
      </c>
      <c r="G232" s="3" t="s">
        <v>946</v>
      </c>
      <c r="J232" s="8" t="s">
        <v>930</v>
      </c>
      <c r="K232" s="8" t="s">
        <v>931</v>
      </c>
      <c r="L232" s="8" t="s">
        <v>932</v>
      </c>
      <c r="M232" s="3">
        <f t="shared" si="26"/>
        <v>8.4400000050663948E-2</v>
      </c>
      <c r="N232" s="3">
        <f t="shared" si="27"/>
        <v>4.8799999989569187E-2</v>
      </c>
      <c r="O232" s="3">
        <f t="shared" si="28"/>
        <v>8.5499999999996135E-2</v>
      </c>
      <c r="P232">
        <f t="shared" si="29"/>
        <v>7.1233600085520744E-3</v>
      </c>
      <c r="Q232">
        <f t="shared" si="30"/>
        <v>2.3814399989819527E-3</v>
      </c>
      <c r="R232">
        <f t="shared" si="31"/>
        <v>7.310249999999339E-3</v>
      </c>
      <c r="S232">
        <f t="shared" si="32"/>
        <v>9.5048000075340262E-3</v>
      </c>
      <c r="T232">
        <f t="shared" si="33"/>
        <v>9.7492563857629805E-2</v>
      </c>
    </row>
    <row r="233" spans="1:20" x14ac:dyDescent="0.3">
      <c r="A233" s="2" t="s">
        <v>1168</v>
      </c>
      <c r="B233" s="6" t="s">
        <v>926</v>
      </c>
      <c r="C233" s="2" t="s">
        <v>51</v>
      </c>
      <c r="D233" s="2" t="s">
        <v>30</v>
      </c>
      <c r="E233" s="3" t="s">
        <v>947</v>
      </c>
      <c r="F233" s="3" t="s">
        <v>948</v>
      </c>
      <c r="G233" s="3" t="s">
        <v>949</v>
      </c>
      <c r="J233" s="8" t="s">
        <v>930</v>
      </c>
      <c r="K233" s="8" t="s">
        <v>931</v>
      </c>
      <c r="L233" s="8" t="s">
        <v>932</v>
      </c>
      <c r="M233" s="3">
        <f t="shared" si="26"/>
        <v>8.4500000055413693E-2</v>
      </c>
      <c r="N233" s="3">
        <f t="shared" si="27"/>
        <v>4.8600000038277358E-2</v>
      </c>
      <c r="O233" s="3">
        <f t="shared" si="28"/>
        <v>7.6500000000010004E-2</v>
      </c>
      <c r="P233">
        <f t="shared" si="29"/>
        <v>7.1402500093649141E-3</v>
      </c>
      <c r="Q233">
        <f t="shared" si="30"/>
        <v>2.3619600037205592E-3</v>
      </c>
      <c r="R233">
        <f t="shared" si="31"/>
        <v>5.8522500000015307E-3</v>
      </c>
      <c r="S233">
        <f t="shared" si="32"/>
        <v>9.5022100130854742E-3</v>
      </c>
      <c r="T233">
        <f t="shared" si="33"/>
        <v>9.7479279916736536E-2</v>
      </c>
    </row>
    <row r="234" spans="1:20" x14ac:dyDescent="0.3">
      <c r="A234" s="2" t="s">
        <v>1168</v>
      </c>
      <c r="B234" s="6" t="s">
        <v>926</v>
      </c>
      <c r="C234" s="2" t="s">
        <v>51</v>
      </c>
      <c r="D234" s="2" t="s">
        <v>52</v>
      </c>
      <c r="E234" s="3" t="s">
        <v>950</v>
      </c>
      <c r="F234" s="3" t="s">
        <v>951</v>
      </c>
      <c r="G234" s="3" t="s">
        <v>952</v>
      </c>
      <c r="J234" s="8" t="s">
        <v>930</v>
      </c>
      <c r="K234" s="8" t="s">
        <v>931</v>
      </c>
      <c r="L234" s="8" t="s">
        <v>932</v>
      </c>
      <c r="M234" s="3">
        <f t="shared" si="26"/>
        <v>9.3200000002980232E-2</v>
      </c>
      <c r="N234" s="3">
        <f t="shared" si="27"/>
        <v>4.6200000040698797E-2</v>
      </c>
      <c r="O234" s="3">
        <f t="shared" si="28"/>
        <v>8.7500000000005684E-2</v>
      </c>
      <c r="P234">
        <f t="shared" si="29"/>
        <v>8.6862400005555153E-3</v>
      </c>
      <c r="Q234">
        <f t="shared" si="30"/>
        <v>2.1344400037605687E-3</v>
      </c>
      <c r="R234">
        <f t="shared" si="31"/>
        <v>7.6562500000009947E-3</v>
      </c>
      <c r="S234">
        <f t="shared" si="32"/>
        <v>1.0820680004316085E-2</v>
      </c>
      <c r="T234">
        <f t="shared" si="33"/>
        <v>0.10402249758737811</v>
      </c>
    </row>
    <row r="235" spans="1:20" x14ac:dyDescent="0.3">
      <c r="A235" s="2" t="s">
        <v>1168</v>
      </c>
      <c r="B235" s="6" t="s">
        <v>926</v>
      </c>
      <c r="C235" s="2" t="s">
        <v>422</v>
      </c>
      <c r="D235" s="2" t="s">
        <v>423</v>
      </c>
      <c r="E235" s="3" t="s">
        <v>953</v>
      </c>
      <c r="F235" s="3" t="s">
        <v>954</v>
      </c>
      <c r="G235" s="3" t="s">
        <v>955</v>
      </c>
      <c r="J235" s="8" t="s">
        <v>930</v>
      </c>
      <c r="K235" s="8" t="s">
        <v>931</v>
      </c>
      <c r="L235" s="8" t="s">
        <v>932</v>
      </c>
      <c r="M235" s="3">
        <f t="shared" si="26"/>
        <v>8.9100000041071326E-2</v>
      </c>
      <c r="N235" s="3">
        <f t="shared" si="27"/>
        <v>3.539999999338761E-2</v>
      </c>
      <c r="O235" s="3">
        <f t="shared" si="28"/>
        <v>0.1185000000000116</v>
      </c>
      <c r="P235">
        <f t="shared" si="29"/>
        <v>7.9388100073189104E-3</v>
      </c>
      <c r="Q235">
        <f t="shared" si="30"/>
        <v>1.2531599995318427E-3</v>
      </c>
      <c r="R235">
        <f t="shared" si="31"/>
        <v>1.4042250000002749E-2</v>
      </c>
      <c r="S235">
        <f t="shared" si="32"/>
        <v>9.1919700068507533E-3</v>
      </c>
      <c r="T235">
        <f t="shared" si="33"/>
        <v>9.5874762095406282E-2</v>
      </c>
    </row>
    <row r="236" spans="1:20" x14ac:dyDescent="0.3">
      <c r="A236" s="2" t="s">
        <v>1168</v>
      </c>
      <c r="B236" s="6" t="s">
        <v>956</v>
      </c>
      <c r="C236" s="2" t="s">
        <v>20</v>
      </c>
      <c r="D236" s="2" t="s">
        <v>30</v>
      </c>
      <c r="E236" s="3" t="s">
        <v>957</v>
      </c>
      <c r="F236" s="3" t="s">
        <v>958</v>
      </c>
      <c r="G236" s="3" t="s">
        <v>959</v>
      </c>
      <c r="J236" s="5" t="s">
        <v>960</v>
      </c>
      <c r="K236" s="5" t="s">
        <v>961</v>
      </c>
      <c r="L236" s="5" t="s">
        <v>962</v>
      </c>
      <c r="M236" s="3">
        <f t="shared" si="26"/>
        <v>0.14589999994495884</v>
      </c>
      <c r="N236" s="3">
        <f t="shared" si="27"/>
        <v>4.7900000005029142E-2</v>
      </c>
      <c r="O236" s="3">
        <f t="shared" si="28"/>
        <v>5.5999999999983174E-2</v>
      </c>
      <c r="P236">
        <f t="shared" si="29"/>
        <v>2.128680998393899E-2</v>
      </c>
      <c r="Q236">
        <f t="shared" si="30"/>
        <v>2.2944100004817919E-3</v>
      </c>
      <c r="R236">
        <f t="shared" si="31"/>
        <v>3.1359999999981156E-3</v>
      </c>
      <c r="S236">
        <f t="shared" si="32"/>
        <v>2.3581219984420781E-2</v>
      </c>
      <c r="T236">
        <f t="shared" si="33"/>
        <v>0.15356177904811075</v>
      </c>
    </row>
    <row r="237" spans="1:20" x14ac:dyDescent="0.3">
      <c r="A237" s="2" t="s">
        <v>1168</v>
      </c>
      <c r="B237" s="6" t="s">
        <v>956</v>
      </c>
      <c r="C237" s="2" t="s">
        <v>20</v>
      </c>
      <c r="D237" s="2" t="s">
        <v>21</v>
      </c>
      <c r="E237" s="3" t="s">
        <v>963</v>
      </c>
      <c r="F237" s="3" t="s">
        <v>964</v>
      </c>
      <c r="G237" s="3" t="s">
        <v>965</v>
      </c>
      <c r="J237" s="5" t="s">
        <v>960</v>
      </c>
      <c r="K237" s="5" t="s">
        <v>961</v>
      </c>
      <c r="L237" s="5" t="s">
        <v>962</v>
      </c>
      <c r="M237" s="3">
        <f t="shared" si="26"/>
        <v>0.14299999998183921</v>
      </c>
      <c r="N237" s="3">
        <f t="shared" si="27"/>
        <v>4.5199999993201345E-2</v>
      </c>
      <c r="O237" s="3">
        <f t="shared" si="28"/>
        <v>4.4999999999987494E-2</v>
      </c>
      <c r="P237">
        <f t="shared" si="29"/>
        <v>2.0448999994806014E-2</v>
      </c>
      <c r="Q237">
        <f t="shared" si="30"/>
        <v>2.0430399993854017E-3</v>
      </c>
      <c r="R237">
        <f t="shared" si="31"/>
        <v>2.0249999999988745E-3</v>
      </c>
      <c r="S237">
        <f t="shared" si="32"/>
        <v>2.2492039994191415E-2</v>
      </c>
      <c r="T237">
        <f t="shared" si="33"/>
        <v>0.14997346430016018</v>
      </c>
    </row>
    <row r="238" spans="1:20" x14ac:dyDescent="0.3">
      <c r="A238" s="2" t="s">
        <v>1168</v>
      </c>
      <c r="B238" s="6" t="s">
        <v>966</v>
      </c>
      <c r="C238" s="2" t="s">
        <v>20</v>
      </c>
      <c r="D238" s="2" t="s">
        <v>110</v>
      </c>
      <c r="E238" s="3" t="s">
        <v>967</v>
      </c>
      <c r="F238" s="3" t="s">
        <v>968</v>
      </c>
      <c r="G238" s="3" t="s">
        <v>969</v>
      </c>
      <c r="J238" s="5" t="s">
        <v>970</v>
      </c>
      <c r="K238" s="5" t="s">
        <v>971</v>
      </c>
      <c r="L238" s="5" t="s">
        <v>962</v>
      </c>
      <c r="M238" s="3">
        <f t="shared" si="26"/>
        <v>0.1387999999569729</v>
      </c>
      <c r="N238" s="3">
        <f t="shared" si="27"/>
        <v>5.0800000026356429E-2</v>
      </c>
      <c r="O238" s="3">
        <f t="shared" si="28"/>
        <v>5.2999999999997272E-2</v>
      </c>
      <c r="P238">
        <f t="shared" si="29"/>
        <v>1.9265439988055678E-2</v>
      </c>
      <c r="Q238">
        <f t="shared" si="30"/>
        <v>2.5806400026778132E-3</v>
      </c>
      <c r="R238">
        <f t="shared" si="31"/>
        <v>2.8089999999997106E-3</v>
      </c>
      <c r="S238">
        <f t="shared" si="32"/>
        <v>2.1846079990733493E-2</v>
      </c>
      <c r="T238">
        <f t="shared" si="33"/>
        <v>0.14780419476704135</v>
      </c>
    </row>
    <row r="239" spans="1:20" x14ac:dyDescent="0.3">
      <c r="A239" s="2" t="s">
        <v>1168</v>
      </c>
      <c r="B239" s="6" t="s">
        <v>966</v>
      </c>
      <c r="C239" s="2" t="s">
        <v>20</v>
      </c>
      <c r="D239" s="2" t="s">
        <v>37</v>
      </c>
      <c r="E239" s="3" t="s">
        <v>972</v>
      </c>
      <c r="F239" s="3" t="s">
        <v>973</v>
      </c>
      <c r="G239" s="3" t="s">
        <v>965</v>
      </c>
      <c r="J239" s="5" t="s">
        <v>970</v>
      </c>
      <c r="K239" s="5" t="s">
        <v>971</v>
      </c>
      <c r="L239" s="5" t="s">
        <v>962</v>
      </c>
      <c r="M239" s="3">
        <f t="shared" si="26"/>
        <v>0.13819999998668209</v>
      </c>
      <c r="N239" s="3">
        <f t="shared" si="27"/>
        <v>4.2400000034831464E-2</v>
      </c>
      <c r="O239" s="3">
        <f t="shared" si="28"/>
        <v>4.4999999999987494E-2</v>
      </c>
      <c r="P239">
        <f t="shared" si="29"/>
        <v>1.9099239996318931E-2</v>
      </c>
      <c r="Q239">
        <f t="shared" si="30"/>
        <v>1.7977600029537083E-3</v>
      </c>
      <c r="R239">
        <f t="shared" si="31"/>
        <v>2.0249999999988745E-3</v>
      </c>
      <c r="S239">
        <f t="shared" si="32"/>
        <v>2.089699999927264E-2</v>
      </c>
      <c r="T239">
        <f t="shared" si="33"/>
        <v>0.14455794685617473</v>
      </c>
    </row>
    <row r="240" spans="1:20" x14ac:dyDescent="0.3">
      <c r="A240" s="2" t="s">
        <v>1168</v>
      </c>
      <c r="B240" s="6" t="s">
        <v>966</v>
      </c>
      <c r="C240" s="2" t="s">
        <v>20</v>
      </c>
      <c r="D240" s="2" t="s">
        <v>46</v>
      </c>
      <c r="E240" s="3" t="s">
        <v>974</v>
      </c>
      <c r="F240" s="3" t="s">
        <v>975</v>
      </c>
      <c r="G240" s="3" t="s">
        <v>976</v>
      </c>
      <c r="J240" s="5" t="s">
        <v>970</v>
      </c>
      <c r="K240" s="5" t="s">
        <v>971</v>
      </c>
      <c r="L240" s="5" t="s">
        <v>962</v>
      </c>
      <c r="M240" s="3">
        <f t="shared" si="26"/>
        <v>0.13589999999385327</v>
      </c>
      <c r="N240" s="3">
        <f t="shared" si="27"/>
        <v>4.6399999991990626E-2</v>
      </c>
      <c r="O240" s="3">
        <f t="shared" si="28"/>
        <v>3.8999999999987267E-2</v>
      </c>
      <c r="P240">
        <f t="shared" si="29"/>
        <v>1.8468809998329318E-2</v>
      </c>
      <c r="Q240">
        <f t="shared" si="30"/>
        <v>2.1529599992567302E-3</v>
      </c>
      <c r="R240">
        <f t="shared" si="31"/>
        <v>1.5209999999990069E-3</v>
      </c>
      <c r="S240">
        <f t="shared" si="32"/>
        <v>2.0621769997586047E-2</v>
      </c>
      <c r="T240">
        <f t="shared" si="33"/>
        <v>0.14360282029816143</v>
      </c>
    </row>
    <row r="241" spans="1:20" x14ac:dyDescent="0.3">
      <c r="A241" s="2" t="s">
        <v>1168</v>
      </c>
      <c r="B241" s="6" t="s">
        <v>966</v>
      </c>
      <c r="C241" s="2" t="s">
        <v>51</v>
      </c>
      <c r="D241" s="2" t="s">
        <v>63</v>
      </c>
      <c r="E241" s="3" t="s">
        <v>977</v>
      </c>
      <c r="F241" s="3" t="s">
        <v>958</v>
      </c>
      <c r="G241" s="3" t="s">
        <v>978</v>
      </c>
      <c r="J241" s="5" t="s">
        <v>970</v>
      </c>
      <c r="K241" s="5" t="s">
        <v>971</v>
      </c>
      <c r="L241" s="5" t="s">
        <v>962</v>
      </c>
      <c r="M241" s="3">
        <f t="shared" si="26"/>
        <v>0.17699999996693805</v>
      </c>
      <c r="N241" s="3">
        <f t="shared" si="27"/>
        <v>4.7900000005029142E-2</v>
      </c>
      <c r="O241" s="3">
        <f t="shared" si="28"/>
        <v>8.7000000000017508E-2</v>
      </c>
      <c r="P241">
        <f t="shared" si="29"/>
        <v>3.1328999988296066E-2</v>
      </c>
      <c r="Q241">
        <f t="shared" si="30"/>
        <v>2.2944100004817919E-3</v>
      </c>
      <c r="R241">
        <f t="shared" si="31"/>
        <v>7.5690000000030464E-3</v>
      </c>
      <c r="S241">
        <f t="shared" si="32"/>
        <v>3.3623409988777858E-2</v>
      </c>
      <c r="T241">
        <f t="shared" si="33"/>
        <v>0.18336687265909798</v>
      </c>
    </row>
    <row r="242" spans="1:20" x14ac:dyDescent="0.3">
      <c r="A242" s="2" t="s">
        <v>1168</v>
      </c>
      <c r="B242" s="6" t="s">
        <v>966</v>
      </c>
      <c r="C242" s="2" t="s">
        <v>51</v>
      </c>
      <c r="D242" s="2" t="s">
        <v>30</v>
      </c>
      <c r="E242" s="3" t="s">
        <v>979</v>
      </c>
      <c r="F242" s="3" t="s">
        <v>980</v>
      </c>
      <c r="G242" s="3" t="s">
        <v>981</v>
      </c>
      <c r="J242" s="5" t="s">
        <v>970</v>
      </c>
      <c r="K242" s="5" t="s">
        <v>971</v>
      </c>
      <c r="L242" s="5" t="s">
        <v>962</v>
      </c>
      <c r="M242" s="3">
        <f t="shared" si="26"/>
        <v>0.14059999998426065</v>
      </c>
      <c r="N242" s="3">
        <f t="shared" si="27"/>
        <v>5.280000000493601E-2</v>
      </c>
      <c r="O242" s="3">
        <f t="shared" si="28"/>
        <v>0.12800000000001432</v>
      </c>
      <c r="P242">
        <f t="shared" si="29"/>
        <v>1.9768359995574095E-2</v>
      </c>
      <c r="Q242">
        <f t="shared" si="30"/>
        <v>2.7878400005212425E-3</v>
      </c>
      <c r="R242">
        <f t="shared" si="31"/>
        <v>1.6384000000003666E-2</v>
      </c>
      <c r="S242">
        <f t="shared" si="32"/>
        <v>2.2556199996095337E-2</v>
      </c>
      <c r="T242">
        <f t="shared" si="33"/>
        <v>0.15018721648694119</v>
      </c>
    </row>
    <row r="243" spans="1:20" x14ac:dyDescent="0.3">
      <c r="A243" s="2" t="s">
        <v>1168</v>
      </c>
      <c r="B243" s="6" t="s">
        <v>966</v>
      </c>
      <c r="C243" s="2" t="s">
        <v>51</v>
      </c>
      <c r="D243" s="2" t="s">
        <v>52</v>
      </c>
      <c r="E243" s="3" t="s">
        <v>982</v>
      </c>
      <c r="F243" s="3" t="s">
        <v>983</v>
      </c>
      <c r="G243" s="3" t="s">
        <v>984</v>
      </c>
      <c r="J243" s="5" t="s">
        <v>970</v>
      </c>
      <c r="K243" s="5" t="s">
        <v>971</v>
      </c>
      <c r="L243" s="5" t="s">
        <v>962</v>
      </c>
      <c r="M243" s="3">
        <f t="shared" si="26"/>
        <v>0.14679999998770654</v>
      </c>
      <c r="N243" s="3">
        <f t="shared" si="27"/>
        <v>4.9600000027567148E-2</v>
      </c>
      <c r="O243" s="3">
        <f t="shared" si="28"/>
        <v>0.10699999999999932</v>
      </c>
      <c r="P243">
        <f t="shared" si="29"/>
        <v>2.1550239996390642E-2</v>
      </c>
      <c r="Q243">
        <f t="shared" si="30"/>
        <v>2.4601600027346609E-3</v>
      </c>
      <c r="R243">
        <f t="shared" si="31"/>
        <v>1.1448999999999853E-2</v>
      </c>
      <c r="S243">
        <f t="shared" si="32"/>
        <v>2.4010399999125305E-2</v>
      </c>
      <c r="T243">
        <f t="shared" si="33"/>
        <v>0.15495289606562798</v>
      </c>
    </row>
    <row r="244" spans="1:20" x14ac:dyDescent="0.3">
      <c r="A244" s="2" t="s">
        <v>1168</v>
      </c>
      <c r="B244" s="6" t="s">
        <v>966</v>
      </c>
      <c r="C244" s="2" t="s">
        <v>51</v>
      </c>
      <c r="D244" s="2" t="s">
        <v>52</v>
      </c>
      <c r="E244" s="3" t="s">
        <v>985</v>
      </c>
      <c r="F244" s="3" t="s">
        <v>986</v>
      </c>
      <c r="G244" s="3" t="s">
        <v>987</v>
      </c>
      <c r="J244" s="5" t="s">
        <v>970</v>
      </c>
      <c r="K244" s="5" t="s">
        <v>971</v>
      </c>
      <c r="L244" s="5" t="s">
        <v>962</v>
      </c>
      <c r="M244" s="3">
        <f t="shared" si="26"/>
        <v>0.14889999997103587</v>
      </c>
      <c r="N244" s="3">
        <f t="shared" si="27"/>
        <v>4.7699999995529652E-2</v>
      </c>
      <c r="O244" s="3">
        <f t="shared" si="28"/>
        <v>0.10800000000000409</v>
      </c>
      <c r="P244">
        <f t="shared" si="29"/>
        <v>2.217120999137448E-2</v>
      </c>
      <c r="Q244">
        <f t="shared" si="30"/>
        <v>2.2752899995735288E-3</v>
      </c>
      <c r="R244">
        <f t="shared" si="31"/>
        <v>1.1664000000000884E-2</v>
      </c>
      <c r="S244">
        <f t="shared" si="32"/>
        <v>2.4446499990948008E-2</v>
      </c>
      <c r="T244">
        <f t="shared" si="33"/>
        <v>0.15635376551573041</v>
      </c>
    </row>
    <row r="245" spans="1:20" x14ac:dyDescent="0.3">
      <c r="A245" s="2" t="s">
        <v>1168</v>
      </c>
      <c r="B245" s="6" t="s">
        <v>966</v>
      </c>
      <c r="C245" s="2" t="s">
        <v>422</v>
      </c>
      <c r="D245" s="2" t="s">
        <v>423</v>
      </c>
      <c r="E245" s="3" t="s">
        <v>988</v>
      </c>
      <c r="F245" s="3" t="s">
        <v>989</v>
      </c>
      <c r="G245" s="3" t="s">
        <v>990</v>
      </c>
      <c r="J245" s="5" t="s">
        <v>970</v>
      </c>
      <c r="K245" s="5" t="s">
        <v>971</v>
      </c>
      <c r="L245" s="5" t="s">
        <v>962</v>
      </c>
      <c r="M245" s="3">
        <f t="shared" si="26"/>
        <v>0.15259999997215346</v>
      </c>
      <c r="N245" s="3">
        <f t="shared" si="27"/>
        <v>7.3900000017601997E-2</v>
      </c>
      <c r="O245" s="3">
        <f t="shared" si="28"/>
        <v>7.6999999999998181E-2</v>
      </c>
      <c r="P245">
        <f t="shared" si="29"/>
        <v>2.3286759991501236E-2</v>
      </c>
      <c r="Q245">
        <f t="shared" si="30"/>
        <v>5.4612100026015754E-3</v>
      </c>
      <c r="R245">
        <f t="shared" si="31"/>
        <v>5.9289999999997201E-3</v>
      </c>
      <c r="S245">
        <f t="shared" si="32"/>
        <v>2.8747969994102812E-2</v>
      </c>
      <c r="T245">
        <f t="shared" si="33"/>
        <v>0.16955226331164916</v>
      </c>
    </row>
    <row r="246" spans="1:20" x14ac:dyDescent="0.3">
      <c r="A246" s="2" t="s">
        <v>1168</v>
      </c>
      <c r="B246" s="6" t="s">
        <v>991</v>
      </c>
      <c r="C246" s="2" t="s">
        <v>20</v>
      </c>
      <c r="D246" s="2" t="s">
        <v>30</v>
      </c>
      <c r="E246" s="3" t="s">
        <v>992</v>
      </c>
      <c r="F246" s="3" t="s">
        <v>993</v>
      </c>
      <c r="G246" s="3" t="s">
        <v>994</v>
      </c>
      <c r="J246" s="8" t="s">
        <v>995</v>
      </c>
      <c r="K246" s="8" t="s">
        <v>996</v>
      </c>
      <c r="L246" s="8" t="s">
        <v>997</v>
      </c>
      <c r="M246" s="3">
        <f t="shared" si="26"/>
        <v>0.15200000000186265</v>
      </c>
      <c r="N246" s="3">
        <f t="shared" si="27"/>
        <v>-7.7099999994970858E-2</v>
      </c>
      <c r="O246" s="3">
        <f t="shared" si="28"/>
        <v>1.5300000000024738E-2</v>
      </c>
      <c r="P246">
        <f t="shared" si="29"/>
        <v>2.3104000000566245E-2</v>
      </c>
      <c r="Q246">
        <f t="shared" si="30"/>
        <v>5.9444099992245064E-3</v>
      </c>
      <c r="R246">
        <f t="shared" si="31"/>
        <v>2.3409000000075699E-4</v>
      </c>
      <c r="S246">
        <f t="shared" si="32"/>
        <v>2.9048409999790751E-2</v>
      </c>
      <c r="T246">
        <f t="shared" si="33"/>
        <v>0.17043594104469501</v>
      </c>
    </row>
    <row r="247" spans="1:20" x14ac:dyDescent="0.3">
      <c r="A247" s="2" t="s">
        <v>1168</v>
      </c>
      <c r="B247" s="6" t="s">
        <v>991</v>
      </c>
      <c r="C247" s="2" t="s">
        <v>20</v>
      </c>
      <c r="D247" s="2" t="s">
        <v>21</v>
      </c>
      <c r="E247" s="3" t="s">
        <v>998</v>
      </c>
      <c r="F247" s="3" t="s">
        <v>999</v>
      </c>
      <c r="G247" s="3" t="s">
        <v>994</v>
      </c>
      <c r="J247" s="8" t="s">
        <v>995</v>
      </c>
      <c r="K247" s="8" t="s">
        <v>996</v>
      </c>
      <c r="L247" s="8" t="s">
        <v>997</v>
      </c>
      <c r="M247" s="3">
        <f t="shared" si="26"/>
        <v>0.15600000001722947</v>
      </c>
      <c r="N247" s="3">
        <f t="shared" si="27"/>
        <v>-9.0800000005401671E-2</v>
      </c>
      <c r="O247" s="3">
        <f t="shared" si="28"/>
        <v>1.5300000000024738E-2</v>
      </c>
      <c r="P247">
        <f t="shared" si="29"/>
        <v>2.4336000005375592E-2</v>
      </c>
      <c r="Q247">
        <f t="shared" si="30"/>
        <v>8.2446400009809438E-3</v>
      </c>
      <c r="R247">
        <f t="shared" si="31"/>
        <v>2.3409000000075699E-4</v>
      </c>
      <c r="S247">
        <f t="shared" si="32"/>
        <v>3.2580640006356534E-2</v>
      </c>
      <c r="T247">
        <f t="shared" si="33"/>
        <v>0.180501080346785</v>
      </c>
    </row>
    <row r="248" spans="1:20" x14ac:dyDescent="0.3">
      <c r="A248" s="2" t="s">
        <v>1168</v>
      </c>
      <c r="B248" s="6" t="s">
        <v>991</v>
      </c>
      <c r="C248" s="2" t="s">
        <v>20</v>
      </c>
      <c r="D248" s="2" t="s">
        <v>110</v>
      </c>
      <c r="E248" s="3" t="s">
        <v>1000</v>
      </c>
      <c r="F248" s="3" t="s">
        <v>1001</v>
      </c>
      <c r="G248" s="3" t="s">
        <v>994</v>
      </c>
      <c r="J248" s="8" t="s">
        <v>995</v>
      </c>
      <c r="K248" s="8" t="s">
        <v>996</v>
      </c>
      <c r="L248" s="8" t="s">
        <v>997</v>
      </c>
      <c r="M248" s="3">
        <f t="shared" si="26"/>
        <v>0.14549999998416752</v>
      </c>
      <c r="N248" s="3">
        <f t="shared" si="27"/>
        <v>-9.1600000043399632E-2</v>
      </c>
      <c r="O248" s="3">
        <f t="shared" si="28"/>
        <v>1.5300000000024738E-2</v>
      </c>
      <c r="P248">
        <f t="shared" si="29"/>
        <v>2.1170249995392746E-2</v>
      </c>
      <c r="Q248">
        <f t="shared" si="30"/>
        <v>8.3905600079508119E-3</v>
      </c>
      <c r="R248">
        <f t="shared" si="31"/>
        <v>2.3409000000075699E-4</v>
      </c>
      <c r="S248">
        <f t="shared" si="32"/>
        <v>2.9560810003343558E-2</v>
      </c>
      <c r="T248">
        <f t="shared" si="33"/>
        <v>0.17193257400313519</v>
      </c>
    </row>
    <row r="249" spans="1:20" x14ac:dyDescent="0.3">
      <c r="A249" s="2" t="s">
        <v>1168</v>
      </c>
      <c r="B249" s="6" t="s">
        <v>991</v>
      </c>
      <c r="C249" s="2" t="s">
        <v>20</v>
      </c>
      <c r="D249" s="2" t="s">
        <v>37</v>
      </c>
      <c r="E249" s="3" t="s">
        <v>1002</v>
      </c>
      <c r="F249" s="3" t="s">
        <v>1003</v>
      </c>
      <c r="G249" s="3" t="s">
        <v>1004</v>
      </c>
      <c r="J249" s="8" t="s">
        <v>995</v>
      </c>
      <c r="K249" s="8" t="s">
        <v>996</v>
      </c>
      <c r="L249" s="8" t="s">
        <v>997</v>
      </c>
      <c r="M249" s="3">
        <f t="shared" si="26"/>
        <v>0.1466999999829568</v>
      </c>
      <c r="N249" s="3">
        <f t="shared" si="27"/>
        <v>-8.5300000035203993E-2</v>
      </c>
      <c r="O249" s="3">
        <f t="shared" si="28"/>
        <v>3.6300000000039745E-2</v>
      </c>
      <c r="P249">
        <f t="shared" si="29"/>
        <v>2.1520889994999525E-2</v>
      </c>
      <c r="Q249">
        <f t="shared" si="30"/>
        <v>7.2760900060058016E-3</v>
      </c>
      <c r="R249">
        <f t="shared" si="31"/>
        <v>1.3176900000028855E-3</v>
      </c>
      <c r="S249">
        <f t="shared" si="32"/>
        <v>2.8796980001005328E-2</v>
      </c>
      <c r="T249">
        <f t="shared" si="33"/>
        <v>0.16969672949413411</v>
      </c>
    </row>
    <row r="250" spans="1:20" x14ac:dyDescent="0.3">
      <c r="A250" s="2" t="s">
        <v>1168</v>
      </c>
      <c r="B250" s="6" t="s">
        <v>991</v>
      </c>
      <c r="C250" s="2" t="s">
        <v>20</v>
      </c>
      <c r="D250" s="2" t="s">
        <v>46</v>
      </c>
      <c r="E250" s="3" t="s">
        <v>1005</v>
      </c>
      <c r="F250" s="3" t="s">
        <v>1006</v>
      </c>
      <c r="G250" s="3" t="s">
        <v>1007</v>
      </c>
      <c r="J250" s="8" t="s">
        <v>995</v>
      </c>
      <c r="K250" s="8" t="s">
        <v>996</v>
      </c>
      <c r="L250" s="8" t="s">
        <v>997</v>
      </c>
      <c r="M250" s="3">
        <f t="shared" si="26"/>
        <v>0.14799999998649582</v>
      </c>
      <c r="N250" s="3">
        <f t="shared" si="27"/>
        <v>-8.3100000047124922E-2</v>
      </c>
      <c r="O250" s="3">
        <f t="shared" si="28"/>
        <v>4.83000000000402E-2</v>
      </c>
      <c r="P250">
        <f t="shared" si="29"/>
        <v>2.1903999996002763E-2</v>
      </c>
      <c r="Q250">
        <f t="shared" si="30"/>
        <v>6.9056100078321624E-3</v>
      </c>
      <c r="R250">
        <f t="shared" si="31"/>
        <v>2.3328900000038834E-3</v>
      </c>
      <c r="S250">
        <f t="shared" si="32"/>
        <v>2.8809610003834925E-2</v>
      </c>
      <c r="T250">
        <f t="shared" si="33"/>
        <v>0.16973393886855664</v>
      </c>
    </row>
    <row r="251" spans="1:20" x14ac:dyDescent="0.3">
      <c r="A251" s="2" t="s">
        <v>1168</v>
      </c>
      <c r="B251" s="6" t="s">
        <v>991</v>
      </c>
      <c r="C251" s="2" t="s">
        <v>51</v>
      </c>
      <c r="D251" s="2" t="s">
        <v>30</v>
      </c>
      <c r="E251" s="3" t="s">
        <v>1008</v>
      </c>
      <c r="F251" s="3" t="s">
        <v>1009</v>
      </c>
      <c r="G251" s="3" t="s">
        <v>1010</v>
      </c>
      <c r="J251" s="8" t="s">
        <v>995</v>
      </c>
      <c r="K251" s="8" t="s">
        <v>996</v>
      </c>
      <c r="L251" s="8" t="s">
        <v>997</v>
      </c>
      <c r="M251" s="3">
        <f t="shared" si="26"/>
        <v>0.15100000001257285</v>
      </c>
      <c r="N251" s="3">
        <f t="shared" si="27"/>
        <v>-0.10730000003241003</v>
      </c>
      <c r="O251" s="3">
        <f t="shared" si="28"/>
        <v>3.1299999999987449E-2</v>
      </c>
      <c r="P251">
        <f t="shared" si="29"/>
        <v>2.2801000003797003E-2</v>
      </c>
      <c r="Q251">
        <f t="shared" si="30"/>
        <v>1.1513290006955192E-2</v>
      </c>
      <c r="R251">
        <f t="shared" si="31"/>
        <v>9.7968999999921424E-4</v>
      </c>
      <c r="S251">
        <f t="shared" si="32"/>
        <v>3.4314290010752195E-2</v>
      </c>
      <c r="T251">
        <f t="shared" si="33"/>
        <v>0.18524116715987349</v>
      </c>
    </row>
    <row r="252" spans="1:20" x14ac:dyDescent="0.3">
      <c r="A252" s="2" t="s">
        <v>1168</v>
      </c>
      <c r="B252" s="6" t="s">
        <v>991</v>
      </c>
      <c r="C252" s="2" t="s">
        <v>51</v>
      </c>
      <c r="D252" s="2" t="s">
        <v>52</v>
      </c>
      <c r="E252" s="3" t="s">
        <v>1011</v>
      </c>
      <c r="F252" s="3" t="s">
        <v>1012</v>
      </c>
      <c r="G252" s="3" t="s">
        <v>1013</v>
      </c>
      <c r="J252" s="8" t="s">
        <v>995</v>
      </c>
      <c r="K252" s="8" t="s">
        <v>996</v>
      </c>
      <c r="L252" s="8" t="s">
        <v>997</v>
      </c>
      <c r="M252" s="3">
        <f t="shared" si="26"/>
        <v>0.13819999998668209</v>
      </c>
      <c r="N252" s="3">
        <f t="shared" si="27"/>
        <v>-9.4900000025518239E-2</v>
      </c>
      <c r="O252" s="3">
        <f t="shared" si="28"/>
        <v>1.9299999999986994E-2</v>
      </c>
      <c r="P252">
        <f t="shared" si="29"/>
        <v>1.9099239996318931E-2</v>
      </c>
      <c r="Q252">
        <f t="shared" si="30"/>
        <v>9.0060100048433619E-3</v>
      </c>
      <c r="R252">
        <f t="shared" si="31"/>
        <v>3.7248999999949797E-4</v>
      </c>
      <c r="S252">
        <f t="shared" si="32"/>
        <v>2.8105250001162291E-2</v>
      </c>
      <c r="T252">
        <f t="shared" si="33"/>
        <v>0.16764620485165266</v>
      </c>
    </row>
    <row r="253" spans="1:20" x14ac:dyDescent="0.3">
      <c r="A253" s="2" t="s">
        <v>1168</v>
      </c>
      <c r="B253" s="6" t="s">
        <v>991</v>
      </c>
      <c r="C253" s="2" t="s">
        <v>51</v>
      </c>
      <c r="D253" s="2" t="s">
        <v>63</v>
      </c>
      <c r="E253" s="3" t="s">
        <v>1014</v>
      </c>
      <c r="F253" s="3" t="s">
        <v>1015</v>
      </c>
      <c r="G253" s="3" t="s">
        <v>1016</v>
      </c>
      <c r="J253" s="8" t="s">
        <v>995</v>
      </c>
      <c r="K253" s="8" t="s">
        <v>996</v>
      </c>
      <c r="L253" s="8" t="s">
        <v>997</v>
      </c>
      <c r="M253" s="3">
        <f t="shared" si="26"/>
        <v>0.16220000002067536</v>
      </c>
      <c r="N253" s="3">
        <f t="shared" si="27"/>
        <v>-0.14280000003054738</v>
      </c>
      <c r="O253" s="3">
        <f t="shared" si="28"/>
        <v>4.8699999999996635E-2</v>
      </c>
      <c r="P253">
        <f t="shared" si="29"/>
        <v>2.6308840006707086E-2</v>
      </c>
      <c r="Q253">
        <f t="shared" si="30"/>
        <v>2.0391840008724332E-2</v>
      </c>
      <c r="R253">
        <f t="shared" si="31"/>
        <v>2.3716899999996722E-3</v>
      </c>
      <c r="S253">
        <f t="shared" si="32"/>
        <v>4.6700680015431414E-2</v>
      </c>
      <c r="T253">
        <f t="shared" si="33"/>
        <v>0.21610340121208507</v>
      </c>
    </row>
    <row r="254" spans="1:20" x14ac:dyDescent="0.3">
      <c r="A254" s="2" t="s">
        <v>1168</v>
      </c>
      <c r="B254" s="6" t="s">
        <v>991</v>
      </c>
      <c r="C254" s="2" t="s">
        <v>422</v>
      </c>
      <c r="D254" s="2" t="s">
        <v>423</v>
      </c>
      <c r="E254" s="3" t="s">
        <v>1017</v>
      </c>
      <c r="F254" s="3" t="s">
        <v>1003</v>
      </c>
      <c r="G254" s="3" t="s">
        <v>1018</v>
      </c>
      <c r="J254" s="8" t="s">
        <v>995</v>
      </c>
      <c r="K254" s="8" t="s">
        <v>996</v>
      </c>
      <c r="L254" s="8" t="s">
        <v>997</v>
      </c>
      <c r="M254" s="3">
        <f t="shared" si="26"/>
        <v>0.14209999999729916</v>
      </c>
      <c r="N254" s="3">
        <f t="shared" si="27"/>
        <v>-8.5300000035203993E-2</v>
      </c>
      <c r="O254" s="3">
        <f t="shared" si="28"/>
        <v>0.20730000000003201</v>
      </c>
      <c r="P254">
        <f t="shared" si="29"/>
        <v>2.0192409999232424E-2</v>
      </c>
      <c r="Q254">
        <f t="shared" si="30"/>
        <v>7.2760900060058016E-3</v>
      </c>
      <c r="R254">
        <f t="shared" si="31"/>
        <v>4.2973290000013271E-2</v>
      </c>
      <c r="S254">
        <f t="shared" si="32"/>
        <v>2.7468500005238226E-2</v>
      </c>
      <c r="T254">
        <f t="shared" si="33"/>
        <v>0.16573623624674907</v>
      </c>
    </row>
    <row r="255" spans="1:20" x14ac:dyDescent="0.3">
      <c r="A255" s="2" t="s">
        <v>1168</v>
      </c>
      <c r="B255" s="6" t="s">
        <v>991</v>
      </c>
      <c r="C255" s="2" t="s">
        <v>422</v>
      </c>
      <c r="D255" s="2" t="s">
        <v>1019</v>
      </c>
      <c r="E255" s="3" t="s">
        <v>1020</v>
      </c>
      <c r="F255" s="3" t="s">
        <v>1021</v>
      </c>
      <c r="G255" s="3" t="s">
        <v>1022</v>
      </c>
      <c r="J255" s="8" t="s">
        <v>995</v>
      </c>
      <c r="K255" s="8" t="s">
        <v>996</v>
      </c>
      <c r="L255" s="8" t="s">
        <v>997</v>
      </c>
      <c r="M255" s="3">
        <f t="shared" si="26"/>
        <v>0.15179999999236315</v>
      </c>
      <c r="N255" s="3">
        <f t="shared" si="27"/>
        <v>-8.4900000016205013E-2</v>
      </c>
      <c r="O255" s="3">
        <f t="shared" si="28"/>
        <v>0.25730000000004338</v>
      </c>
      <c r="P255">
        <f t="shared" si="29"/>
        <v>2.3043239997681455E-2</v>
      </c>
      <c r="Q255">
        <f t="shared" si="30"/>
        <v>7.2080100027516114E-3</v>
      </c>
      <c r="R255">
        <f t="shared" si="31"/>
        <v>6.6203290000022327E-2</v>
      </c>
      <c r="S255">
        <f t="shared" si="32"/>
        <v>3.0251250000433067E-2</v>
      </c>
      <c r="T255">
        <f t="shared" si="33"/>
        <v>0.17392886477072478</v>
      </c>
    </row>
    <row r="256" spans="1:20" x14ac:dyDescent="0.3">
      <c r="A256" s="2" t="s">
        <v>1168</v>
      </c>
      <c r="B256" s="6" t="s">
        <v>1023</v>
      </c>
      <c r="C256" s="2" t="s">
        <v>20</v>
      </c>
      <c r="D256" s="2" t="s">
        <v>30</v>
      </c>
      <c r="E256">
        <v>401494.11803333339</v>
      </c>
      <c r="F256">
        <v>209947.91076666667</v>
      </c>
      <c r="G256">
        <v>37.003000000000007</v>
      </c>
      <c r="J256">
        <v>401494.08880000003</v>
      </c>
      <c r="K256">
        <v>209947.91409999999</v>
      </c>
      <c r="L256">
        <v>37.046500000000002</v>
      </c>
      <c r="M256" s="3">
        <f t="shared" si="26"/>
        <v>-2.9233333363663405E-2</v>
      </c>
      <c r="N256" s="3">
        <f t="shared" si="27"/>
        <v>3.3333333267364651E-3</v>
      </c>
      <c r="O256" s="3">
        <f t="shared" si="28"/>
        <v>4.3499999999994543E-2</v>
      </c>
      <c r="P256">
        <f t="shared" si="29"/>
        <v>8.54587779551076E-4</v>
      </c>
      <c r="Q256">
        <f t="shared" si="30"/>
        <v>1.1111111067131989E-5</v>
      </c>
      <c r="R256">
        <f t="shared" si="31"/>
        <v>1.8922499999995252E-3</v>
      </c>
      <c r="S256">
        <f t="shared" si="32"/>
        <v>8.6569889061820801E-4</v>
      </c>
      <c r="T256">
        <f t="shared" si="33"/>
        <v>2.9422761437672841E-2</v>
      </c>
    </row>
    <row r="257" spans="1:20" x14ac:dyDescent="0.3">
      <c r="A257" s="2" t="s">
        <v>1168</v>
      </c>
      <c r="B257" s="6" t="s">
        <v>1023</v>
      </c>
      <c r="C257" s="2" t="s">
        <v>20</v>
      </c>
      <c r="D257" s="2" t="s">
        <v>21</v>
      </c>
      <c r="E257">
        <v>401494.12026666669</v>
      </c>
      <c r="F257">
        <v>209947.91056666666</v>
      </c>
      <c r="G257">
        <v>36.999666666666663</v>
      </c>
      <c r="J257">
        <v>401494.08880000003</v>
      </c>
      <c r="K257">
        <v>209947.91409999999</v>
      </c>
      <c r="L257">
        <v>37.046500000000002</v>
      </c>
      <c r="M257" s="3">
        <f t="shared" si="26"/>
        <v>-3.1466666667256504E-2</v>
      </c>
      <c r="N257" s="3">
        <f t="shared" si="27"/>
        <v>3.5333333362359554E-3</v>
      </c>
      <c r="O257" s="3">
        <f t="shared" si="28"/>
        <v>4.6833333333339056E-2</v>
      </c>
      <c r="P257">
        <f t="shared" si="29"/>
        <v>9.9015111114823156E-4</v>
      </c>
      <c r="Q257">
        <f t="shared" si="30"/>
        <v>1.2484444464956306E-5</v>
      </c>
      <c r="R257">
        <f t="shared" si="31"/>
        <v>2.1933611111116472E-3</v>
      </c>
      <c r="S257">
        <f t="shared" si="32"/>
        <v>1.0026355556131878E-3</v>
      </c>
      <c r="T257">
        <f t="shared" si="33"/>
        <v>3.1664420973913102E-2</v>
      </c>
    </row>
    <row r="258" spans="1:20" x14ac:dyDescent="0.3">
      <c r="A258" s="2" t="s">
        <v>1168</v>
      </c>
      <c r="B258" s="6" t="s">
        <v>1024</v>
      </c>
      <c r="C258" s="2" t="s">
        <v>20</v>
      </c>
      <c r="D258" s="2" t="s">
        <v>110</v>
      </c>
      <c r="E258">
        <v>401494.12016666663</v>
      </c>
      <c r="F258">
        <v>209947.91026666667</v>
      </c>
      <c r="G258">
        <v>37.006333333333338</v>
      </c>
      <c r="J258">
        <v>401494.08880000003</v>
      </c>
      <c r="K258">
        <v>209947.91409999999</v>
      </c>
      <c r="L258">
        <v>37.046500000000002</v>
      </c>
      <c r="M258" s="3">
        <f t="shared" si="26"/>
        <v>-3.1366666604299098E-2</v>
      </c>
      <c r="N258" s="3">
        <f t="shared" si="27"/>
        <v>3.8333333213813603E-3</v>
      </c>
      <c r="O258" s="3">
        <f t="shared" si="28"/>
        <v>4.0166666666664241E-2</v>
      </c>
      <c r="P258">
        <f t="shared" si="29"/>
        <v>9.8386777386525229E-4</v>
      </c>
      <c r="Q258">
        <f t="shared" si="30"/>
        <v>1.4694444352812651E-5</v>
      </c>
      <c r="R258">
        <f t="shared" si="31"/>
        <v>1.6133611111109163E-3</v>
      </c>
      <c r="S258">
        <f t="shared" si="32"/>
        <v>9.9856221821806486E-4</v>
      </c>
      <c r="T258">
        <f t="shared" si="33"/>
        <v>3.1600035098367611E-2</v>
      </c>
    </row>
    <row r="259" spans="1:20" x14ac:dyDescent="0.3">
      <c r="A259" s="2" t="s">
        <v>1168</v>
      </c>
      <c r="B259" s="6" t="s">
        <v>1024</v>
      </c>
      <c r="C259" s="2" t="s">
        <v>20</v>
      </c>
      <c r="D259" s="2" t="s">
        <v>37</v>
      </c>
      <c r="E259">
        <v>401494.1162333333</v>
      </c>
      <c r="F259">
        <v>209947.91066666669</v>
      </c>
      <c r="G259">
        <v>37.018666666666668</v>
      </c>
      <c r="J259">
        <v>401494.08880000003</v>
      </c>
      <c r="K259">
        <v>209947.91409999999</v>
      </c>
      <c r="L259">
        <v>37.046500000000002</v>
      </c>
      <c r="M259" s="3">
        <f t="shared" ref="M259:M322" si="34">J259-E259</f>
        <v>-2.7433333278167993E-2</v>
      </c>
      <c r="N259" s="3">
        <f t="shared" ref="N259:N322" si="35">K259-F259</f>
        <v>3.4333333023823798E-3</v>
      </c>
      <c r="O259" s="3">
        <f t="shared" ref="O259:O322" si="36">ABS(L259-G259)</f>
        <v>2.7833333333333599E-2</v>
      </c>
      <c r="P259">
        <f t="shared" ref="P259:P322" si="37">POWER(M259,2)</f>
        <v>7.5258777475103946E-4</v>
      </c>
      <c r="Q259">
        <f t="shared" ref="Q259:Q322" si="38">POWER(N259,2)</f>
        <v>1.1787777565247898E-5</v>
      </c>
      <c r="R259">
        <f t="shared" ref="R259:R322" si="39">POWER(O259,2)</f>
        <v>7.7469444444445924E-4</v>
      </c>
      <c r="S259">
        <f t="shared" ref="S259:S322" si="40">P259+Q259</f>
        <v>7.643755523162874E-4</v>
      </c>
      <c r="T259">
        <f t="shared" ref="T259:T322" si="41">SQRT(S259)</f>
        <v>2.7647342590496601E-2</v>
      </c>
    </row>
    <row r="260" spans="1:20" x14ac:dyDescent="0.3">
      <c r="A260" s="2" t="s">
        <v>1168</v>
      </c>
      <c r="B260" s="6" t="s">
        <v>1024</v>
      </c>
      <c r="C260" s="2" t="s">
        <v>20</v>
      </c>
      <c r="D260" s="2" t="s">
        <v>46</v>
      </c>
      <c r="E260">
        <v>401494.1176</v>
      </c>
      <c r="F260">
        <v>209947.90900000001</v>
      </c>
      <c r="G260">
        <v>37.025000000000006</v>
      </c>
      <c r="J260">
        <v>401494.08880000003</v>
      </c>
      <c r="K260">
        <v>209947.91409999999</v>
      </c>
      <c r="L260">
        <v>37.046500000000002</v>
      </c>
      <c r="M260" s="3">
        <f t="shared" si="34"/>
        <v>-2.8799999970942736E-2</v>
      </c>
      <c r="N260" s="3">
        <f t="shared" si="35"/>
        <v>5.0999999803025275E-3</v>
      </c>
      <c r="O260" s="3">
        <f t="shared" si="36"/>
        <v>2.1499999999996078E-2</v>
      </c>
      <c r="P260">
        <f t="shared" si="37"/>
        <v>8.2943999832630158E-4</v>
      </c>
      <c r="Q260">
        <f t="shared" si="38"/>
        <v>2.6009999799085781E-5</v>
      </c>
      <c r="R260">
        <f t="shared" si="39"/>
        <v>4.6224999999983134E-4</v>
      </c>
      <c r="S260">
        <f t="shared" si="40"/>
        <v>8.5544999812538734E-4</v>
      </c>
      <c r="T260">
        <f t="shared" si="41"/>
        <v>2.9248076827808479E-2</v>
      </c>
    </row>
    <row r="261" spans="1:20" x14ac:dyDescent="0.3">
      <c r="A261" s="2" t="s">
        <v>1168</v>
      </c>
      <c r="B261" s="6" t="s">
        <v>1024</v>
      </c>
      <c r="C261" s="2" t="s">
        <v>51</v>
      </c>
      <c r="D261" s="2" t="s">
        <v>63</v>
      </c>
      <c r="E261">
        <v>401494.11200000002</v>
      </c>
      <c r="F261">
        <v>209947.90763333335</v>
      </c>
      <c r="G261">
        <v>37.026666666666664</v>
      </c>
      <c r="J261">
        <v>401494.08880000003</v>
      </c>
      <c r="K261">
        <v>209947.91409999999</v>
      </c>
      <c r="L261">
        <v>37.046500000000002</v>
      </c>
      <c r="M261" s="3">
        <f t="shared" si="34"/>
        <v>-2.3199999995995313E-2</v>
      </c>
      <c r="N261" s="3">
        <f t="shared" si="35"/>
        <v>6.4666666439734399E-3</v>
      </c>
      <c r="O261" s="3">
        <f t="shared" si="36"/>
        <v>1.9833333333338032E-2</v>
      </c>
      <c r="P261">
        <f t="shared" si="37"/>
        <v>5.3823999981418254E-4</v>
      </c>
      <c r="Q261">
        <f t="shared" si="38"/>
        <v>4.1817777484278709E-5</v>
      </c>
      <c r="R261">
        <f t="shared" si="39"/>
        <v>3.9336111111129752E-4</v>
      </c>
      <c r="S261">
        <f t="shared" si="40"/>
        <v>5.800577772984612E-4</v>
      </c>
      <c r="T261">
        <f t="shared" si="41"/>
        <v>2.4084388663581667E-2</v>
      </c>
    </row>
    <row r="262" spans="1:20" x14ac:dyDescent="0.3">
      <c r="A262" s="2" t="s">
        <v>1168</v>
      </c>
      <c r="B262" s="6" t="s">
        <v>1024</v>
      </c>
      <c r="C262" s="2" t="s">
        <v>51</v>
      </c>
      <c r="D262" s="2" t="s">
        <v>30</v>
      </c>
      <c r="E262">
        <v>401494.11310000002</v>
      </c>
      <c r="F262">
        <v>209947.90896666667</v>
      </c>
      <c r="G262">
        <v>37.017000000000003</v>
      </c>
      <c r="J262">
        <v>401494.08880000003</v>
      </c>
      <c r="K262">
        <v>209947.91409999999</v>
      </c>
      <c r="L262">
        <v>37.046500000000002</v>
      </c>
      <c r="M262" s="3">
        <f t="shared" si="34"/>
        <v>-2.4299999990034848E-2</v>
      </c>
      <c r="N262" s="3">
        <f t="shared" si="35"/>
        <v>5.1333333249203861E-3</v>
      </c>
      <c r="O262" s="3">
        <f t="shared" si="36"/>
        <v>2.9499999999998749E-2</v>
      </c>
      <c r="P262">
        <f t="shared" si="37"/>
        <v>5.9048999951569366E-4</v>
      </c>
      <c r="Q262">
        <f t="shared" si="38"/>
        <v>2.6351111024738186E-5</v>
      </c>
      <c r="R262">
        <f t="shared" si="39"/>
        <v>8.702499999999262E-4</v>
      </c>
      <c r="S262">
        <f t="shared" si="40"/>
        <v>6.1684111054043187E-4</v>
      </c>
      <c r="T262">
        <f t="shared" si="41"/>
        <v>2.4836286166422545E-2</v>
      </c>
    </row>
    <row r="263" spans="1:20" x14ac:dyDescent="0.3">
      <c r="A263" s="2" t="s">
        <v>1168</v>
      </c>
      <c r="B263" s="6" t="s">
        <v>1024</v>
      </c>
      <c r="C263" s="2" t="s">
        <v>51</v>
      </c>
      <c r="D263" s="2" t="s">
        <v>52</v>
      </c>
      <c r="E263">
        <v>401494.11686666665</v>
      </c>
      <c r="F263">
        <v>209947.91106666668</v>
      </c>
      <c r="G263">
        <v>37.023333333333333</v>
      </c>
      <c r="J263">
        <v>401494.08880000003</v>
      </c>
      <c r="K263">
        <v>209947.91409999999</v>
      </c>
      <c r="L263">
        <v>37.046500000000002</v>
      </c>
      <c r="M263" s="3">
        <f t="shared" si="34"/>
        <v>-2.8066666622180492E-2</v>
      </c>
      <c r="N263" s="3">
        <f t="shared" si="35"/>
        <v>3.0333333124872297E-3</v>
      </c>
      <c r="O263" s="3">
        <f t="shared" si="36"/>
        <v>2.3166666666668334E-2</v>
      </c>
      <c r="P263">
        <f t="shared" si="37"/>
        <v>7.8773777528062046E-4</v>
      </c>
      <c r="Q263">
        <f t="shared" si="38"/>
        <v>9.2011109846447487E-6</v>
      </c>
      <c r="R263">
        <f t="shared" si="39"/>
        <v>5.3669444444452165E-4</v>
      </c>
      <c r="S263">
        <f t="shared" si="40"/>
        <v>7.9693888626526524E-4</v>
      </c>
      <c r="T263">
        <f t="shared" si="41"/>
        <v>2.8230106026461629E-2</v>
      </c>
    </row>
    <row r="264" spans="1:20" x14ac:dyDescent="0.3">
      <c r="A264" s="2" t="s">
        <v>1168</v>
      </c>
      <c r="B264" s="6" t="s">
        <v>1024</v>
      </c>
      <c r="C264" s="2" t="s">
        <v>422</v>
      </c>
      <c r="D264" s="2" t="s">
        <v>423</v>
      </c>
      <c r="E264">
        <v>401494.11246666667</v>
      </c>
      <c r="F264">
        <v>209947.90813333332</v>
      </c>
      <c r="G264">
        <v>37.103999999999992</v>
      </c>
      <c r="J264">
        <v>401494.08880000003</v>
      </c>
      <c r="K264">
        <v>209947.91409999999</v>
      </c>
      <c r="L264">
        <v>37.046500000000002</v>
      </c>
      <c r="M264" s="3">
        <f t="shared" si="34"/>
        <v>-2.366666664602235E-2</v>
      </c>
      <c r="N264" s="3">
        <f t="shared" si="35"/>
        <v>5.9666666784323752E-3</v>
      </c>
      <c r="O264" s="3">
        <f t="shared" si="36"/>
        <v>5.7499999999990337E-2</v>
      </c>
      <c r="P264">
        <f t="shared" si="37"/>
        <v>5.6011111013394674E-4</v>
      </c>
      <c r="Q264">
        <f t="shared" si="38"/>
        <v>3.560111125151523E-5</v>
      </c>
      <c r="R264">
        <f t="shared" si="39"/>
        <v>3.3062499999988886E-3</v>
      </c>
      <c r="S264">
        <f t="shared" si="40"/>
        <v>5.9571222138546202E-4</v>
      </c>
      <c r="T264">
        <f t="shared" si="41"/>
        <v>2.4407216584147035E-2</v>
      </c>
    </row>
    <row r="265" spans="1:20" x14ac:dyDescent="0.3">
      <c r="A265" s="2" t="s">
        <v>1168</v>
      </c>
      <c r="B265" s="6" t="s">
        <v>1025</v>
      </c>
      <c r="C265" s="2" t="s">
        <v>20</v>
      </c>
      <c r="D265" s="2" t="s">
        <v>30</v>
      </c>
      <c r="E265" s="8">
        <v>352837.59313333337</v>
      </c>
      <c r="F265" s="8">
        <v>234854.7726</v>
      </c>
      <c r="G265" s="8">
        <v>317.62400000000002</v>
      </c>
      <c r="J265">
        <v>352837.58029999997</v>
      </c>
      <c r="K265">
        <v>234854.80009999999</v>
      </c>
      <c r="L265">
        <v>317.63310000000001</v>
      </c>
      <c r="M265" s="3">
        <f t="shared" si="34"/>
        <v>-1.2833333399612457E-2</v>
      </c>
      <c r="N265" s="3">
        <f t="shared" si="35"/>
        <v>2.749999999650754E-2</v>
      </c>
      <c r="O265" s="3">
        <f t="shared" si="36"/>
        <v>9.0999999999894499E-3</v>
      </c>
      <c r="P265">
        <f t="shared" si="37"/>
        <v>1.6469444614560861E-4</v>
      </c>
      <c r="Q265">
        <f t="shared" si="38"/>
        <v>7.562499998079147E-4</v>
      </c>
      <c r="R265">
        <f t="shared" si="39"/>
        <v>8.2809999999807989E-5</v>
      </c>
      <c r="S265">
        <f t="shared" si="40"/>
        <v>9.2094444595352328E-4</v>
      </c>
      <c r="T265">
        <f t="shared" si="41"/>
        <v>3.0347066513149556E-2</v>
      </c>
    </row>
    <row r="266" spans="1:20" x14ac:dyDescent="0.3">
      <c r="A266" s="2" t="s">
        <v>1168</v>
      </c>
      <c r="B266" s="6" t="s">
        <v>1025</v>
      </c>
      <c r="C266" s="2" t="s">
        <v>20</v>
      </c>
      <c r="D266" s="2" t="s">
        <v>21</v>
      </c>
      <c r="E266" s="8">
        <v>352837.59500000003</v>
      </c>
      <c r="F266" s="8">
        <v>234854.76643333337</v>
      </c>
      <c r="G266" s="8">
        <v>317.62899999999996</v>
      </c>
      <c r="J266">
        <v>352837.58029999997</v>
      </c>
      <c r="K266">
        <v>234854.80009999999</v>
      </c>
      <c r="L266">
        <v>317.63310000000001</v>
      </c>
      <c r="M266" s="3">
        <f t="shared" si="34"/>
        <v>-1.4700000057928264E-2</v>
      </c>
      <c r="N266" s="3">
        <f t="shared" si="35"/>
        <v>3.3666666626231745E-2</v>
      </c>
      <c r="O266" s="3">
        <f t="shared" si="36"/>
        <v>4.1000000000508408E-3</v>
      </c>
      <c r="P266">
        <f t="shared" si="37"/>
        <v>2.1609000170309096E-4</v>
      </c>
      <c r="Q266">
        <f t="shared" si="38"/>
        <v>1.1334444417218264E-3</v>
      </c>
      <c r="R266">
        <f t="shared" si="39"/>
        <v>1.6810000000416893E-5</v>
      </c>
      <c r="S266">
        <f t="shared" si="40"/>
        <v>1.3495344434249173E-3</v>
      </c>
      <c r="T266">
        <f t="shared" si="41"/>
        <v>3.6736010172920483E-2</v>
      </c>
    </row>
    <row r="267" spans="1:20" x14ac:dyDescent="0.3">
      <c r="A267" s="2" t="s">
        <v>1168</v>
      </c>
      <c r="B267" s="6" t="s">
        <v>1026</v>
      </c>
      <c r="C267" s="2" t="s">
        <v>20</v>
      </c>
      <c r="D267" s="2" t="s">
        <v>110</v>
      </c>
      <c r="E267" s="8">
        <v>352837.60346666659</v>
      </c>
      <c r="F267" s="8">
        <v>234854.76766666665</v>
      </c>
      <c r="G267" s="8">
        <v>317.64799999999997</v>
      </c>
      <c r="J267">
        <v>352837.58029999997</v>
      </c>
      <c r="K267">
        <v>234854.80009999999</v>
      </c>
      <c r="L267">
        <v>317.63310000000001</v>
      </c>
      <c r="M267" s="3">
        <f t="shared" si="34"/>
        <v>-2.3166666622273624E-2</v>
      </c>
      <c r="N267" s="3">
        <f t="shared" si="35"/>
        <v>3.2433333341032267E-2</v>
      </c>
      <c r="O267" s="3">
        <f t="shared" si="36"/>
        <v>1.4899999999954616E-2</v>
      </c>
      <c r="P267">
        <f t="shared" si="37"/>
        <v>5.3669444238756679E-4</v>
      </c>
      <c r="Q267">
        <f t="shared" si="38"/>
        <v>1.0519211116105153E-3</v>
      </c>
      <c r="R267">
        <f t="shared" si="39"/>
        <v>2.2200999999864756E-4</v>
      </c>
      <c r="S267">
        <f t="shared" si="40"/>
        <v>1.588615553998082E-3</v>
      </c>
      <c r="T267">
        <f t="shared" si="41"/>
        <v>3.9857440384426117E-2</v>
      </c>
    </row>
    <row r="268" spans="1:20" x14ac:dyDescent="0.3">
      <c r="A268" s="2" t="s">
        <v>1168</v>
      </c>
      <c r="B268" s="6" t="s">
        <v>1026</v>
      </c>
      <c r="C268" s="2" t="s">
        <v>20</v>
      </c>
      <c r="D268" s="2" t="s">
        <v>37</v>
      </c>
      <c r="E268" s="8">
        <v>352837.57980000001</v>
      </c>
      <c r="F268" s="8">
        <v>234854.77033333332</v>
      </c>
      <c r="G268" s="8">
        <v>317.62833333333333</v>
      </c>
      <c r="J268">
        <v>352837.58029999997</v>
      </c>
      <c r="K268">
        <v>234854.80009999999</v>
      </c>
      <c r="L268">
        <v>317.63310000000001</v>
      </c>
      <c r="M268" s="3">
        <f t="shared" si="34"/>
        <v>4.9999996554106474E-4</v>
      </c>
      <c r="N268" s="3">
        <f t="shared" si="35"/>
        <v>2.9766666673822328E-2</v>
      </c>
      <c r="O268" s="3">
        <f t="shared" si="36"/>
        <v>4.766666666682795E-3</v>
      </c>
      <c r="P268">
        <f t="shared" si="37"/>
        <v>2.4999996554106593E-7</v>
      </c>
      <c r="Q268">
        <f t="shared" si="38"/>
        <v>8.860544448704449E-4</v>
      </c>
      <c r="R268">
        <f t="shared" si="39"/>
        <v>2.2721111111264867E-5</v>
      </c>
      <c r="S268">
        <f t="shared" si="40"/>
        <v>8.8630444483598595E-4</v>
      </c>
      <c r="T268">
        <f t="shared" si="41"/>
        <v>2.977086570518207E-2</v>
      </c>
    </row>
    <row r="269" spans="1:20" x14ac:dyDescent="0.3">
      <c r="A269" s="2" t="s">
        <v>1168</v>
      </c>
      <c r="B269" s="6" t="s">
        <v>1026</v>
      </c>
      <c r="C269" s="2" t="s">
        <v>20</v>
      </c>
      <c r="D269" s="2" t="s">
        <v>46</v>
      </c>
      <c r="E269" s="8">
        <v>352837.58033333329</v>
      </c>
      <c r="F269" s="8">
        <v>234854.77036666669</v>
      </c>
      <c r="G269" s="8">
        <v>317.60300000000001</v>
      </c>
      <c r="J269">
        <v>352837.58029999997</v>
      </c>
      <c r="K269">
        <v>234854.80009999999</v>
      </c>
      <c r="L269">
        <v>317.63310000000001</v>
      </c>
      <c r="M269" s="3">
        <f t="shared" si="34"/>
        <v>-3.3333315514028072E-5</v>
      </c>
      <c r="N269" s="3">
        <f t="shared" si="35"/>
        <v>2.9733333300100639E-2</v>
      </c>
      <c r="O269" s="3">
        <f t="shared" si="36"/>
        <v>3.0100000000004457E-2</v>
      </c>
      <c r="P269">
        <f t="shared" si="37"/>
        <v>1.1111099231577446E-9</v>
      </c>
      <c r="Q269">
        <f t="shared" si="38"/>
        <v>8.8407110913487361E-4</v>
      </c>
      <c r="R269">
        <f t="shared" si="39"/>
        <v>9.0601000000026829E-4</v>
      </c>
      <c r="S269">
        <f t="shared" si="40"/>
        <v>8.8407222024479675E-4</v>
      </c>
      <c r="T269">
        <f t="shared" si="41"/>
        <v>2.9733351984678698E-2</v>
      </c>
    </row>
    <row r="270" spans="1:20" x14ac:dyDescent="0.3">
      <c r="A270" s="2" t="s">
        <v>1168</v>
      </c>
      <c r="B270" s="6" t="s">
        <v>1026</v>
      </c>
      <c r="C270" s="2" t="s">
        <v>51</v>
      </c>
      <c r="D270" s="2" t="s">
        <v>30</v>
      </c>
      <c r="E270" s="8">
        <v>352837.58806666668</v>
      </c>
      <c r="F270" s="8">
        <v>234854.75100000002</v>
      </c>
      <c r="G270" s="8">
        <v>317.64033333333333</v>
      </c>
      <c r="J270">
        <v>352837.58029999997</v>
      </c>
      <c r="K270">
        <v>234854.80009999999</v>
      </c>
      <c r="L270">
        <v>317.63310000000001</v>
      </c>
      <c r="M270" s="3">
        <f t="shared" si="34"/>
        <v>-7.7666667057201266E-3</v>
      </c>
      <c r="N270" s="3">
        <f t="shared" si="35"/>
        <v>4.9099999974714592E-2</v>
      </c>
      <c r="O270" s="3">
        <f t="shared" si="36"/>
        <v>7.2333333333176597E-3</v>
      </c>
      <c r="P270">
        <f t="shared" si="37"/>
        <v>6.0321111717741524E-5</v>
      </c>
      <c r="Q270">
        <f t="shared" si="38"/>
        <v>2.410809997516973E-3</v>
      </c>
      <c r="R270">
        <f t="shared" si="39"/>
        <v>5.2321111110884364E-5</v>
      </c>
      <c r="S270">
        <f t="shared" si="40"/>
        <v>2.4711311092347147E-3</v>
      </c>
      <c r="T270">
        <f t="shared" si="41"/>
        <v>4.9710472832540174E-2</v>
      </c>
    </row>
    <row r="271" spans="1:20" x14ac:dyDescent="0.3">
      <c r="A271" s="2" t="s">
        <v>1168</v>
      </c>
      <c r="B271" s="6" t="s">
        <v>1026</v>
      </c>
      <c r="C271" s="2" t="s">
        <v>51</v>
      </c>
      <c r="D271" s="2" t="s">
        <v>52</v>
      </c>
      <c r="E271" s="8">
        <v>352837.5822</v>
      </c>
      <c r="F271" s="8">
        <v>234854.75993333335</v>
      </c>
      <c r="G271" s="8">
        <v>317.61599999999999</v>
      </c>
      <c r="J271">
        <v>352837.58029999997</v>
      </c>
      <c r="K271">
        <v>234854.80009999999</v>
      </c>
      <c r="L271">
        <v>317.63310000000001</v>
      </c>
      <c r="M271" s="3">
        <f t="shared" si="34"/>
        <v>-1.9000000320374966E-3</v>
      </c>
      <c r="N271" s="3">
        <f t="shared" si="35"/>
        <v>4.0166666643926874E-2</v>
      </c>
      <c r="O271" s="3">
        <f t="shared" si="36"/>
        <v>1.7100000000027649E-2</v>
      </c>
      <c r="P271">
        <f t="shared" si="37"/>
        <v>3.610000121742488E-6</v>
      </c>
      <c r="Q271">
        <f t="shared" si="38"/>
        <v>1.6133611092843479E-3</v>
      </c>
      <c r="R271">
        <f t="shared" si="39"/>
        <v>2.9241000000094559E-4</v>
      </c>
      <c r="S271">
        <f t="shared" si="40"/>
        <v>1.6169711094060903E-3</v>
      </c>
      <c r="T271">
        <f t="shared" si="41"/>
        <v>4.0211579295099692E-2</v>
      </c>
    </row>
    <row r="272" spans="1:20" x14ac:dyDescent="0.3">
      <c r="A272" s="2" t="s">
        <v>1168</v>
      </c>
      <c r="B272" s="6" t="s">
        <v>1026</v>
      </c>
      <c r="C272" s="2" t="s">
        <v>422</v>
      </c>
      <c r="D272" s="2" t="s">
        <v>423</v>
      </c>
      <c r="E272" s="8">
        <v>352837.59533333336</v>
      </c>
      <c r="F272" s="8">
        <v>234854.77919999999</v>
      </c>
      <c r="G272" s="8">
        <v>317.86899999999997</v>
      </c>
      <c r="J272">
        <v>352837.58029999997</v>
      </c>
      <c r="K272">
        <v>234854.80009999999</v>
      </c>
      <c r="L272">
        <v>317.63310000000001</v>
      </c>
      <c r="M272" s="3">
        <f t="shared" si="34"/>
        <v>-1.5033333387691528E-2</v>
      </c>
      <c r="N272" s="3">
        <f t="shared" si="35"/>
        <v>2.0900000003166497E-2</v>
      </c>
      <c r="O272" s="3">
        <f t="shared" si="36"/>
        <v>0.23589999999995825</v>
      </c>
      <c r="P272">
        <f t="shared" si="37"/>
        <v>2.2600111274548082E-4</v>
      </c>
      <c r="Q272">
        <f t="shared" si="38"/>
        <v>4.3681000013235955E-4</v>
      </c>
      <c r="R272">
        <f t="shared" si="39"/>
        <v>5.5648809999980307E-2</v>
      </c>
      <c r="S272">
        <f t="shared" si="40"/>
        <v>6.6281111287784034E-4</v>
      </c>
      <c r="T272">
        <f t="shared" si="41"/>
        <v>2.5745118233906798E-2</v>
      </c>
    </row>
    <row r="273" spans="1:20" x14ac:dyDescent="0.3">
      <c r="A273" s="2" t="s">
        <v>1168</v>
      </c>
      <c r="B273" s="6" t="s">
        <v>1027</v>
      </c>
      <c r="C273" s="2" t="s">
        <v>20</v>
      </c>
      <c r="D273" s="2" t="s">
        <v>30</v>
      </c>
      <c r="E273" s="8">
        <v>359059.16303333332</v>
      </c>
      <c r="F273" s="8">
        <v>257744.45226666666</v>
      </c>
      <c r="G273" s="8">
        <v>475.37333333333339</v>
      </c>
      <c r="J273">
        <v>359059.16129999998</v>
      </c>
      <c r="K273">
        <v>257744.45740000001</v>
      </c>
      <c r="L273">
        <v>475.31619999999998</v>
      </c>
      <c r="M273" s="3">
        <f t="shared" si="34"/>
        <v>-1.7333333380520344E-3</v>
      </c>
      <c r="N273" s="3">
        <f t="shared" si="35"/>
        <v>5.1333333540242165E-3</v>
      </c>
      <c r="O273" s="3">
        <f t="shared" si="36"/>
        <v>5.7133333333410974E-2</v>
      </c>
      <c r="P273">
        <f t="shared" si="37"/>
        <v>3.0044444608026081E-6</v>
      </c>
      <c r="Q273">
        <f t="shared" si="38"/>
        <v>2.6351111323537512E-5</v>
      </c>
      <c r="R273">
        <f t="shared" si="39"/>
        <v>3.2642177777866496E-3</v>
      </c>
      <c r="S273">
        <f t="shared" si="40"/>
        <v>2.935555578434012E-5</v>
      </c>
      <c r="T273">
        <f t="shared" si="41"/>
        <v>5.4180767606541082E-3</v>
      </c>
    </row>
    <row r="274" spans="1:20" x14ac:dyDescent="0.3">
      <c r="A274" s="2" t="s">
        <v>1168</v>
      </c>
      <c r="B274" s="6" t="s">
        <v>1027</v>
      </c>
      <c r="C274" s="2" t="s">
        <v>20</v>
      </c>
      <c r="D274" s="2" t="s">
        <v>21</v>
      </c>
      <c r="E274" s="8">
        <v>359059.16453333333</v>
      </c>
      <c r="F274" s="8">
        <v>257744.45353333335</v>
      </c>
      <c r="G274" s="8">
        <v>475.38299999999998</v>
      </c>
      <c r="J274">
        <v>359059.16129999998</v>
      </c>
      <c r="K274">
        <v>257744.45740000001</v>
      </c>
      <c r="L274">
        <v>475.31619999999998</v>
      </c>
      <c r="M274" s="3">
        <f t="shared" si="34"/>
        <v>-3.2333333510905504E-3</v>
      </c>
      <c r="N274" s="3">
        <f t="shared" si="35"/>
        <v>3.8666666659992188E-3</v>
      </c>
      <c r="O274" s="3">
        <f t="shared" si="36"/>
        <v>6.6800000000000637E-2</v>
      </c>
      <c r="P274">
        <f t="shared" si="37"/>
        <v>1.0454444559274449E-5</v>
      </c>
      <c r="Q274">
        <f t="shared" si="38"/>
        <v>1.4951111105949514E-5</v>
      </c>
      <c r="R274">
        <f t="shared" si="39"/>
        <v>4.4622400000000851E-3</v>
      </c>
      <c r="S274">
        <f t="shared" si="40"/>
        <v>2.5405555665223962E-5</v>
      </c>
      <c r="T274">
        <f t="shared" si="41"/>
        <v>5.040392411829059E-3</v>
      </c>
    </row>
    <row r="275" spans="1:20" x14ac:dyDescent="0.3">
      <c r="A275" s="2" t="s">
        <v>1168</v>
      </c>
      <c r="B275" s="6" t="s">
        <v>1028</v>
      </c>
      <c r="C275" s="2" t="s">
        <v>20</v>
      </c>
      <c r="D275" s="2" t="s">
        <v>110</v>
      </c>
      <c r="E275" s="8">
        <v>359059.13496666664</v>
      </c>
      <c r="F275" s="8">
        <v>257744.46030000001</v>
      </c>
      <c r="G275" s="8">
        <v>475.39933333333335</v>
      </c>
      <c r="J275">
        <v>359059.16129999998</v>
      </c>
      <c r="K275">
        <v>257744.45740000001</v>
      </c>
      <c r="L275">
        <v>475.31619999999998</v>
      </c>
      <c r="M275" s="3">
        <f t="shared" si="34"/>
        <v>2.6333333342336118E-2</v>
      </c>
      <c r="N275" s="3">
        <f t="shared" si="35"/>
        <v>-2.8999999922234565E-3</v>
      </c>
      <c r="O275" s="3">
        <f t="shared" si="36"/>
        <v>8.313333333336459E-2</v>
      </c>
      <c r="P275">
        <f t="shared" si="37"/>
        <v>6.934444449185911E-4</v>
      </c>
      <c r="Q275">
        <f t="shared" si="38"/>
        <v>8.4099999548960469E-6</v>
      </c>
      <c r="R275">
        <f t="shared" si="39"/>
        <v>6.9111511111163079E-3</v>
      </c>
      <c r="S275">
        <f t="shared" si="40"/>
        <v>7.0185444487348714E-4</v>
      </c>
      <c r="T275">
        <f t="shared" si="41"/>
        <v>2.6492535644469503E-2</v>
      </c>
    </row>
    <row r="276" spans="1:20" x14ac:dyDescent="0.3">
      <c r="A276" s="2" t="s">
        <v>1168</v>
      </c>
      <c r="B276" s="6" t="s">
        <v>1028</v>
      </c>
      <c r="C276" s="2" t="s">
        <v>20</v>
      </c>
      <c r="D276" s="2" t="s">
        <v>37</v>
      </c>
      <c r="E276" s="8">
        <v>359059.16290000005</v>
      </c>
      <c r="F276" s="8">
        <v>257744.46046666664</v>
      </c>
      <c r="G276" s="8">
        <v>475.36633333333333</v>
      </c>
      <c r="J276">
        <v>359059.16129999998</v>
      </c>
      <c r="K276">
        <v>257744.45740000001</v>
      </c>
      <c r="L276">
        <v>475.31619999999998</v>
      </c>
      <c r="M276" s="3">
        <f t="shared" si="34"/>
        <v>-1.6000000759959221E-3</v>
      </c>
      <c r="N276" s="3">
        <f t="shared" si="35"/>
        <v>-3.0666666280012578E-3</v>
      </c>
      <c r="O276" s="3">
        <f t="shared" si="36"/>
        <v>5.0133333333349128E-2</v>
      </c>
      <c r="P276">
        <f t="shared" si="37"/>
        <v>2.5600002431869565E-6</v>
      </c>
      <c r="Q276">
        <f t="shared" si="38"/>
        <v>9.4044442072966039E-6</v>
      </c>
      <c r="R276">
        <f t="shared" si="39"/>
        <v>2.5133511111126946E-3</v>
      </c>
      <c r="S276">
        <f t="shared" si="40"/>
        <v>1.196444445048356E-5</v>
      </c>
      <c r="T276">
        <f t="shared" si="41"/>
        <v>3.4589658064923916E-3</v>
      </c>
    </row>
    <row r="277" spans="1:20" x14ac:dyDescent="0.3">
      <c r="A277" s="2" t="s">
        <v>1168</v>
      </c>
      <c r="B277" s="6" t="s">
        <v>1028</v>
      </c>
      <c r="C277" s="2" t="s">
        <v>20</v>
      </c>
      <c r="D277" s="2" t="s">
        <v>46</v>
      </c>
      <c r="E277" s="8">
        <v>359059.14699999994</v>
      </c>
      <c r="F277" s="8">
        <v>257744.45070000002</v>
      </c>
      <c r="G277" s="8">
        <v>475.37733333333335</v>
      </c>
      <c r="J277">
        <v>359059.16129999998</v>
      </c>
      <c r="K277">
        <v>257744.45740000001</v>
      </c>
      <c r="L277">
        <v>475.31619999999998</v>
      </c>
      <c r="M277" s="3">
        <f t="shared" si="34"/>
        <v>1.4300000038929284E-2</v>
      </c>
      <c r="N277" s="3">
        <f t="shared" si="35"/>
        <v>6.6999999980907887E-3</v>
      </c>
      <c r="O277" s="3">
        <f t="shared" si="36"/>
        <v>6.113333333337323E-2</v>
      </c>
      <c r="P277">
        <f t="shared" si="37"/>
        <v>2.044900011133775E-4</v>
      </c>
      <c r="Q277">
        <f t="shared" si="38"/>
        <v>4.4889999974416568E-5</v>
      </c>
      <c r="R277">
        <f t="shared" si="39"/>
        <v>3.7372844444493224E-3</v>
      </c>
      <c r="S277">
        <f t="shared" si="40"/>
        <v>2.4938000108779408E-4</v>
      </c>
      <c r="T277">
        <f t="shared" si="41"/>
        <v>1.579177004289874E-2</v>
      </c>
    </row>
    <row r="278" spans="1:20" x14ac:dyDescent="0.3">
      <c r="A278" s="2" t="s">
        <v>1168</v>
      </c>
      <c r="B278" s="6" t="s">
        <v>1028</v>
      </c>
      <c r="C278" s="2" t="s">
        <v>51</v>
      </c>
      <c r="D278" s="2" t="s">
        <v>63</v>
      </c>
      <c r="E278" s="8">
        <v>359059.15686666669</v>
      </c>
      <c r="F278" s="8">
        <v>257744.45810000002</v>
      </c>
      <c r="G278" s="8">
        <v>475.20499999999998</v>
      </c>
      <c r="J278">
        <v>359059.16129999998</v>
      </c>
      <c r="K278">
        <v>257744.45740000001</v>
      </c>
      <c r="L278">
        <v>475.31619999999998</v>
      </c>
      <c r="M278" s="3">
        <f t="shared" si="34"/>
        <v>4.4333332916721702E-3</v>
      </c>
      <c r="N278" s="3">
        <f t="shared" si="35"/>
        <v>-7.0000000414438546E-4</v>
      </c>
      <c r="O278" s="3">
        <f t="shared" si="36"/>
        <v>0.11119999999999663</v>
      </c>
      <c r="P278">
        <f t="shared" si="37"/>
        <v>1.9654444075048799E-5</v>
      </c>
      <c r="Q278">
        <f t="shared" si="38"/>
        <v>4.9000000580213966E-7</v>
      </c>
      <c r="R278">
        <f t="shared" si="39"/>
        <v>1.2365439999999252E-2</v>
      </c>
      <c r="S278">
        <f t="shared" si="40"/>
        <v>2.0144444080850938E-5</v>
      </c>
      <c r="T278">
        <f t="shared" si="41"/>
        <v>4.4882562405516623E-3</v>
      </c>
    </row>
    <row r="279" spans="1:20" x14ac:dyDescent="0.3">
      <c r="A279" s="2" t="s">
        <v>1168</v>
      </c>
      <c r="B279" s="6" t="s">
        <v>1028</v>
      </c>
      <c r="C279" s="2" t="s">
        <v>51</v>
      </c>
      <c r="D279" s="2" t="s">
        <v>30</v>
      </c>
      <c r="E279" s="8">
        <v>359059.14299999998</v>
      </c>
      <c r="F279" s="8">
        <v>257744.45656666663</v>
      </c>
      <c r="G279" s="8">
        <v>475.26566666666668</v>
      </c>
      <c r="J279">
        <v>359059.16129999998</v>
      </c>
      <c r="K279">
        <v>257744.45740000001</v>
      </c>
      <c r="L279">
        <v>475.31619999999998</v>
      </c>
      <c r="M279" s="3">
        <f t="shared" si="34"/>
        <v>1.8299999996088445E-2</v>
      </c>
      <c r="N279" s="3">
        <f t="shared" si="35"/>
        <v>8.3333338261581957E-4</v>
      </c>
      <c r="O279" s="3">
        <f t="shared" si="36"/>
        <v>5.0533333333305563E-2</v>
      </c>
      <c r="P279">
        <f t="shared" si="37"/>
        <v>3.3488999985683708E-4</v>
      </c>
      <c r="Q279">
        <f t="shared" si="38"/>
        <v>6.9444452658192394E-7</v>
      </c>
      <c r="R279">
        <f t="shared" si="39"/>
        <v>2.5536177777749714E-3</v>
      </c>
      <c r="S279">
        <f t="shared" si="40"/>
        <v>3.35584444383419E-4</v>
      </c>
      <c r="T279">
        <f t="shared" si="41"/>
        <v>1.831896406414454E-2</v>
      </c>
    </row>
    <row r="280" spans="1:20" x14ac:dyDescent="0.3">
      <c r="A280" s="2" t="s">
        <v>1168</v>
      </c>
      <c r="B280" s="6" t="s">
        <v>1028</v>
      </c>
      <c r="C280" s="2" t="s">
        <v>51</v>
      </c>
      <c r="D280" s="2" t="s">
        <v>52</v>
      </c>
      <c r="E280" s="8">
        <v>359059.15580000001</v>
      </c>
      <c r="F280" s="8">
        <v>257744.46376666668</v>
      </c>
      <c r="G280" s="8">
        <v>475.28433333333334</v>
      </c>
      <c r="J280">
        <v>359059.16129999998</v>
      </c>
      <c r="K280">
        <v>257744.45740000001</v>
      </c>
      <c r="L280">
        <v>475.31619999999998</v>
      </c>
      <c r="M280" s="3">
        <f t="shared" si="34"/>
        <v>5.4999999701976776E-3</v>
      </c>
      <c r="N280" s="3">
        <f t="shared" si="35"/>
        <v>-6.3666666683275253E-3</v>
      </c>
      <c r="O280" s="3">
        <f t="shared" si="36"/>
        <v>3.1866666666644505E-2</v>
      </c>
      <c r="P280">
        <f t="shared" si="37"/>
        <v>3.0249999672174455E-5</v>
      </c>
      <c r="Q280">
        <f t="shared" si="38"/>
        <v>4.053444446559271E-5</v>
      </c>
      <c r="R280">
        <f t="shared" si="39"/>
        <v>1.0154844444430319E-3</v>
      </c>
      <c r="S280">
        <f t="shared" si="40"/>
        <v>7.0784444137767164E-5</v>
      </c>
      <c r="T280">
        <f t="shared" si="41"/>
        <v>8.4133491629533094E-3</v>
      </c>
    </row>
    <row r="281" spans="1:20" x14ac:dyDescent="0.3">
      <c r="A281" s="2" t="s">
        <v>1168</v>
      </c>
      <c r="B281" s="6" t="s">
        <v>1029</v>
      </c>
      <c r="C281" s="2" t="s">
        <v>20</v>
      </c>
      <c r="D281" s="2" t="s">
        <v>30</v>
      </c>
      <c r="E281" s="8">
        <v>359370.2053666666</v>
      </c>
      <c r="F281" s="8">
        <v>272998.30403333338</v>
      </c>
      <c r="G281" s="8">
        <v>501.13633333333331</v>
      </c>
      <c r="J281">
        <v>359370.20030000003</v>
      </c>
      <c r="K281">
        <v>272998.29759999999</v>
      </c>
      <c r="L281">
        <v>501.06920000000002</v>
      </c>
      <c r="M281" s="3">
        <f t="shared" si="34"/>
        <v>-5.0666665774770081E-3</v>
      </c>
      <c r="N281" s="3">
        <f t="shared" si="35"/>
        <v>-6.4333333866670728E-3</v>
      </c>
      <c r="O281" s="3">
        <f t="shared" si="36"/>
        <v>6.7133333333288192E-2</v>
      </c>
      <c r="P281">
        <f t="shared" si="37"/>
        <v>2.5671110207322579E-5</v>
      </c>
      <c r="Q281">
        <f t="shared" si="38"/>
        <v>4.1387778464005228E-5</v>
      </c>
      <c r="R281">
        <f t="shared" si="39"/>
        <v>4.5068844444383837E-3</v>
      </c>
      <c r="S281">
        <f t="shared" si="40"/>
        <v>6.7058888671327804E-5</v>
      </c>
      <c r="T281">
        <f t="shared" si="41"/>
        <v>8.1889491799209384E-3</v>
      </c>
    </row>
    <row r="282" spans="1:20" x14ac:dyDescent="0.3">
      <c r="A282" s="2" t="s">
        <v>1168</v>
      </c>
      <c r="B282" s="6" t="s">
        <v>1029</v>
      </c>
      <c r="C282" s="2" t="s">
        <v>20</v>
      </c>
      <c r="D282" s="2" t="s">
        <v>21</v>
      </c>
      <c r="E282" s="8">
        <v>359370.20716666663</v>
      </c>
      <c r="F282" s="8">
        <v>272998.32</v>
      </c>
      <c r="G282" s="8">
        <v>501.10200000000003</v>
      </c>
      <c r="J282">
        <v>359370.20030000003</v>
      </c>
      <c r="K282">
        <v>272998.29759999999</v>
      </c>
      <c r="L282">
        <v>501.06920000000002</v>
      </c>
      <c r="M282" s="3">
        <f t="shared" si="34"/>
        <v>-6.8666666047647595E-3</v>
      </c>
      <c r="N282" s="3">
        <f t="shared" si="35"/>
        <v>-2.2400000016205013E-2</v>
      </c>
      <c r="O282" s="3">
        <f t="shared" si="36"/>
        <v>3.2800000000008822E-2</v>
      </c>
      <c r="P282">
        <f t="shared" si="37"/>
        <v>4.715111026099159E-5</v>
      </c>
      <c r="Q282">
        <f t="shared" si="38"/>
        <v>5.0176000072598456E-4</v>
      </c>
      <c r="R282">
        <f t="shared" si="39"/>
        <v>1.0758400000005787E-3</v>
      </c>
      <c r="S282">
        <f t="shared" si="40"/>
        <v>5.4891111098697614E-4</v>
      </c>
      <c r="T282">
        <f t="shared" si="41"/>
        <v>2.3428852105619177E-2</v>
      </c>
    </row>
    <row r="283" spans="1:20" x14ac:dyDescent="0.3">
      <c r="A283" s="2" t="s">
        <v>1168</v>
      </c>
      <c r="B283" s="6" t="s">
        <v>1030</v>
      </c>
      <c r="C283" s="2" t="s">
        <v>20</v>
      </c>
      <c r="D283" s="2" t="s">
        <v>110</v>
      </c>
      <c r="E283" s="8">
        <v>359370.19936666667</v>
      </c>
      <c r="F283" s="8">
        <v>272998.2868</v>
      </c>
      <c r="G283" s="8">
        <v>501.18</v>
      </c>
      <c r="J283">
        <v>359370.20030000003</v>
      </c>
      <c r="K283">
        <v>272998.29759999999</v>
      </c>
      <c r="L283">
        <v>501.06920000000002</v>
      </c>
      <c r="M283" s="3">
        <f t="shared" si="34"/>
        <v>9.3333335826173425E-4</v>
      </c>
      <c r="N283" s="3">
        <f t="shared" si="35"/>
        <v>1.0799999989103526E-2</v>
      </c>
      <c r="O283" s="3">
        <f t="shared" si="36"/>
        <v>0.11079999999998336</v>
      </c>
      <c r="P283">
        <f t="shared" si="37"/>
        <v>8.7111115764412677E-7</v>
      </c>
      <c r="Q283">
        <f t="shared" si="38"/>
        <v>1.1663999976463616E-4</v>
      </c>
      <c r="R283">
        <f t="shared" si="39"/>
        <v>1.2276639999996312E-2</v>
      </c>
      <c r="S283">
        <f t="shared" si="40"/>
        <v>1.1751111092228028E-4</v>
      </c>
      <c r="T283">
        <f t="shared" si="41"/>
        <v>1.0840254190851812E-2</v>
      </c>
    </row>
    <row r="284" spans="1:20" x14ac:dyDescent="0.3">
      <c r="A284" s="2" t="s">
        <v>1168</v>
      </c>
      <c r="B284" s="6" t="s">
        <v>1030</v>
      </c>
      <c r="C284" s="2" t="s">
        <v>20</v>
      </c>
      <c r="D284" s="2" t="s">
        <v>37</v>
      </c>
      <c r="E284" s="8">
        <v>359370.19729999994</v>
      </c>
      <c r="F284" s="8">
        <v>272998.30663333338</v>
      </c>
      <c r="G284" s="8">
        <v>501.11399999999998</v>
      </c>
      <c r="J284">
        <v>359370.20030000003</v>
      </c>
      <c r="K284">
        <v>272998.29759999999</v>
      </c>
      <c r="L284">
        <v>501.06920000000002</v>
      </c>
      <c r="M284" s="3">
        <f t="shared" si="34"/>
        <v>3.000000084284693E-3</v>
      </c>
      <c r="N284" s="3">
        <f t="shared" si="35"/>
        <v>-9.0333333937451243E-3</v>
      </c>
      <c r="O284" s="3">
        <f t="shared" si="36"/>
        <v>4.4799999999952433E-2</v>
      </c>
      <c r="P284">
        <f t="shared" si="37"/>
        <v>9.0000005057081651E-6</v>
      </c>
      <c r="Q284">
        <f t="shared" si="38"/>
        <v>8.1601112202550806E-5</v>
      </c>
      <c r="R284">
        <f t="shared" si="39"/>
        <v>2.0070399999957381E-3</v>
      </c>
      <c r="S284">
        <f t="shared" si="40"/>
        <v>9.0601112708258967E-5</v>
      </c>
      <c r="T284">
        <f t="shared" si="41"/>
        <v>9.5184616776167654E-3</v>
      </c>
    </row>
    <row r="285" spans="1:20" x14ac:dyDescent="0.3">
      <c r="A285" s="2" t="s">
        <v>1168</v>
      </c>
      <c r="B285" s="6" t="s">
        <v>1030</v>
      </c>
      <c r="C285" s="2" t="s">
        <v>20</v>
      </c>
      <c r="D285" s="2" t="s">
        <v>46</v>
      </c>
      <c r="E285" s="8">
        <v>359370.18153333332</v>
      </c>
      <c r="F285" s="8">
        <v>272998.30563333334</v>
      </c>
      <c r="G285" s="8">
        <v>501.15766666666667</v>
      </c>
      <c r="J285">
        <v>359370.20030000003</v>
      </c>
      <c r="K285">
        <v>272998.29759999999</v>
      </c>
      <c r="L285">
        <v>501.06920000000002</v>
      </c>
      <c r="M285" s="3">
        <f t="shared" si="34"/>
        <v>1.8766666704323143E-2</v>
      </c>
      <c r="N285" s="3">
        <f t="shared" si="35"/>
        <v>-8.033333346247673E-3</v>
      </c>
      <c r="O285" s="3">
        <f t="shared" si="36"/>
        <v>8.8466666666647598E-2</v>
      </c>
      <c r="P285">
        <f t="shared" si="37"/>
        <v>3.5218777919115085E-4</v>
      </c>
      <c r="Q285">
        <f t="shared" si="38"/>
        <v>6.4534444651934836E-5</v>
      </c>
      <c r="R285">
        <f t="shared" si="39"/>
        <v>7.8263511111077363E-3</v>
      </c>
      <c r="S285">
        <f t="shared" si="40"/>
        <v>4.1672222384308568E-4</v>
      </c>
      <c r="T285">
        <f t="shared" si="41"/>
        <v>2.041377534517037E-2</v>
      </c>
    </row>
    <row r="286" spans="1:20" x14ac:dyDescent="0.3">
      <c r="A286" s="2" t="s">
        <v>1168</v>
      </c>
      <c r="B286" s="6" t="s">
        <v>1030</v>
      </c>
      <c r="C286" s="2" t="s">
        <v>51</v>
      </c>
      <c r="D286" s="2" t="s">
        <v>63</v>
      </c>
      <c r="E286" s="8">
        <v>359370.32780000003</v>
      </c>
      <c r="F286" s="8">
        <v>272998.26773333334</v>
      </c>
      <c r="G286" s="8">
        <v>501.05599999999998</v>
      </c>
      <c r="J286">
        <v>359370.20030000003</v>
      </c>
      <c r="K286">
        <v>272998.29759999999</v>
      </c>
      <c r="L286">
        <v>501.06920000000002</v>
      </c>
      <c r="M286" s="3">
        <f t="shared" si="34"/>
        <v>-0.12750000000232831</v>
      </c>
      <c r="N286" s="3">
        <f t="shared" si="35"/>
        <v>2.9866666649468243E-2</v>
      </c>
      <c r="O286" s="3">
        <f t="shared" si="36"/>
        <v>1.3200000000040291E-2</v>
      </c>
      <c r="P286">
        <f t="shared" si="37"/>
        <v>1.6256250000593719E-2</v>
      </c>
      <c r="Q286">
        <f t="shared" si="38"/>
        <v>8.920177767504586E-4</v>
      </c>
      <c r="R286">
        <f t="shared" si="39"/>
        <v>1.7424000000106367E-4</v>
      </c>
      <c r="S286">
        <f t="shared" si="40"/>
        <v>1.7148267777344177E-2</v>
      </c>
      <c r="T286">
        <f t="shared" si="41"/>
        <v>0.13095139471324532</v>
      </c>
    </row>
    <row r="287" spans="1:20" x14ac:dyDescent="0.3">
      <c r="A287" s="2" t="s">
        <v>1168</v>
      </c>
      <c r="B287" s="6" t="s">
        <v>1030</v>
      </c>
      <c r="C287" s="2" t="s">
        <v>51</v>
      </c>
      <c r="D287" s="2" t="s">
        <v>30</v>
      </c>
      <c r="E287" s="8">
        <v>359370.19079999998</v>
      </c>
      <c r="F287" s="8">
        <v>272998.29763333331</v>
      </c>
      <c r="G287" s="8">
        <v>501.07233333333335</v>
      </c>
      <c r="J287">
        <v>359370.20030000003</v>
      </c>
      <c r="K287">
        <v>272998.29759999999</v>
      </c>
      <c r="L287">
        <v>501.06920000000002</v>
      </c>
      <c r="M287" s="3">
        <f t="shared" si="34"/>
        <v>9.500000043772161E-3</v>
      </c>
      <c r="N287" s="3">
        <f t="shared" si="35"/>
        <v>-3.3333315514028072E-5</v>
      </c>
      <c r="O287" s="3">
        <f t="shared" si="36"/>
        <v>3.1333333333236624E-3</v>
      </c>
      <c r="P287">
        <f t="shared" si="37"/>
        <v>9.0250000831671061E-5</v>
      </c>
      <c r="Q287">
        <f t="shared" si="38"/>
        <v>1.1111099231577446E-9</v>
      </c>
      <c r="R287">
        <f t="shared" si="39"/>
        <v>9.8177777777171731E-6</v>
      </c>
      <c r="S287">
        <f t="shared" si="40"/>
        <v>9.0251111941594219E-5</v>
      </c>
      <c r="T287">
        <f t="shared" si="41"/>
        <v>9.5000585230615407E-3</v>
      </c>
    </row>
    <row r="288" spans="1:20" x14ac:dyDescent="0.3">
      <c r="A288" s="2" t="s">
        <v>1168</v>
      </c>
      <c r="B288" s="6" t="s">
        <v>1030</v>
      </c>
      <c r="C288" s="2" t="s">
        <v>51</v>
      </c>
      <c r="D288" s="2" t="s">
        <v>52</v>
      </c>
      <c r="E288" s="8">
        <v>359370.18820000003</v>
      </c>
      <c r="F288" s="8">
        <v>272998.30293333333</v>
      </c>
      <c r="G288" s="8">
        <v>501.08133333333336</v>
      </c>
      <c r="J288">
        <v>359370.20030000003</v>
      </c>
      <c r="K288">
        <v>272998.29759999999</v>
      </c>
      <c r="L288">
        <v>501.06920000000002</v>
      </c>
      <c r="M288" s="3">
        <f t="shared" si="34"/>
        <v>1.2099999992642552E-2</v>
      </c>
      <c r="N288" s="3">
        <f t="shared" si="35"/>
        <v>-5.3333333344198763E-3</v>
      </c>
      <c r="O288" s="3">
        <f t="shared" si="36"/>
        <v>1.2133333333338214E-2</v>
      </c>
      <c r="P288">
        <f t="shared" si="37"/>
        <v>1.4640999982194975E-4</v>
      </c>
      <c r="Q288">
        <f t="shared" si="38"/>
        <v>2.8444444456034236E-5</v>
      </c>
      <c r="R288">
        <f t="shared" si="39"/>
        <v>1.4721777777789623E-4</v>
      </c>
      <c r="S288">
        <f t="shared" si="40"/>
        <v>1.7485444427798398E-4</v>
      </c>
      <c r="T288">
        <f t="shared" si="41"/>
        <v>1.3223253921708681E-2</v>
      </c>
    </row>
    <row r="289" spans="1:20" x14ac:dyDescent="0.3">
      <c r="A289" s="2" t="s">
        <v>1168</v>
      </c>
      <c r="B289" s="6" t="s">
        <v>1030</v>
      </c>
      <c r="C289" s="2" t="s">
        <v>422</v>
      </c>
      <c r="D289" s="2" t="s">
        <v>423</v>
      </c>
      <c r="E289" s="8">
        <v>359370.15063333331</v>
      </c>
      <c r="F289" s="8">
        <v>272998.32639999996</v>
      </c>
      <c r="G289" s="8">
        <v>501.19433333333336</v>
      </c>
      <c r="J289">
        <v>359370.20030000003</v>
      </c>
      <c r="K289">
        <v>272998.29759999999</v>
      </c>
      <c r="L289">
        <v>501.06920000000002</v>
      </c>
      <c r="M289" s="3">
        <f t="shared" si="34"/>
        <v>4.9666666716802865E-2</v>
      </c>
      <c r="N289" s="3">
        <f t="shared" si="35"/>
        <v>-2.8799999970942736E-2</v>
      </c>
      <c r="O289" s="3">
        <f t="shared" si="36"/>
        <v>0.12513333333333776</v>
      </c>
      <c r="P289">
        <f t="shared" si="37"/>
        <v>2.4667777827579733E-3</v>
      </c>
      <c r="Q289">
        <f t="shared" si="38"/>
        <v>8.2943999832630158E-4</v>
      </c>
      <c r="R289">
        <f t="shared" si="39"/>
        <v>1.5658351111112218E-2</v>
      </c>
      <c r="S289">
        <f t="shared" si="40"/>
        <v>3.2962177810842751E-3</v>
      </c>
      <c r="T289">
        <f t="shared" si="41"/>
        <v>5.7412697037190957E-2</v>
      </c>
    </row>
    <row r="290" spans="1:20" x14ac:dyDescent="0.3">
      <c r="A290" s="2" t="s">
        <v>1168</v>
      </c>
      <c r="B290" s="6" t="s">
        <v>1031</v>
      </c>
      <c r="C290" s="2" t="s">
        <v>20</v>
      </c>
      <c r="D290" s="2" t="s">
        <v>30</v>
      </c>
      <c r="E290" s="8">
        <v>368440.86410000006</v>
      </c>
      <c r="F290" s="8">
        <v>268648.72750000004</v>
      </c>
      <c r="G290" s="8">
        <v>570.93099999999993</v>
      </c>
      <c r="J290">
        <v>368440.86719999998</v>
      </c>
      <c r="K290">
        <v>268648.73670000001</v>
      </c>
      <c r="L290">
        <v>570.87350000000004</v>
      </c>
      <c r="M290" s="3">
        <f t="shared" si="34"/>
        <v>3.0999999144114554E-3</v>
      </c>
      <c r="N290" s="3">
        <f t="shared" si="35"/>
        <v>9.1999999713152647E-3</v>
      </c>
      <c r="O290" s="3">
        <f t="shared" si="36"/>
        <v>5.7499999999890861E-2</v>
      </c>
      <c r="P290">
        <f t="shared" si="37"/>
        <v>9.6099994693510308E-6</v>
      </c>
      <c r="Q290">
        <f t="shared" si="38"/>
        <v>8.4639999472200871E-5</v>
      </c>
      <c r="R290">
        <f t="shared" si="39"/>
        <v>3.306249999987449E-3</v>
      </c>
      <c r="S290">
        <f t="shared" si="40"/>
        <v>9.4249998941551899E-5</v>
      </c>
      <c r="T290">
        <f t="shared" si="41"/>
        <v>9.7082438649609484E-3</v>
      </c>
    </row>
    <row r="291" spans="1:20" x14ac:dyDescent="0.3">
      <c r="A291" s="2" t="s">
        <v>1168</v>
      </c>
      <c r="B291" s="6" t="s">
        <v>1031</v>
      </c>
      <c r="C291" s="2" t="s">
        <v>20</v>
      </c>
      <c r="D291" s="2" t="s">
        <v>21</v>
      </c>
      <c r="E291" s="8">
        <v>368440.85979999998</v>
      </c>
      <c r="F291" s="8">
        <v>268648.72839999996</v>
      </c>
      <c r="G291" s="8">
        <v>570.92266666666671</v>
      </c>
      <c r="J291">
        <v>368440.86719999998</v>
      </c>
      <c r="K291">
        <v>268648.73670000001</v>
      </c>
      <c r="L291">
        <v>570.87350000000004</v>
      </c>
      <c r="M291" s="3">
        <f t="shared" si="34"/>
        <v>7.4000000022351742E-3</v>
      </c>
      <c r="N291" s="3">
        <f t="shared" si="35"/>
        <v>8.3000000449828804E-3</v>
      </c>
      <c r="O291" s="3">
        <f t="shared" si="36"/>
        <v>4.9166666666678793E-2</v>
      </c>
      <c r="P291">
        <f t="shared" si="37"/>
        <v>5.4760000033080578E-5</v>
      </c>
      <c r="Q291">
        <f t="shared" si="38"/>
        <v>6.8890000746715813E-5</v>
      </c>
      <c r="R291">
        <f t="shared" si="39"/>
        <v>2.4173611111123036E-3</v>
      </c>
      <c r="S291">
        <f t="shared" si="40"/>
        <v>1.2365000077979639E-4</v>
      </c>
      <c r="T291">
        <f t="shared" si="41"/>
        <v>1.1119802191576808E-2</v>
      </c>
    </row>
    <row r="292" spans="1:20" x14ac:dyDescent="0.3">
      <c r="A292" s="2" t="s">
        <v>1168</v>
      </c>
      <c r="B292" s="6" t="s">
        <v>1032</v>
      </c>
      <c r="C292" s="2" t="s">
        <v>20</v>
      </c>
      <c r="D292" s="2" t="s">
        <v>110</v>
      </c>
      <c r="E292" s="8">
        <v>368440.86153333331</v>
      </c>
      <c r="F292" s="8">
        <v>268648.72426666669</v>
      </c>
      <c r="G292" s="8">
        <v>570.92333333333329</v>
      </c>
      <c r="J292">
        <v>368440.86719999998</v>
      </c>
      <c r="K292">
        <v>268648.73670000001</v>
      </c>
      <c r="L292">
        <v>570.87350000000004</v>
      </c>
      <c r="M292" s="3">
        <f t="shared" si="34"/>
        <v>5.6666666641831398E-3</v>
      </c>
      <c r="N292" s="3">
        <f t="shared" si="35"/>
        <v>1.2433333322405815E-2</v>
      </c>
      <c r="O292" s="3">
        <f t="shared" si="36"/>
        <v>4.9833333333253904E-2</v>
      </c>
      <c r="P292">
        <f t="shared" si="37"/>
        <v>3.2111111082964473E-5</v>
      </c>
      <c r="Q292">
        <f t="shared" si="38"/>
        <v>1.5458777750604683E-4</v>
      </c>
      <c r="R292">
        <f t="shared" si="39"/>
        <v>2.4833611111031947E-3</v>
      </c>
      <c r="S292">
        <f t="shared" si="40"/>
        <v>1.866988885890113E-4</v>
      </c>
      <c r="T292">
        <f t="shared" si="41"/>
        <v>1.3663780172009915E-2</v>
      </c>
    </row>
    <row r="293" spans="1:20" x14ac:dyDescent="0.3">
      <c r="A293" s="2" t="s">
        <v>1168</v>
      </c>
      <c r="B293" s="6" t="s">
        <v>1032</v>
      </c>
      <c r="C293" s="2" t="s">
        <v>20</v>
      </c>
      <c r="D293" s="2" t="s">
        <v>37</v>
      </c>
      <c r="E293" s="8">
        <v>368440.86983333324</v>
      </c>
      <c r="F293" s="8">
        <v>268648.72006666666</v>
      </c>
      <c r="G293" s="8">
        <v>570.93666666666661</v>
      </c>
      <c r="J293">
        <v>368440.86719999998</v>
      </c>
      <c r="K293">
        <v>268648.73670000001</v>
      </c>
      <c r="L293">
        <v>570.87350000000004</v>
      </c>
      <c r="M293" s="3">
        <f t="shared" si="34"/>
        <v>-2.6333332643844187E-3</v>
      </c>
      <c r="N293" s="3">
        <f t="shared" si="35"/>
        <v>1.6633333347272128E-2</v>
      </c>
      <c r="O293" s="3">
        <f t="shared" si="36"/>
        <v>6.3166666666575111E-2</v>
      </c>
      <c r="P293">
        <f t="shared" si="37"/>
        <v>6.9344440813134989E-6</v>
      </c>
      <c r="Q293">
        <f t="shared" si="38"/>
        <v>2.7666777824147503E-4</v>
      </c>
      <c r="R293">
        <f t="shared" si="39"/>
        <v>3.990027777766211E-3</v>
      </c>
      <c r="S293">
        <f t="shared" si="40"/>
        <v>2.8360222232278853E-4</v>
      </c>
      <c r="T293">
        <f t="shared" si="41"/>
        <v>1.6840493529667964E-2</v>
      </c>
    </row>
    <row r="294" spans="1:20" x14ac:dyDescent="0.3">
      <c r="A294" s="2" t="s">
        <v>1168</v>
      </c>
      <c r="B294" s="6" t="s">
        <v>1032</v>
      </c>
      <c r="C294" s="2" t="s">
        <v>20</v>
      </c>
      <c r="D294" s="2" t="s">
        <v>46</v>
      </c>
      <c r="E294" s="8">
        <v>368440.87486666668</v>
      </c>
      <c r="F294" s="8">
        <v>268648.71193333337</v>
      </c>
      <c r="G294" s="8">
        <v>570.94899999999996</v>
      </c>
      <c r="J294">
        <v>368440.86719999998</v>
      </c>
      <c r="K294">
        <v>268648.73670000001</v>
      </c>
      <c r="L294">
        <v>570.87350000000004</v>
      </c>
      <c r="M294" s="3">
        <f t="shared" si="34"/>
        <v>-7.6666667009703815E-3</v>
      </c>
      <c r="N294" s="3">
        <f t="shared" si="35"/>
        <v>2.4766666640061885E-2</v>
      </c>
      <c r="O294" s="3">
        <f t="shared" si="36"/>
        <v>7.5499999999919964E-2</v>
      </c>
      <c r="P294">
        <f t="shared" si="37"/>
        <v>5.877777830376807E-5</v>
      </c>
      <c r="Q294">
        <f t="shared" si="38"/>
        <v>6.1338777645995424E-4</v>
      </c>
      <c r="R294">
        <f t="shared" si="39"/>
        <v>5.7002499999879146E-3</v>
      </c>
      <c r="S294">
        <f t="shared" si="40"/>
        <v>6.7216555476372233E-4</v>
      </c>
      <c r="T294">
        <f t="shared" si="41"/>
        <v>2.5926155803815621E-2</v>
      </c>
    </row>
    <row r="295" spans="1:20" x14ac:dyDescent="0.3">
      <c r="A295" s="2" t="s">
        <v>1168</v>
      </c>
      <c r="B295" s="6" t="s">
        <v>1032</v>
      </c>
      <c r="C295" s="2" t="s">
        <v>51</v>
      </c>
      <c r="D295" s="2" t="s">
        <v>63</v>
      </c>
      <c r="E295" s="8">
        <v>368440.8667666667</v>
      </c>
      <c r="F295" s="8">
        <v>268648.71249999997</v>
      </c>
      <c r="G295" s="8">
        <v>570.75</v>
      </c>
      <c r="J295">
        <v>368440.86719999998</v>
      </c>
      <c r="K295">
        <v>268648.73670000001</v>
      </c>
      <c r="L295">
        <v>570.87350000000004</v>
      </c>
      <c r="M295" s="3">
        <f t="shared" si="34"/>
        <v>4.3333327630534768E-4</v>
      </c>
      <c r="N295" s="3">
        <f t="shared" si="35"/>
        <v>2.4200000043492764E-2</v>
      </c>
      <c r="O295" s="3">
        <f t="shared" si="36"/>
        <v>0.12350000000003547</v>
      </c>
      <c r="P295">
        <f t="shared" si="37"/>
        <v>1.877777283535268E-7</v>
      </c>
      <c r="Q295">
        <f t="shared" si="38"/>
        <v>5.8564000210504976E-4</v>
      </c>
      <c r="R295">
        <f t="shared" si="39"/>
        <v>1.5252250000008761E-2</v>
      </c>
      <c r="S295">
        <f t="shared" si="40"/>
        <v>5.8582777983340328E-4</v>
      </c>
      <c r="T295">
        <f t="shared" si="41"/>
        <v>2.4203879437672864E-2</v>
      </c>
    </row>
    <row r="296" spans="1:20" x14ac:dyDescent="0.3">
      <c r="A296" s="2" t="s">
        <v>1168</v>
      </c>
      <c r="B296" s="6" t="s">
        <v>1032</v>
      </c>
      <c r="C296" s="2" t="s">
        <v>51</v>
      </c>
      <c r="D296" s="2" t="s">
        <v>30</v>
      </c>
      <c r="E296" s="8">
        <v>368440.87326666666</v>
      </c>
      <c r="F296" s="8">
        <v>268648.71230000001</v>
      </c>
      <c r="G296" s="8">
        <v>570.80166666666662</v>
      </c>
      <c r="J296">
        <v>368440.86719999998</v>
      </c>
      <c r="K296">
        <v>268648.73670000001</v>
      </c>
      <c r="L296">
        <v>570.87350000000004</v>
      </c>
      <c r="M296" s="3">
        <f t="shared" si="34"/>
        <v>-6.0666666831821203E-3</v>
      </c>
      <c r="N296" s="3">
        <f t="shared" si="35"/>
        <v>2.4399999994784594E-2</v>
      </c>
      <c r="O296" s="3">
        <f t="shared" si="36"/>
        <v>7.1833333333415794E-2</v>
      </c>
      <c r="P296">
        <f t="shared" si="37"/>
        <v>3.6804444644831949E-5</v>
      </c>
      <c r="Q296">
        <f t="shared" si="38"/>
        <v>5.9535999974548817E-4</v>
      </c>
      <c r="R296">
        <f t="shared" si="39"/>
        <v>5.1600277777896246E-3</v>
      </c>
      <c r="S296">
        <f t="shared" si="40"/>
        <v>6.3216444439032006E-4</v>
      </c>
      <c r="T296">
        <f t="shared" si="41"/>
        <v>2.5142880590543322E-2</v>
      </c>
    </row>
    <row r="297" spans="1:20" x14ac:dyDescent="0.3">
      <c r="A297" s="2" t="s">
        <v>1168</v>
      </c>
      <c r="B297" s="6" t="s">
        <v>1032</v>
      </c>
      <c r="C297" s="2" t="s">
        <v>51</v>
      </c>
      <c r="D297" s="2" t="s">
        <v>52</v>
      </c>
      <c r="E297" s="8">
        <v>368440.86559999996</v>
      </c>
      <c r="F297" s="8">
        <v>268648.72046666662</v>
      </c>
      <c r="G297" s="8">
        <v>570.80833333333339</v>
      </c>
      <c r="J297">
        <v>368440.86719999998</v>
      </c>
      <c r="K297">
        <v>268648.73670000001</v>
      </c>
      <c r="L297">
        <v>570.87350000000004</v>
      </c>
      <c r="M297" s="3">
        <f t="shared" si="34"/>
        <v>1.6000000177882612E-3</v>
      </c>
      <c r="N297" s="3">
        <f t="shared" si="35"/>
        <v>1.6233333386480808E-2</v>
      </c>
      <c r="O297" s="3">
        <f t="shared" si="36"/>
        <v>6.5166666666641504E-2</v>
      </c>
      <c r="P297">
        <f t="shared" si="37"/>
        <v>2.5600000569224361E-6</v>
      </c>
      <c r="Q297">
        <f t="shared" si="38"/>
        <v>2.6352111283663247E-4</v>
      </c>
      <c r="R297">
        <f t="shared" si="39"/>
        <v>4.2466944444411649E-3</v>
      </c>
      <c r="S297">
        <f t="shared" si="40"/>
        <v>2.660811128935549E-4</v>
      </c>
      <c r="T297">
        <f t="shared" si="41"/>
        <v>1.6311992916058875E-2</v>
      </c>
    </row>
    <row r="298" spans="1:20" x14ac:dyDescent="0.3">
      <c r="A298" s="2" t="s">
        <v>1168</v>
      </c>
      <c r="B298" s="6" t="s">
        <v>1032</v>
      </c>
      <c r="C298" s="2" t="s">
        <v>422</v>
      </c>
      <c r="D298" s="2" t="s">
        <v>423</v>
      </c>
      <c r="E298" s="8">
        <v>368440.88339999999</v>
      </c>
      <c r="F298" s="8">
        <v>268648.7361333333</v>
      </c>
      <c r="G298" s="8">
        <v>571.10433333333333</v>
      </c>
      <c r="J298">
        <v>368440.86719999998</v>
      </c>
      <c r="K298">
        <v>268648.73670000001</v>
      </c>
      <c r="L298">
        <v>570.87350000000004</v>
      </c>
      <c r="M298" s="3">
        <f t="shared" si="34"/>
        <v>-1.6200000012759119E-2</v>
      </c>
      <c r="N298" s="3">
        <f t="shared" si="35"/>
        <v>5.6666671298444271E-4</v>
      </c>
      <c r="O298" s="3">
        <f t="shared" si="36"/>
        <v>0.23083333333329392</v>
      </c>
      <c r="P298">
        <f t="shared" si="37"/>
        <v>2.6244000041339546E-4</v>
      </c>
      <c r="Q298">
        <f t="shared" si="38"/>
        <v>3.2111116360459277E-7</v>
      </c>
      <c r="R298">
        <f t="shared" si="39"/>
        <v>5.3284027777759584E-2</v>
      </c>
      <c r="S298">
        <f t="shared" si="40"/>
        <v>2.6276111157700005E-4</v>
      </c>
      <c r="T298">
        <f t="shared" si="41"/>
        <v>1.6209907821360368E-2</v>
      </c>
    </row>
    <row r="299" spans="1:20" x14ac:dyDescent="0.3">
      <c r="A299" s="2" t="s">
        <v>1168</v>
      </c>
      <c r="B299" s="6" t="s">
        <v>1033</v>
      </c>
      <c r="C299" s="2" t="s">
        <v>20</v>
      </c>
      <c r="D299" s="2" t="s">
        <v>30</v>
      </c>
      <c r="E299" s="8">
        <v>385094.09736666665</v>
      </c>
      <c r="F299" s="8">
        <v>250022.24910000002</v>
      </c>
      <c r="G299" s="8">
        <v>182.208</v>
      </c>
      <c r="J299">
        <v>385094.10960000003</v>
      </c>
      <c r="K299">
        <v>250022.25399999999</v>
      </c>
      <c r="L299">
        <v>182.14429999999999</v>
      </c>
      <c r="M299" s="3">
        <f t="shared" si="34"/>
        <v>1.2233333371113986E-2</v>
      </c>
      <c r="N299" s="3">
        <f t="shared" si="35"/>
        <v>4.8999999708030373E-3</v>
      </c>
      <c r="O299" s="3">
        <f t="shared" si="36"/>
        <v>6.3700000000011414E-2</v>
      </c>
      <c r="P299">
        <f t="shared" si="37"/>
        <v>1.4965444536881107E-4</v>
      </c>
      <c r="Q299">
        <f t="shared" si="38"/>
        <v>2.4009999713869765E-5</v>
      </c>
      <c r="R299">
        <f t="shared" si="39"/>
        <v>4.0576900000014538E-3</v>
      </c>
      <c r="S299">
        <f t="shared" si="40"/>
        <v>1.7366444508268083E-4</v>
      </c>
      <c r="T299">
        <f t="shared" si="41"/>
        <v>1.3178180643878002E-2</v>
      </c>
    </row>
    <row r="300" spans="1:20" x14ac:dyDescent="0.3">
      <c r="A300" s="2" t="s">
        <v>1168</v>
      </c>
      <c r="B300" s="6" t="s">
        <v>1033</v>
      </c>
      <c r="C300" s="2" t="s">
        <v>20</v>
      </c>
      <c r="D300" s="2" t="s">
        <v>21</v>
      </c>
      <c r="E300" s="8">
        <v>385094.09116666671</v>
      </c>
      <c r="F300" s="8">
        <v>250022.24899999998</v>
      </c>
      <c r="G300" s="8">
        <v>182.21533333333335</v>
      </c>
      <c r="J300">
        <v>385094.10960000003</v>
      </c>
      <c r="K300">
        <v>250022.25399999999</v>
      </c>
      <c r="L300">
        <v>182.14429999999999</v>
      </c>
      <c r="M300" s="3">
        <f t="shared" si="34"/>
        <v>1.8433333316352218E-2</v>
      </c>
      <c r="N300" s="3">
        <f t="shared" si="35"/>
        <v>5.0000000046566129E-3</v>
      </c>
      <c r="O300" s="3">
        <f t="shared" si="36"/>
        <v>7.1033333333360815E-2</v>
      </c>
      <c r="P300">
        <f t="shared" si="37"/>
        <v>3.3978777715174067E-4</v>
      </c>
      <c r="Q300">
        <f t="shared" si="38"/>
        <v>2.5000000046566129E-5</v>
      </c>
      <c r="R300">
        <f t="shared" si="39"/>
        <v>5.0457344444483484E-3</v>
      </c>
      <c r="S300">
        <f t="shared" si="40"/>
        <v>3.6478777719830679E-4</v>
      </c>
      <c r="T300">
        <f t="shared" si="41"/>
        <v>1.9099418242404839E-2</v>
      </c>
    </row>
    <row r="301" spans="1:20" x14ac:dyDescent="0.3">
      <c r="A301" s="2" t="s">
        <v>1168</v>
      </c>
      <c r="B301" s="6" t="s">
        <v>1034</v>
      </c>
      <c r="C301" s="2" t="s">
        <v>20</v>
      </c>
      <c r="D301" s="2" t="s">
        <v>110</v>
      </c>
      <c r="E301" s="8">
        <v>385094.08049999998</v>
      </c>
      <c r="F301" s="8">
        <v>250022.24383333334</v>
      </c>
      <c r="G301" s="8">
        <v>182.22633333333332</v>
      </c>
      <c r="J301">
        <v>385094.10960000003</v>
      </c>
      <c r="K301">
        <v>250022.25399999999</v>
      </c>
      <c r="L301">
        <v>182.14429999999999</v>
      </c>
      <c r="M301" s="3">
        <f t="shared" si="34"/>
        <v>2.9100000043399632E-2</v>
      </c>
      <c r="N301" s="3">
        <f t="shared" si="35"/>
        <v>1.0166666645091027E-2</v>
      </c>
      <c r="O301" s="3">
        <f t="shared" si="36"/>
        <v>8.2033333333328073E-2</v>
      </c>
      <c r="P301">
        <f t="shared" si="37"/>
        <v>8.4681000252585857E-4</v>
      </c>
      <c r="Q301">
        <f t="shared" si="38"/>
        <v>1.0336111067240644E-4</v>
      </c>
      <c r="R301">
        <f t="shared" si="39"/>
        <v>6.7294677777769152E-3</v>
      </c>
      <c r="S301">
        <f t="shared" si="40"/>
        <v>9.5017111319826498E-4</v>
      </c>
      <c r="T301">
        <f t="shared" si="41"/>
        <v>3.0824845712481109E-2</v>
      </c>
    </row>
    <row r="302" spans="1:20" x14ac:dyDescent="0.3">
      <c r="A302" s="2" t="s">
        <v>1168</v>
      </c>
      <c r="B302" s="6" t="s">
        <v>1034</v>
      </c>
      <c r="C302" s="2" t="s">
        <v>20</v>
      </c>
      <c r="D302" s="2" t="s">
        <v>37</v>
      </c>
      <c r="E302" s="8">
        <v>385094.09840000002</v>
      </c>
      <c r="F302" s="8">
        <v>250022.24793333336</v>
      </c>
      <c r="G302" s="8">
        <v>182.17266666666669</v>
      </c>
      <c r="J302">
        <v>385094.10960000003</v>
      </c>
      <c r="K302">
        <v>250022.25399999999</v>
      </c>
      <c r="L302">
        <v>182.14429999999999</v>
      </c>
      <c r="M302" s="3">
        <f t="shared" si="34"/>
        <v>1.1200000008102506E-2</v>
      </c>
      <c r="N302" s="3">
        <f t="shared" si="35"/>
        <v>6.0666666249744594E-3</v>
      </c>
      <c r="O302" s="3">
        <f t="shared" si="36"/>
        <v>2.8366666666698848E-2</v>
      </c>
      <c r="P302">
        <f t="shared" si="37"/>
        <v>1.2544000018149614E-4</v>
      </c>
      <c r="Q302">
        <f t="shared" si="38"/>
        <v>3.6804443938578995E-5</v>
      </c>
      <c r="R302">
        <f t="shared" si="39"/>
        <v>8.0466777777960354E-4</v>
      </c>
      <c r="S302">
        <f t="shared" si="40"/>
        <v>1.6224444412007513E-4</v>
      </c>
      <c r="T302">
        <f t="shared" si="41"/>
        <v>1.2737521113626275E-2</v>
      </c>
    </row>
    <row r="303" spans="1:20" x14ac:dyDescent="0.3">
      <c r="A303" s="2" t="s">
        <v>1168</v>
      </c>
      <c r="B303" s="6" t="s">
        <v>1034</v>
      </c>
      <c r="C303" s="2" t="s">
        <v>20</v>
      </c>
      <c r="D303" s="2" t="s">
        <v>46</v>
      </c>
      <c r="E303" s="8">
        <v>385094.0941333333</v>
      </c>
      <c r="F303" s="8">
        <v>250022.24693333334</v>
      </c>
      <c r="G303" s="8">
        <v>182.20699999999999</v>
      </c>
      <c r="J303">
        <v>385094.10960000003</v>
      </c>
      <c r="K303">
        <v>250022.25399999999</v>
      </c>
      <c r="L303">
        <v>182.14429999999999</v>
      </c>
      <c r="M303" s="3">
        <f t="shared" si="34"/>
        <v>1.5466666722204536E-2</v>
      </c>
      <c r="N303" s="3">
        <f t="shared" si="35"/>
        <v>7.0666666433680803E-3</v>
      </c>
      <c r="O303" s="3">
        <f t="shared" si="36"/>
        <v>6.2700000000006639E-2</v>
      </c>
      <c r="P303">
        <f t="shared" si="37"/>
        <v>2.3921777949574921E-4</v>
      </c>
      <c r="Q303">
        <f t="shared" si="38"/>
        <v>4.993777744849109E-5</v>
      </c>
      <c r="R303">
        <f t="shared" si="39"/>
        <v>3.9312900000008323E-3</v>
      </c>
      <c r="S303">
        <f t="shared" si="40"/>
        <v>2.8915555694424033E-4</v>
      </c>
      <c r="T303">
        <f t="shared" si="41"/>
        <v>1.7004574588746414E-2</v>
      </c>
    </row>
    <row r="304" spans="1:20" x14ac:dyDescent="0.3">
      <c r="A304" s="2" t="s">
        <v>1168</v>
      </c>
      <c r="B304" s="6" t="s">
        <v>1034</v>
      </c>
      <c r="C304" s="2" t="s">
        <v>51</v>
      </c>
      <c r="D304" s="2" t="s">
        <v>63</v>
      </c>
      <c r="E304" s="8">
        <v>385094.09969999996</v>
      </c>
      <c r="F304" s="8">
        <v>250022.24</v>
      </c>
      <c r="G304" s="8">
        <v>182.10599999999999</v>
      </c>
      <c r="J304">
        <v>385094.10960000003</v>
      </c>
      <c r="K304">
        <v>250022.25399999999</v>
      </c>
      <c r="L304">
        <v>182.14429999999999</v>
      </c>
      <c r="M304" s="3">
        <f t="shared" si="34"/>
        <v>9.9000000627711415E-3</v>
      </c>
      <c r="N304" s="3">
        <f t="shared" si="35"/>
        <v>1.3999999995576218E-2</v>
      </c>
      <c r="O304" s="3">
        <f t="shared" si="36"/>
        <v>3.8299999999992451E-2</v>
      </c>
      <c r="P304">
        <f t="shared" si="37"/>
        <v>9.8010001242868606E-5</v>
      </c>
      <c r="Q304">
        <f t="shared" si="38"/>
        <v>1.959999998761341E-4</v>
      </c>
      <c r="R304">
        <f t="shared" si="39"/>
        <v>1.4668899999994217E-3</v>
      </c>
      <c r="S304">
        <f t="shared" si="40"/>
        <v>2.9401000111900272E-4</v>
      </c>
      <c r="T304">
        <f t="shared" si="41"/>
        <v>1.7146719835554634E-2</v>
      </c>
    </row>
    <row r="305" spans="1:20" x14ac:dyDescent="0.3">
      <c r="A305" s="2" t="s">
        <v>1168</v>
      </c>
      <c r="B305" s="6" t="s">
        <v>1034</v>
      </c>
      <c r="C305" s="2" t="s">
        <v>51</v>
      </c>
      <c r="D305" s="2" t="s">
        <v>30</v>
      </c>
      <c r="E305" s="8">
        <v>385094.08689999999</v>
      </c>
      <c r="F305" s="8">
        <v>250022.24266666666</v>
      </c>
      <c r="G305" s="8">
        <v>182.06933333333333</v>
      </c>
      <c r="J305">
        <v>385094.10960000003</v>
      </c>
      <c r="K305">
        <v>250022.25399999999</v>
      </c>
      <c r="L305">
        <v>182.14429999999999</v>
      </c>
      <c r="M305" s="3">
        <f t="shared" si="34"/>
        <v>2.2700000030454248E-2</v>
      </c>
      <c r="N305" s="3">
        <f t="shared" si="35"/>
        <v>1.133333332836628E-2</v>
      </c>
      <c r="O305" s="3">
        <f t="shared" si="36"/>
        <v>7.4966666666654191E-2</v>
      </c>
      <c r="P305">
        <f t="shared" si="37"/>
        <v>5.1529000138262292E-4</v>
      </c>
      <c r="Q305">
        <f t="shared" si="38"/>
        <v>1.2844444433185789E-4</v>
      </c>
      <c r="R305">
        <f t="shared" si="39"/>
        <v>5.6200011111092411E-3</v>
      </c>
      <c r="S305">
        <f t="shared" si="40"/>
        <v>6.4373444571448081E-4</v>
      </c>
      <c r="T305">
        <f t="shared" si="41"/>
        <v>2.5371922389020522E-2</v>
      </c>
    </row>
    <row r="306" spans="1:20" x14ac:dyDescent="0.3">
      <c r="A306" s="2" t="s">
        <v>1168</v>
      </c>
      <c r="B306" s="6" t="s">
        <v>1034</v>
      </c>
      <c r="C306" s="2" t="s">
        <v>51</v>
      </c>
      <c r="D306" s="2" t="s">
        <v>52</v>
      </c>
      <c r="E306" s="8">
        <v>385094.0933666667</v>
      </c>
      <c r="F306" s="8">
        <v>250022.24196666668</v>
      </c>
      <c r="G306" s="8">
        <v>182.08333333333334</v>
      </c>
      <c r="J306">
        <v>385094.10960000003</v>
      </c>
      <c r="K306">
        <v>250022.25399999999</v>
      </c>
      <c r="L306">
        <v>182.14429999999999</v>
      </c>
      <c r="M306" s="3">
        <f t="shared" si="34"/>
        <v>1.6233333328273147E-2</v>
      </c>
      <c r="N306" s="3">
        <f t="shared" si="35"/>
        <v>1.2033333303406835E-2</v>
      </c>
      <c r="O306" s="3">
        <f t="shared" si="36"/>
        <v>6.0966666666644187E-2</v>
      </c>
      <c r="P306">
        <f t="shared" si="37"/>
        <v>2.6352111094682374E-4</v>
      </c>
      <c r="Q306">
        <f t="shared" si="38"/>
        <v>1.4480111039088004E-4</v>
      </c>
      <c r="R306">
        <f t="shared" si="39"/>
        <v>3.7169344444417034E-3</v>
      </c>
      <c r="S306">
        <f t="shared" si="40"/>
        <v>4.0832222133770378E-4</v>
      </c>
      <c r="T306">
        <f t="shared" si="41"/>
        <v>2.0206984469180546E-2</v>
      </c>
    </row>
    <row r="307" spans="1:20" x14ac:dyDescent="0.3">
      <c r="A307" s="2" t="s">
        <v>1168</v>
      </c>
      <c r="B307" s="6" t="s">
        <v>1034</v>
      </c>
      <c r="C307" s="2" t="s">
        <v>422</v>
      </c>
      <c r="D307" s="2" t="s">
        <v>423</v>
      </c>
      <c r="E307" s="8">
        <v>385094.08413333335</v>
      </c>
      <c r="F307" s="8">
        <v>250022.25593333333</v>
      </c>
      <c r="G307" s="8">
        <v>182.35633333333337</v>
      </c>
      <c r="J307">
        <v>385094.10960000003</v>
      </c>
      <c r="K307">
        <v>250022.25399999999</v>
      </c>
      <c r="L307">
        <v>182.14429999999999</v>
      </c>
      <c r="M307" s="3">
        <f t="shared" si="34"/>
        <v>2.5466666673310101E-2</v>
      </c>
      <c r="N307" s="3">
        <f t="shared" si="35"/>
        <v>-1.9333333475515246E-3</v>
      </c>
      <c r="O307" s="3">
        <f t="shared" si="36"/>
        <v>0.21203333333338037</v>
      </c>
      <c r="P307">
        <f t="shared" si="37"/>
        <v>6.4855111144948335E-4</v>
      </c>
      <c r="Q307">
        <f t="shared" si="38"/>
        <v>3.7377778327547844E-6</v>
      </c>
      <c r="R307">
        <f t="shared" si="39"/>
        <v>4.4958134444464393E-2</v>
      </c>
      <c r="S307">
        <f t="shared" si="40"/>
        <v>6.5228888928223813E-4</v>
      </c>
      <c r="T307">
        <f t="shared" si="41"/>
        <v>2.5539946931860256E-2</v>
      </c>
    </row>
    <row r="308" spans="1:20" x14ac:dyDescent="0.3">
      <c r="A308" s="2" t="s">
        <v>1168</v>
      </c>
      <c r="B308" s="6" t="s">
        <v>1035</v>
      </c>
      <c r="C308" s="2" t="s">
        <v>20</v>
      </c>
      <c r="D308" s="2" t="s">
        <v>30</v>
      </c>
      <c r="E308" s="8">
        <v>385152.40639999998</v>
      </c>
      <c r="F308" s="8">
        <v>236205.48759999999</v>
      </c>
      <c r="G308" s="8">
        <v>299.82133333333331</v>
      </c>
      <c r="J308">
        <v>385152.42440000002</v>
      </c>
      <c r="K308">
        <v>236205.51190000001</v>
      </c>
      <c r="L308">
        <v>299.89370000000002</v>
      </c>
      <c r="M308" s="3">
        <f t="shared" si="34"/>
        <v>1.8000000040046871E-2</v>
      </c>
      <c r="N308" s="3">
        <f t="shared" si="35"/>
        <v>2.4300000019138679E-2</v>
      </c>
      <c r="O308" s="3">
        <f t="shared" si="36"/>
        <v>7.2366666666709989E-2</v>
      </c>
      <c r="P308">
        <f t="shared" si="37"/>
        <v>3.2400000144168733E-4</v>
      </c>
      <c r="Q308">
        <f t="shared" si="38"/>
        <v>5.904900009301398E-4</v>
      </c>
      <c r="R308">
        <f t="shared" si="39"/>
        <v>5.2369344444507145E-3</v>
      </c>
      <c r="S308">
        <f t="shared" si="40"/>
        <v>9.1449000237182713E-4</v>
      </c>
      <c r="T308">
        <f t="shared" si="41"/>
        <v>3.0240535748756622E-2</v>
      </c>
    </row>
    <row r="309" spans="1:20" x14ac:dyDescent="0.3">
      <c r="A309" s="2" t="s">
        <v>1168</v>
      </c>
      <c r="B309" s="6" t="s">
        <v>1035</v>
      </c>
      <c r="C309" s="2" t="s">
        <v>20</v>
      </c>
      <c r="D309" s="2" t="s">
        <v>21</v>
      </c>
      <c r="E309" s="8">
        <v>385152.41223333334</v>
      </c>
      <c r="F309" s="8">
        <v>236205.49360000002</v>
      </c>
      <c r="G309" s="8">
        <v>299.85599999999999</v>
      </c>
      <c r="J309">
        <v>385152.42440000002</v>
      </c>
      <c r="K309">
        <v>236205.51190000001</v>
      </c>
      <c r="L309">
        <v>299.89370000000002</v>
      </c>
      <c r="M309" s="3">
        <f t="shared" si="34"/>
        <v>1.2166666681878269E-2</v>
      </c>
      <c r="N309" s="3">
        <f t="shared" si="35"/>
        <v>1.8299999996088445E-2</v>
      </c>
      <c r="O309" s="3">
        <f t="shared" si="36"/>
        <v>3.7700000000029377E-2</v>
      </c>
      <c r="P309">
        <f t="shared" si="37"/>
        <v>1.4802777814792675E-4</v>
      </c>
      <c r="Q309">
        <f t="shared" si="38"/>
        <v>3.3488999985683708E-4</v>
      </c>
      <c r="R309">
        <f t="shared" si="39"/>
        <v>1.421290000002215E-3</v>
      </c>
      <c r="S309">
        <f t="shared" si="40"/>
        <v>4.8291777800476383E-4</v>
      </c>
      <c r="T309">
        <f t="shared" si="41"/>
        <v>2.1975390281056759E-2</v>
      </c>
    </row>
    <row r="310" spans="1:20" x14ac:dyDescent="0.3">
      <c r="A310" s="2" t="s">
        <v>1168</v>
      </c>
      <c r="B310" s="6" t="s">
        <v>1036</v>
      </c>
      <c r="C310" s="2" t="s">
        <v>20</v>
      </c>
      <c r="D310" s="2" t="s">
        <v>110</v>
      </c>
      <c r="E310" s="8">
        <v>385152.40436666668</v>
      </c>
      <c r="F310" s="8">
        <v>236205.50356666665</v>
      </c>
      <c r="G310" s="8">
        <v>299.84833333333336</v>
      </c>
      <c r="J310">
        <v>385152.42440000002</v>
      </c>
      <c r="K310">
        <v>236205.51190000001</v>
      </c>
      <c r="L310">
        <v>299.89370000000002</v>
      </c>
      <c r="M310" s="3">
        <f t="shared" si="34"/>
        <v>2.003333333414048E-2</v>
      </c>
      <c r="N310" s="3">
        <f t="shared" si="35"/>
        <v>8.3333333604969084E-3</v>
      </c>
      <c r="O310" s="3">
        <f t="shared" si="36"/>
        <v>4.5366666666666333E-2</v>
      </c>
      <c r="P310">
        <f t="shared" si="37"/>
        <v>4.0133444447678409E-4</v>
      </c>
      <c r="Q310">
        <f t="shared" si="38"/>
        <v>6.9444444897170693E-5</v>
      </c>
      <c r="R310">
        <f t="shared" si="39"/>
        <v>2.0581344444444141E-3</v>
      </c>
      <c r="S310">
        <f t="shared" si="40"/>
        <v>4.7077888937395478E-4</v>
      </c>
      <c r="T310">
        <f t="shared" si="41"/>
        <v>2.1697439696285705E-2</v>
      </c>
    </row>
    <row r="311" spans="1:20" x14ac:dyDescent="0.3">
      <c r="A311" s="2" t="s">
        <v>1168</v>
      </c>
      <c r="B311" s="6" t="s">
        <v>1036</v>
      </c>
      <c r="C311" s="2" t="s">
        <v>20</v>
      </c>
      <c r="D311" s="2" t="s">
        <v>37</v>
      </c>
      <c r="E311" s="8">
        <v>385152.41283333331</v>
      </c>
      <c r="F311" s="8">
        <v>236205.49646666669</v>
      </c>
      <c r="G311" s="8">
        <v>299.786</v>
      </c>
      <c r="J311">
        <v>385152.42440000002</v>
      </c>
      <c r="K311">
        <v>236205.51190000001</v>
      </c>
      <c r="L311">
        <v>299.89370000000002</v>
      </c>
      <c r="M311" s="3">
        <f t="shared" si="34"/>
        <v>1.1566666711587459E-2</v>
      </c>
      <c r="N311" s="3">
        <f t="shared" si="35"/>
        <v>1.5433333319379017E-2</v>
      </c>
      <c r="O311" s="3">
        <f t="shared" si="36"/>
        <v>0.10770000000002256</v>
      </c>
      <c r="P311">
        <f t="shared" si="37"/>
        <v>1.3378777881694544E-4</v>
      </c>
      <c r="Q311">
        <f t="shared" si="38"/>
        <v>2.3818777734705454E-4</v>
      </c>
      <c r="R311">
        <f t="shared" si="39"/>
        <v>1.1599290000004859E-2</v>
      </c>
      <c r="S311">
        <f t="shared" si="40"/>
        <v>3.7197555616399997E-4</v>
      </c>
      <c r="T311">
        <f t="shared" si="41"/>
        <v>1.9286667834646814E-2</v>
      </c>
    </row>
    <row r="312" spans="1:20" x14ac:dyDescent="0.3">
      <c r="A312" s="2" t="s">
        <v>1168</v>
      </c>
      <c r="B312" s="6" t="s">
        <v>1036</v>
      </c>
      <c r="C312" s="2" t="s">
        <v>20</v>
      </c>
      <c r="D312" s="2" t="s">
        <v>46</v>
      </c>
      <c r="E312" s="8">
        <v>385152.41113333334</v>
      </c>
      <c r="F312" s="8">
        <v>236205.49483333333</v>
      </c>
      <c r="G312" s="8">
        <v>299.82466666666664</v>
      </c>
      <c r="J312">
        <v>385152.42440000002</v>
      </c>
      <c r="K312">
        <v>236205.51190000001</v>
      </c>
      <c r="L312">
        <v>299.89370000000002</v>
      </c>
      <c r="M312" s="3">
        <f t="shared" si="34"/>
        <v>1.3266666675917804E-2</v>
      </c>
      <c r="N312" s="3">
        <f t="shared" si="35"/>
        <v>1.7066666681785136E-2</v>
      </c>
      <c r="O312" s="3">
        <f t="shared" si="36"/>
        <v>6.9033333333379687E-2</v>
      </c>
      <c r="P312">
        <f t="shared" si="37"/>
        <v>1.7600444468990795E-4</v>
      </c>
      <c r="Q312">
        <f t="shared" si="38"/>
        <v>2.912711116271549E-4</v>
      </c>
      <c r="R312">
        <f t="shared" si="39"/>
        <v>4.7656011111175114E-3</v>
      </c>
      <c r="S312">
        <f t="shared" si="40"/>
        <v>4.6727555631706285E-4</v>
      </c>
      <c r="T312">
        <f t="shared" si="41"/>
        <v>2.1616557457584749E-2</v>
      </c>
    </row>
    <row r="313" spans="1:20" x14ac:dyDescent="0.3">
      <c r="A313" s="2" t="s">
        <v>1168</v>
      </c>
      <c r="B313" s="6" t="s">
        <v>1036</v>
      </c>
      <c r="C313" s="2" t="s">
        <v>51</v>
      </c>
      <c r="D313" s="2" t="s">
        <v>63</v>
      </c>
      <c r="E313" s="8">
        <v>385152.41989999992</v>
      </c>
      <c r="F313" s="8">
        <v>236205.45523333331</v>
      </c>
      <c r="G313" s="8">
        <v>299.73366666666669</v>
      </c>
      <c r="J313">
        <v>385152.42440000002</v>
      </c>
      <c r="K313">
        <v>236205.51190000001</v>
      </c>
      <c r="L313">
        <v>299.89370000000002</v>
      </c>
      <c r="M313" s="3">
        <f t="shared" si="34"/>
        <v>4.500000097323209E-3</v>
      </c>
      <c r="N313" s="3">
        <f t="shared" si="35"/>
        <v>5.6666666700039059E-2</v>
      </c>
      <c r="O313" s="3">
        <f t="shared" si="36"/>
        <v>0.16003333333333103</v>
      </c>
      <c r="P313">
        <f t="shared" si="37"/>
        <v>2.0250000875908891E-5</v>
      </c>
      <c r="Q313">
        <f t="shared" si="38"/>
        <v>3.2111111148933158E-3</v>
      </c>
      <c r="R313">
        <f t="shared" si="39"/>
        <v>2.5610667777777041E-2</v>
      </c>
      <c r="S313">
        <f t="shared" si="40"/>
        <v>3.2313611157692248E-3</v>
      </c>
      <c r="T313">
        <f t="shared" si="41"/>
        <v>5.6845062369296637E-2</v>
      </c>
    </row>
    <row r="314" spans="1:20" x14ac:dyDescent="0.3">
      <c r="A314" s="2" t="s">
        <v>1168</v>
      </c>
      <c r="B314" s="6" t="s">
        <v>1036</v>
      </c>
      <c r="C314" s="2" t="s">
        <v>51</v>
      </c>
      <c r="D314" s="2" t="s">
        <v>30</v>
      </c>
      <c r="E314" s="8">
        <v>385152.41206666664</v>
      </c>
      <c r="F314" s="8">
        <v>236205.49983333334</v>
      </c>
      <c r="G314" s="8">
        <v>299.69366666666662</v>
      </c>
      <c r="J314">
        <v>385152.42440000002</v>
      </c>
      <c r="K314">
        <v>236205.51190000001</v>
      </c>
      <c r="L314">
        <v>299.89370000000002</v>
      </c>
      <c r="M314" s="3">
        <f t="shared" si="34"/>
        <v>1.2333333375863731E-2</v>
      </c>
      <c r="N314" s="3">
        <f t="shared" si="35"/>
        <v>1.2066666677128524E-2</v>
      </c>
      <c r="O314" s="3">
        <f t="shared" si="36"/>
        <v>0.20003333333340834</v>
      </c>
      <c r="P314">
        <f t="shared" si="37"/>
        <v>1.5211111216019424E-4</v>
      </c>
      <c r="Q314">
        <f t="shared" si="38"/>
        <v>1.4560444469692392E-4</v>
      </c>
      <c r="R314">
        <f t="shared" si="39"/>
        <v>4.0013334444474448E-2</v>
      </c>
      <c r="S314">
        <f t="shared" si="40"/>
        <v>2.9771555685711819E-4</v>
      </c>
      <c r="T314">
        <f t="shared" si="41"/>
        <v>1.7254435860297439E-2</v>
      </c>
    </row>
    <row r="315" spans="1:20" x14ac:dyDescent="0.3">
      <c r="A315" s="2" t="s">
        <v>1168</v>
      </c>
      <c r="B315" s="6" t="s">
        <v>1036</v>
      </c>
      <c r="C315" s="2" t="s">
        <v>51</v>
      </c>
      <c r="D315" s="2" t="s">
        <v>52</v>
      </c>
      <c r="E315" s="8">
        <v>385152.41663333337</v>
      </c>
      <c r="F315" s="8">
        <v>236205.50020000001</v>
      </c>
      <c r="G315" s="8">
        <v>299.69499999999999</v>
      </c>
      <c r="J315">
        <v>385152.42440000002</v>
      </c>
      <c r="K315">
        <v>236205.51190000001</v>
      </c>
      <c r="L315">
        <v>299.89370000000002</v>
      </c>
      <c r="M315" s="3">
        <f t="shared" si="34"/>
        <v>7.7666666475124657E-3</v>
      </c>
      <c r="N315" s="3">
        <f t="shared" si="35"/>
        <v>1.1700000002747402E-2</v>
      </c>
      <c r="O315" s="3">
        <f t="shared" si="36"/>
        <v>0.19870000000003074</v>
      </c>
      <c r="P315">
        <f t="shared" si="37"/>
        <v>6.032111081358252E-5</v>
      </c>
      <c r="Q315">
        <f t="shared" si="38"/>
        <v>1.368900000642892E-4</v>
      </c>
      <c r="R315">
        <f t="shared" si="39"/>
        <v>3.9481690000012219E-2</v>
      </c>
      <c r="S315">
        <f t="shared" si="40"/>
        <v>1.9721111087787172E-4</v>
      </c>
      <c r="T315">
        <f t="shared" si="41"/>
        <v>1.4043187347531605E-2</v>
      </c>
    </row>
    <row r="316" spans="1:20" x14ac:dyDescent="0.3">
      <c r="A316" s="2" t="s">
        <v>1168</v>
      </c>
      <c r="B316" s="6" t="s">
        <v>1037</v>
      </c>
      <c r="C316" s="2" t="s">
        <v>20</v>
      </c>
      <c r="D316" s="2" t="s">
        <v>30</v>
      </c>
      <c r="E316" s="8">
        <v>419435.02916666662</v>
      </c>
      <c r="F316" s="8">
        <v>242689.6527666667</v>
      </c>
      <c r="G316" s="8">
        <v>107.05733333333332</v>
      </c>
      <c r="J316">
        <v>419435.05229999998</v>
      </c>
      <c r="K316">
        <v>242689.6685</v>
      </c>
      <c r="L316">
        <v>107.06950000000001</v>
      </c>
      <c r="M316" s="3">
        <f t="shared" si="34"/>
        <v>2.3133333364967257E-2</v>
      </c>
      <c r="N316" s="3">
        <f t="shared" si="35"/>
        <v>1.5733333304524422E-2</v>
      </c>
      <c r="O316" s="3">
        <f t="shared" si="36"/>
        <v>1.2166666666686865E-2</v>
      </c>
      <c r="P316">
        <f t="shared" si="37"/>
        <v>5.3515111257470735E-4</v>
      </c>
      <c r="Q316">
        <f t="shared" si="38"/>
        <v>2.4753777687125736E-4</v>
      </c>
      <c r="R316">
        <f t="shared" si="39"/>
        <v>1.4802777777826926E-4</v>
      </c>
      <c r="S316">
        <f t="shared" si="40"/>
        <v>7.8268888944596471E-4</v>
      </c>
      <c r="T316">
        <f t="shared" si="41"/>
        <v>2.7976577514877775E-2</v>
      </c>
    </row>
    <row r="317" spans="1:20" x14ac:dyDescent="0.3">
      <c r="A317" s="2" t="s">
        <v>1168</v>
      </c>
      <c r="B317" s="6" t="s">
        <v>1037</v>
      </c>
      <c r="C317" s="2" t="s">
        <v>20</v>
      </c>
      <c r="D317" s="2" t="s">
        <v>21</v>
      </c>
      <c r="E317" s="8">
        <v>419435.03716666665</v>
      </c>
      <c r="F317" s="8">
        <v>242689.66169999997</v>
      </c>
      <c r="G317" s="8">
        <v>107.07566666666666</v>
      </c>
      <c r="J317">
        <v>419435.05229999998</v>
      </c>
      <c r="K317">
        <v>242689.6685</v>
      </c>
      <c r="L317">
        <v>107.06950000000001</v>
      </c>
      <c r="M317" s="3">
        <f t="shared" si="34"/>
        <v>1.5133333334233612E-2</v>
      </c>
      <c r="N317" s="3">
        <f t="shared" si="35"/>
        <v>6.8000000319443643E-3</v>
      </c>
      <c r="O317" s="3">
        <f t="shared" si="36"/>
        <v>6.1666666666582159E-3</v>
      </c>
      <c r="P317">
        <f t="shared" si="37"/>
        <v>2.290177778050262E-4</v>
      </c>
      <c r="Q317">
        <f t="shared" si="38"/>
        <v>4.6240000434443352E-5</v>
      </c>
      <c r="R317">
        <f t="shared" si="39"/>
        <v>3.8027777777673552E-5</v>
      </c>
      <c r="S317">
        <f t="shared" si="40"/>
        <v>2.7525777823946956E-4</v>
      </c>
      <c r="T317">
        <f t="shared" si="41"/>
        <v>1.6590894437596471E-2</v>
      </c>
    </row>
    <row r="318" spans="1:20" x14ac:dyDescent="0.3">
      <c r="A318" s="2" t="s">
        <v>1168</v>
      </c>
      <c r="B318" s="6" t="s">
        <v>1038</v>
      </c>
      <c r="C318" s="2" t="s">
        <v>20</v>
      </c>
      <c r="D318" s="2" t="s">
        <v>110</v>
      </c>
      <c r="E318" s="8">
        <v>419435.05619999999</v>
      </c>
      <c r="F318" s="8">
        <v>242689.67079999999</v>
      </c>
      <c r="G318" s="8">
        <v>107.07366666666667</v>
      </c>
      <c r="J318">
        <v>419435.05229999998</v>
      </c>
      <c r="K318">
        <v>242689.6685</v>
      </c>
      <c r="L318">
        <v>107.06950000000001</v>
      </c>
      <c r="M318" s="3">
        <f t="shared" si="34"/>
        <v>-3.9000000106170774E-3</v>
      </c>
      <c r="N318" s="3">
        <f t="shared" si="35"/>
        <v>-2.2999999928288162E-3</v>
      </c>
      <c r="O318" s="3">
        <f t="shared" si="36"/>
        <v>4.1666666666628771E-3</v>
      </c>
      <c r="P318">
        <f t="shared" si="37"/>
        <v>1.5210000082813203E-5</v>
      </c>
      <c r="Q318">
        <f t="shared" si="38"/>
        <v>5.2899999670125545E-6</v>
      </c>
      <c r="R318">
        <f t="shared" si="39"/>
        <v>1.736111111107953E-5</v>
      </c>
      <c r="S318">
        <f t="shared" si="40"/>
        <v>2.0500000049825758E-5</v>
      </c>
      <c r="T318">
        <f t="shared" si="41"/>
        <v>4.5276925745710425E-3</v>
      </c>
    </row>
    <row r="319" spans="1:20" x14ac:dyDescent="0.3">
      <c r="A319" s="2" t="s">
        <v>1168</v>
      </c>
      <c r="B319" s="6" t="s">
        <v>1038</v>
      </c>
      <c r="C319" s="2" t="s">
        <v>20</v>
      </c>
      <c r="D319" s="2" t="s">
        <v>37</v>
      </c>
      <c r="E319" s="8">
        <v>419435.06309999997</v>
      </c>
      <c r="F319" s="8">
        <v>242689.66620000001</v>
      </c>
      <c r="G319" s="8">
        <v>107.06233333333334</v>
      </c>
      <c r="J319">
        <v>419435.05229999998</v>
      </c>
      <c r="K319">
        <v>242689.6685</v>
      </c>
      <c r="L319">
        <v>107.06950000000001</v>
      </c>
      <c r="M319" s="3">
        <f t="shared" si="34"/>
        <v>-1.0799999989103526E-2</v>
      </c>
      <c r="N319" s="3">
        <f t="shared" si="35"/>
        <v>2.2999999928288162E-3</v>
      </c>
      <c r="O319" s="3">
        <f t="shared" si="36"/>
        <v>7.1666666666629908E-3</v>
      </c>
      <c r="P319">
        <f t="shared" si="37"/>
        <v>1.1663999976463616E-4</v>
      </c>
      <c r="Q319">
        <f t="shared" si="38"/>
        <v>5.2899999670125545E-6</v>
      </c>
      <c r="R319">
        <f t="shared" si="39"/>
        <v>5.1361111111058422E-5</v>
      </c>
      <c r="S319">
        <f t="shared" si="40"/>
        <v>1.2192999973164871E-4</v>
      </c>
      <c r="T319">
        <f t="shared" si="41"/>
        <v>1.1042191799260177E-2</v>
      </c>
    </row>
    <row r="320" spans="1:20" x14ac:dyDescent="0.3">
      <c r="A320" s="2" t="s">
        <v>1168</v>
      </c>
      <c r="B320" s="6" t="s">
        <v>1038</v>
      </c>
      <c r="C320" s="2" t="s">
        <v>20</v>
      </c>
      <c r="D320" s="2" t="s">
        <v>46</v>
      </c>
      <c r="E320" s="8">
        <v>419435.06490000006</v>
      </c>
      <c r="F320" s="8">
        <v>242689.65589999998</v>
      </c>
      <c r="G320" s="8">
        <v>107.06233333333334</v>
      </c>
      <c r="J320">
        <v>419435.05229999998</v>
      </c>
      <c r="K320">
        <v>242689.6685</v>
      </c>
      <c r="L320">
        <v>107.06950000000001</v>
      </c>
      <c r="M320" s="3">
        <f t="shared" si="34"/>
        <v>-1.2600000074598938E-2</v>
      </c>
      <c r="N320" s="3">
        <f t="shared" si="35"/>
        <v>1.2600000016391277E-2</v>
      </c>
      <c r="O320" s="3">
        <f t="shared" si="36"/>
        <v>7.1666666666629908E-3</v>
      </c>
      <c r="P320">
        <f t="shared" si="37"/>
        <v>1.5876000187989325E-4</v>
      </c>
      <c r="Q320">
        <f t="shared" si="38"/>
        <v>1.5876000041306019E-4</v>
      </c>
      <c r="R320">
        <f t="shared" si="39"/>
        <v>5.1361111111058422E-5</v>
      </c>
      <c r="S320">
        <f t="shared" si="40"/>
        <v>3.1752000229295343E-4</v>
      </c>
      <c r="T320">
        <f t="shared" si="41"/>
        <v>1.7819090950240795E-2</v>
      </c>
    </row>
    <row r="321" spans="1:20" x14ac:dyDescent="0.3">
      <c r="A321" s="2" t="s">
        <v>1168</v>
      </c>
      <c r="B321" s="6" t="s">
        <v>1038</v>
      </c>
      <c r="C321" s="2" t="s">
        <v>51</v>
      </c>
      <c r="D321" s="2" t="s">
        <v>63</v>
      </c>
      <c r="E321" s="8">
        <v>419435.14523333334</v>
      </c>
      <c r="F321" s="8">
        <v>242689.68273333335</v>
      </c>
      <c r="G321" s="8">
        <v>107.122</v>
      </c>
      <c r="J321">
        <v>419435.05229999998</v>
      </c>
      <c r="K321">
        <v>242689.6685</v>
      </c>
      <c r="L321">
        <v>107.06950000000001</v>
      </c>
      <c r="M321" s="3">
        <f t="shared" si="34"/>
        <v>-9.2933333362452686E-2</v>
      </c>
      <c r="N321" s="3">
        <f t="shared" si="35"/>
        <v>-1.4233333349693567E-2</v>
      </c>
      <c r="O321" s="3">
        <f t="shared" si="36"/>
        <v>5.2499999999994884E-2</v>
      </c>
      <c r="P321">
        <f t="shared" si="37"/>
        <v>8.6366044498567621E-3</v>
      </c>
      <c r="Q321">
        <f t="shared" si="38"/>
        <v>2.0258777824349908E-4</v>
      </c>
      <c r="R321">
        <f t="shared" si="39"/>
        <v>2.7562499999994627E-3</v>
      </c>
      <c r="S321">
        <f t="shared" si="40"/>
        <v>8.8391922281002618E-3</v>
      </c>
      <c r="T321">
        <f t="shared" si="41"/>
        <v>9.4016978403372767E-2</v>
      </c>
    </row>
    <row r="322" spans="1:20" x14ac:dyDescent="0.3">
      <c r="A322" s="2" t="s">
        <v>1168</v>
      </c>
      <c r="B322" s="6" t="s">
        <v>1038</v>
      </c>
      <c r="C322" s="2" t="s">
        <v>51</v>
      </c>
      <c r="D322" s="2" t="s">
        <v>30</v>
      </c>
      <c r="E322" s="8">
        <v>419435.13110000006</v>
      </c>
      <c r="F322" s="8">
        <v>242689.68046666667</v>
      </c>
      <c r="G322" s="8">
        <v>107.17</v>
      </c>
      <c r="J322">
        <v>419435.05229999998</v>
      </c>
      <c r="K322">
        <v>242689.6685</v>
      </c>
      <c r="L322">
        <v>107.06950000000001</v>
      </c>
      <c r="M322" s="3">
        <f t="shared" si="34"/>
        <v>-7.8800000075716525E-2</v>
      </c>
      <c r="N322" s="3">
        <f t="shared" si="35"/>
        <v>-1.1966666672378778E-2</v>
      </c>
      <c r="O322" s="3">
        <f t="shared" si="36"/>
        <v>0.1004999999999967</v>
      </c>
      <c r="P322">
        <f t="shared" si="37"/>
        <v>6.2094400119329244E-3</v>
      </c>
      <c r="Q322">
        <f t="shared" si="38"/>
        <v>1.4320111124782099E-4</v>
      </c>
      <c r="R322">
        <f t="shared" si="39"/>
        <v>1.0100249999999337E-2</v>
      </c>
      <c r="S322">
        <f t="shared" si="40"/>
        <v>6.3526411231807451E-3</v>
      </c>
      <c r="T322">
        <f t="shared" si="41"/>
        <v>7.9703457410458325E-2</v>
      </c>
    </row>
    <row r="323" spans="1:20" x14ac:dyDescent="0.3">
      <c r="A323" s="2" t="s">
        <v>1168</v>
      </c>
      <c r="B323" s="6" t="s">
        <v>1038</v>
      </c>
      <c r="C323" s="2" t="s">
        <v>51</v>
      </c>
      <c r="D323" s="2" t="s">
        <v>52</v>
      </c>
      <c r="E323" s="8">
        <v>419435.07523333334</v>
      </c>
      <c r="F323" s="8">
        <v>242689.66323333335</v>
      </c>
      <c r="G323" s="8">
        <v>107.06266666666666</v>
      </c>
      <c r="J323">
        <v>419435.05229999998</v>
      </c>
      <c r="K323">
        <v>242689.6685</v>
      </c>
      <c r="L323">
        <v>107.06950000000001</v>
      </c>
      <c r="M323" s="3">
        <f t="shared" ref="M323:M386" si="42">J323-E323</f>
        <v>-2.2933333355467767E-2</v>
      </c>
      <c r="N323" s="3">
        <f t="shared" ref="N323:N386" si="43">K323-F323</f>
        <v>5.2666666451841593E-3</v>
      </c>
      <c r="O323" s="3">
        <f t="shared" ref="O323:O386" si="44">ABS(L323-G323)</f>
        <v>6.8333333333470136E-3</v>
      </c>
      <c r="P323">
        <f t="shared" ref="P323:P386" si="45">POWER(M323,2)</f>
        <v>5.2593777879301042E-4</v>
      </c>
      <c r="Q323">
        <f t="shared" ref="Q323:Q386" si="46">POWER(N323,2)</f>
        <v>2.7737777551495367E-5</v>
      </c>
      <c r="R323">
        <f t="shared" ref="R323:R386" si="47">POWER(O323,2)</f>
        <v>4.6694444444631411E-5</v>
      </c>
      <c r="S323">
        <f t="shared" ref="S323:S386" si="48">P323+Q323</f>
        <v>5.5367555634450584E-4</v>
      </c>
      <c r="T323">
        <f t="shared" ref="T323:T386" si="49">SQRT(S323)</f>
        <v>2.3530311437473705E-2</v>
      </c>
    </row>
    <row r="324" spans="1:20" x14ac:dyDescent="0.3">
      <c r="A324" s="2" t="s">
        <v>1168</v>
      </c>
      <c r="B324" s="6" t="s">
        <v>1038</v>
      </c>
      <c r="C324" s="2" t="s">
        <v>422</v>
      </c>
      <c r="D324" s="2" t="s">
        <v>423</v>
      </c>
      <c r="E324" s="8">
        <v>419435.0831333333</v>
      </c>
      <c r="F324" s="8">
        <v>242689.67143333331</v>
      </c>
      <c r="G324" s="8">
        <v>107.20699999999999</v>
      </c>
      <c r="J324">
        <v>419435.05229999998</v>
      </c>
      <c r="K324">
        <v>242689.6685</v>
      </c>
      <c r="L324">
        <v>107.06950000000001</v>
      </c>
      <c r="M324" s="3">
        <f t="shared" si="42"/>
        <v>-3.0833333323244005E-2</v>
      </c>
      <c r="N324" s="3">
        <f t="shared" si="43"/>
        <v>-2.9333333077374846E-3</v>
      </c>
      <c r="O324" s="3">
        <f t="shared" si="44"/>
        <v>0.13749999999998863</v>
      </c>
      <c r="P324">
        <f t="shared" si="45"/>
        <v>9.5069444382226928E-4</v>
      </c>
      <c r="Q324">
        <f t="shared" si="46"/>
        <v>8.6044442942821315E-6</v>
      </c>
      <c r="R324">
        <f t="shared" si="47"/>
        <v>1.8906249999996873E-2</v>
      </c>
      <c r="S324">
        <f t="shared" si="48"/>
        <v>9.5929888811655136E-4</v>
      </c>
      <c r="T324">
        <f t="shared" si="49"/>
        <v>3.0972550558785943E-2</v>
      </c>
    </row>
    <row r="325" spans="1:20" x14ac:dyDescent="0.3">
      <c r="A325" s="2" t="s">
        <v>1168</v>
      </c>
      <c r="B325" s="6" t="s">
        <v>1039</v>
      </c>
      <c r="C325" s="2" t="s">
        <v>20</v>
      </c>
      <c r="D325" s="2" t="s">
        <v>30</v>
      </c>
      <c r="E325">
        <v>414786.04479999997</v>
      </c>
      <c r="F325">
        <v>247961.7034</v>
      </c>
      <c r="G325">
        <v>119.56099999999999</v>
      </c>
      <c r="J325">
        <v>414786.0638</v>
      </c>
      <c r="K325">
        <v>247961.72150000001</v>
      </c>
      <c r="L325">
        <v>119.629</v>
      </c>
      <c r="M325" s="3">
        <f t="shared" si="42"/>
        <v>1.9000000029336661E-2</v>
      </c>
      <c r="N325" s="3">
        <f t="shared" si="43"/>
        <v>1.8100000015692785E-2</v>
      </c>
      <c r="O325" s="3">
        <f t="shared" si="44"/>
        <v>6.8000000000012051E-2</v>
      </c>
      <c r="P325">
        <f t="shared" si="45"/>
        <v>3.6100000111479315E-4</v>
      </c>
      <c r="Q325">
        <f t="shared" si="46"/>
        <v>3.2761000056807883E-4</v>
      </c>
      <c r="R325">
        <f t="shared" si="47"/>
        <v>4.624000000001639E-3</v>
      </c>
      <c r="S325">
        <f t="shared" si="48"/>
        <v>6.8861000168287203E-4</v>
      </c>
      <c r="T325">
        <f t="shared" si="49"/>
        <v>2.6241379568972208E-2</v>
      </c>
    </row>
    <row r="326" spans="1:20" x14ac:dyDescent="0.3">
      <c r="A326" s="2" t="s">
        <v>1168</v>
      </c>
      <c r="B326" s="6" t="s">
        <v>1039</v>
      </c>
      <c r="C326" s="2" t="s">
        <v>20</v>
      </c>
      <c r="D326" s="2" t="s">
        <v>21</v>
      </c>
      <c r="E326" s="8">
        <v>414786.04086666671</v>
      </c>
      <c r="F326" s="8">
        <v>247961.70323333333</v>
      </c>
      <c r="G326" s="8">
        <v>119.57133333333333</v>
      </c>
      <c r="J326">
        <v>414786.0638</v>
      </c>
      <c r="K326">
        <v>247961.72150000001</v>
      </c>
      <c r="L326">
        <v>119.629</v>
      </c>
      <c r="M326" s="3">
        <f t="shared" si="42"/>
        <v>2.2933333297260106E-2</v>
      </c>
      <c r="N326" s="3">
        <f t="shared" si="43"/>
        <v>1.8266666680574417E-2</v>
      </c>
      <c r="O326" s="3">
        <f t="shared" si="44"/>
        <v>5.7666666666676747E-2</v>
      </c>
      <c r="P326">
        <f t="shared" si="45"/>
        <v>5.2593777612321905E-4</v>
      </c>
      <c r="Q326">
        <f t="shared" si="46"/>
        <v>3.3367111161920759E-4</v>
      </c>
      <c r="R326">
        <f t="shared" si="47"/>
        <v>3.3254444444456069E-3</v>
      </c>
      <c r="S326">
        <f t="shared" si="48"/>
        <v>8.5960888774242665E-4</v>
      </c>
      <c r="T326">
        <f t="shared" si="49"/>
        <v>2.9319087430246301E-2</v>
      </c>
    </row>
    <row r="327" spans="1:20" x14ac:dyDescent="0.3">
      <c r="A327" s="2" t="s">
        <v>1168</v>
      </c>
      <c r="B327" s="6" t="s">
        <v>1040</v>
      </c>
      <c r="C327" s="2" t="s">
        <v>20</v>
      </c>
      <c r="D327" s="2" t="s">
        <v>110</v>
      </c>
      <c r="E327" s="8">
        <v>414786.04306666669</v>
      </c>
      <c r="F327" s="8">
        <v>247961.7053</v>
      </c>
      <c r="G327" s="8">
        <v>119.57166666666667</v>
      </c>
      <c r="J327">
        <v>414786.0638</v>
      </c>
      <c r="K327">
        <v>247961.72150000001</v>
      </c>
      <c r="L327">
        <v>119.629</v>
      </c>
      <c r="M327" s="3">
        <f t="shared" si="42"/>
        <v>2.0733333309181035E-2</v>
      </c>
      <c r="N327" s="3">
        <f t="shared" si="43"/>
        <v>1.6200000012759119E-2</v>
      </c>
      <c r="O327" s="3">
        <f t="shared" si="44"/>
        <v>5.7333333333332348E-2</v>
      </c>
      <c r="P327">
        <f t="shared" si="45"/>
        <v>4.2987111010959578E-4</v>
      </c>
      <c r="Q327">
        <f t="shared" si="46"/>
        <v>2.6244000041339546E-4</v>
      </c>
      <c r="R327">
        <f t="shared" si="47"/>
        <v>3.2871111111109981E-3</v>
      </c>
      <c r="S327">
        <f t="shared" si="48"/>
        <v>6.9231111052299129E-4</v>
      </c>
      <c r="T327">
        <f t="shared" si="49"/>
        <v>2.631180553521539E-2</v>
      </c>
    </row>
    <row r="328" spans="1:20" x14ac:dyDescent="0.3">
      <c r="A328" s="2" t="s">
        <v>1168</v>
      </c>
      <c r="B328" s="6" t="s">
        <v>1040</v>
      </c>
      <c r="C328" s="2" t="s">
        <v>20</v>
      </c>
      <c r="D328" s="2" t="s">
        <v>37</v>
      </c>
      <c r="E328" s="8">
        <v>414786.038</v>
      </c>
      <c r="F328" s="8">
        <v>247961.70406666666</v>
      </c>
      <c r="G328" s="8">
        <v>119.56333333333333</v>
      </c>
      <c r="J328">
        <v>414786.0638</v>
      </c>
      <c r="K328">
        <v>247961.72150000001</v>
      </c>
      <c r="L328">
        <v>119.629</v>
      </c>
      <c r="M328" s="3">
        <f t="shared" si="42"/>
        <v>2.5800000003073364E-2</v>
      </c>
      <c r="N328" s="3">
        <f t="shared" si="43"/>
        <v>1.7433333356166258E-2</v>
      </c>
      <c r="O328" s="3">
        <f t="shared" si="44"/>
        <v>6.5666666666672313E-2</v>
      </c>
      <c r="P328">
        <f t="shared" si="45"/>
        <v>6.656400001585856E-4</v>
      </c>
      <c r="Q328">
        <f t="shared" si="46"/>
        <v>3.0392111190721908E-4</v>
      </c>
      <c r="R328">
        <f t="shared" si="47"/>
        <v>4.3121111111118528E-3</v>
      </c>
      <c r="S328">
        <f t="shared" si="48"/>
        <v>9.6956111206580463E-4</v>
      </c>
      <c r="T328">
        <f t="shared" si="49"/>
        <v>3.1137776286462793E-2</v>
      </c>
    </row>
    <row r="329" spans="1:20" x14ac:dyDescent="0.3">
      <c r="A329" s="2" t="s">
        <v>1168</v>
      </c>
      <c r="B329" s="6" t="s">
        <v>1040</v>
      </c>
      <c r="C329" s="2" t="s">
        <v>20</v>
      </c>
      <c r="D329" s="2" t="s">
        <v>46</v>
      </c>
      <c r="E329" s="8">
        <v>414786.03813333326</v>
      </c>
      <c r="F329" s="8">
        <v>247961.70663333332</v>
      </c>
      <c r="G329" s="8">
        <v>119.57166666666667</v>
      </c>
      <c r="J329">
        <v>414786.0638</v>
      </c>
      <c r="K329">
        <v>247961.72150000001</v>
      </c>
      <c r="L329">
        <v>119.629</v>
      </c>
      <c r="M329" s="3">
        <f t="shared" si="42"/>
        <v>2.5666666741017252E-2</v>
      </c>
      <c r="N329" s="3">
        <f t="shared" si="43"/>
        <v>1.4866666693706065E-2</v>
      </c>
      <c r="O329" s="3">
        <f t="shared" si="44"/>
        <v>5.7333333333332348E-2</v>
      </c>
      <c r="P329">
        <f t="shared" si="45"/>
        <v>6.5877778159444123E-4</v>
      </c>
      <c r="Q329">
        <f t="shared" si="46"/>
        <v>2.2101777858174923E-4</v>
      </c>
      <c r="R329">
        <f t="shared" si="47"/>
        <v>3.2871111111109981E-3</v>
      </c>
      <c r="S329">
        <f t="shared" si="48"/>
        <v>8.7979556017619043E-4</v>
      </c>
      <c r="T329">
        <f t="shared" si="49"/>
        <v>2.9661347915699826E-2</v>
      </c>
    </row>
    <row r="330" spans="1:20" x14ac:dyDescent="0.3">
      <c r="A330" s="2" t="s">
        <v>1168</v>
      </c>
      <c r="B330" s="6" t="s">
        <v>1040</v>
      </c>
      <c r="C330" s="2" t="s">
        <v>51</v>
      </c>
      <c r="D330" s="2" t="s">
        <v>63</v>
      </c>
      <c r="E330" s="8">
        <v>414786.04333333328</v>
      </c>
      <c r="F330" s="8">
        <v>247961.69499999998</v>
      </c>
      <c r="G330" s="8">
        <v>119.55166666666666</v>
      </c>
      <c r="J330">
        <v>414786.0638</v>
      </c>
      <c r="K330">
        <v>247961.72150000001</v>
      </c>
      <c r="L330">
        <v>119.629</v>
      </c>
      <c r="M330" s="3">
        <f t="shared" si="42"/>
        <v>2.0466666726861149E-2</v>
      </c>
      <c r="N330" s="3">
        <f t="shared" si="43"/>
        <v>2.650000003632158E-2</v>
      </c>
      <c r="O330" s="3">
        <f t="shared" si="44"/>
        <v>7.733333333334258E-2</v>
      </c>
      <c r="P330">
        <f t="shared" si="45"/>
        <v>4.1888444690840526E-4</v>
      </c>
      <c r="Q330">
        <f t="shared" si="46"/>
        <v>7.0225000192504375E-4</v>
      </c>
      <c r="R330">
        <f t="shared" si="47"/>
        <v>5.9804444444458748E-3</v>
      </c>
      <c r="S330">
        <f t="shared" si="48"/>
        <v>1.1211344488334489E-3</v>
      </c>
      <c r="T330">
        <f t="shared" si="49"/>
        <v>3.3483345842873123E-2</v>
      </c>
    </row>
    <row r="331" spans="1:20" x14ac:dyDescent="0.3">
      <c r="A331" s="2" t="s">
        <v>1168</v>
      </c>
      <c r="B331" s="6" t="s">
        <v>1040</v>
      </c>
      <c r="C331" s="2" t="s">
        <v>51</v>
      </c>
      <c r="D331" s="2" t="s">
        <v>30</v>
      </c>
      <c r="E331" s="8">
        <v>414786.05159999995</v>
      </c>
      <c r="F331" s="8">
        <v>247961.69273333333</v>
      </c>
      <c r="G331" s="8">
        <v>119.544</v>
      </c>
      <c r="J331">
        <v>414786.0638</v>
      </c>
      <c r="K331">
        <v>247961.72150000001</v>
      </c>
      <c r="L331">
        <v>119.629</v>
      </c>
      <c r="M331" s="3">
        <f t="shared" si="42"/>
        <v>1.2200000055599958E-2</v>
      </c>
      <c r="N331" s="3">
        <f t="shared" si="43"/>
        <v>2.8766666684532538E-2</v>
      </c>
      <c r="O331" s="3">
        <f t="shared" si="44"/>
        <v>8.5000000000007958E-2</v>
      </c>
      <c r="P331">
        <f t="shared" si="45"/>
        <v>1.4884000135663897E-4</v>
      </c>
      <c r="Q331">
        <f t="shared" si="46"/>
        <v>8.2752111213899428E-4</v>
      </c>
      <c r="R331">
        <f t="shared" si="47"/>
        <v>7.2250000000013527E-3</v>
      </c>
      <c r="S331">
        <f t="shared" si="48"/>
        <v>9.7636111349563327E-4</v>
      </c>
      <c r="T331">
        <f t="shared" si="49"/>
        <v>3.1246777649793479E-2</v>
      </c>
    </row>
    <row r="332" spans="1:20" x14ac:dyDescent="0.3">
      <c r="A332" s="2" t="s">
        <v>1168</v>
      </c>
      <c r="B332" s="6" t="s">
        <v>1040</v>
      </c>
      <c r="C332" s="2" t="s">
        <v>51</v>
      </c>
      <c r="D332" s="2" t="s">
        <v>52</v>
      </c>
      <c r="E332" s="8">
        <v>414786.03613333334</v>
      </c>
      <c r="F332" s="8">
        <v>247961.7113</v>
      </c>
      <c r="G332" s="8">
        <v>119.53866666666666</v>
      </c>
      <c r="J332">
        <v>414786.0638</v>
      </c>
      <c r="K332">
        <v>247961.72150000001</v>
      </c>
      <c r="L332">
        <v>119.629</v>
      </c>
      <c r="M332" s="3">
        <f t="shared" si="42"/>
        <v>2.7666666661389172E-2</v>
      </c>
      <c r="N332" s="3">
        <f t="shared" si="43"/>
        <v>1.0200000018812716E-2</v>
      </c>
      <c r="O332" s="3">
        <f t="shared" si="44"/>
        <v>9.0333333333347809E-2</v>
      </c>
      <c r="P332">
        <f t="shared" si="45"/>
        <v>7.6544444415242306E-4</v>
      </c>
      <c r="Q332">
        <f t="shared" si="46"/>
        <v>1.0404000038377941E-4</v>
      </c>
      <c r="R332">
        <f t="shared" si="47"/>
        <v>8.160111111113727E-3</v>
      </c>
      <c r="S332">
        <f t="shared" si="48"/>
        <v>8.6948444453620246E-4</v>
      </c>
      <c r="T332">
        <f t="shared" si="49"/>
        <v>2.9487021628781068E-2</v>
      </c>
    </row>
    <row r="333" spans="1:20" x14ac:dyDescent="0.3">
      <c r="A333" s="2" t="s">
        <v>1168</v>
      </c>
      <c r="B333" s="6" t="s">
        <v>1040</v>
      </c>
      <c r="C333" s="2" t="s">
        <v>422</v>
      </c>
      <c r="D333" s="2" t="s">
        <v>423</v>
      </c>
      <c r="E333" s="8">
        <v>414786.05226666667</v>
      </c>
      <c r="F333" s="8">
        <v>247961.71433333334</v>
      </c>
      <c r="G333" s="8">
        <v>119.62966666666667</v>
      </c>
      <c r="J333">
        <v>414786.0638</v>
      </c>
      <c r="K333">
        <v>247961.72150000001</v>
      </c>
      <c r="L333">
        <v>119.629</v>
      </c>
      <c r="M333" s="3">
        <f t="shared" si="42"/>
        <v>1.153333333786577E-2</v>
      </c>
      <c r="N333" s="3">
        <f t="shared" si="43"/>
        <v>7.1666666772216558E-3</v>
      </c>
      <c r="O333" s="3">
        <f t="shared" si="44"/>
        <v>6.6666666666037599E-4</v>
      </c>
      <c r="P333">
        <f t="shared" si="45"/>
        <v>1.3301777788232597E-4</v>
      </c>
      <c r="Q333">
        <f t="shared" si="46"/>
        <v>5.1361111262399289E-5</v>
      </c>
      <c r="R333">
        <f t="shared" si="47"/>
        <v>4.444444444360569E-7</v>
      </c>
      <c r="S333">
        <f t="shared" si="48"/>
        <v>1.8437888914472526E-4</v>
      </c>
      <c r="T333">
        <f t="shared" si="49"/>
        <v>1.3578618823161848E-2</v>
      </c>
    </row>
    <row r="334" spans="1:20" x14ac:dyDescent="0.3">
      <c r="A334" s="2" t="s">
        <v>1168</v>
      </c>
      <c r="B334" s="6" t="s">
        <v>1041</v>
      </c>
      <c r="C334" s="2" t="s">
        <v>20</v>
      </c>
      <c r="D334" s="2" t="s">
        <v>30</v>
      </c>
      <c r="E334" s="8">
        <v>409880.08996666665</v>
      </c>
      <c r="F334" s="8">
        <v>255681.3716333333</v>
      </c>
      <c r="G334" s="8">
        <v>132.31733333333332</v>
      </c>
      <c r="J334">
        <v>409880.09299999999</v>
      </c>
      <c r="K334">
        <v>255681.3786</v>
      </c>
      <c r="L334">
        <v>132.32380000000001</v>
      </c>
      <c r="M334" s="3">
        <f t="shared" si="42"/>
        <v>3.0333333415910602E-3</v>
      </c>
      <c r="N334" s="3">
        <f t="shared" si="43"/>
        <v>6.966666696825996E-3</v>
      </c>
      <c r="O334" s="3">
        <f t="shared" si="44"/>
        <v>6.4666666666823858E-3</v>
      </c>
      <c r="P334">
        <f t="shared" si="45"/>
        <v>9.2011111612079873E-6</v>
      </c>
      <c r="Q334">
        <f t="shared" si="46"/>
        <v>4.8534444864664434E-5</v>
      </c>
      <c r="R334">
        <f t="shared" si="47"/>
        <v>4.1817777777981075E-5</v>
      </c>
      <c r="S334">
        <f t="shared" si="48"/>
        <v>5.7735556025872421E-5</v>
      </c>
      <c r="T334">
        <f t="shared" si="49"/>
        <v>7.5983916736288622E-3</v>
      </c>
    </row>
    <row r="335" spans="1:20" x14ac:dyDescent="0.3">
      <c r="A335" s="2" t="s">
        <v>1168</v>
      </c>
      <c r="B335" s="6" t="s">
        <v>1041</v>
      </c>
      <c r="C335" s="2" t="s">
        <v>20</v>
      </c>
      <c r="D335" s="2" t="s">
        <v>21</v>
      </c>
      <c r="E335" s="8">
        <v>409880.08963333332</v>
      </c>
      <c r="F335" s="8">
        <v>255681.36763333334</v>
      </c>
      <c r="G335" s="8">
        <v>132.29966666666667</v>
      </c>
      <c r="J335">
        <v>409880.09299999999</v>
      </c>
      <c r="K335">
        <v>255681.3786</v>
      </c>
      <c r="L335">
        <v>132.32380000000001</v>
      </c>
      <c r="M335" s="3">
        <f t="shared" si="42"/>
        <v>3.3666666713543236E-3</v>
      </c>
      <c r="N335" s="3">
        <f t="shared" si="43"/>
        <v>1.0966666653985158E-2</v>
      </c>
      <c r="O335" s="3">
        <f t="shared" si="44"/>
        <v>2.4133333333338669E-2</v>
      </c>
      <c r="P335">
        <f t="shared" si="45"/>
        <v>1.1334444476008001E-5</v>
      </c>
      <c r="Q335">
        <f t="shared" si="46"/>
        <v>1.2026777749963002E-4</v>
      </c>
      <c r="R335">
        <f t="shared" si="47"/>
        <v>5.8241777777803534E-4</v>
      </c>
      <c r="S335">
        <f t="shared" si="48"/>
        <v>1.3160222197563802E-4</v>
      </c>
      <c r="T335">
        <f t="shared" si="49"/>
        <v>1.1471801165276446E-2</v>
      </c>
    </row>
    <row r="336" spans="1:20" x14ac:dyDescent="0.3">
      <c r="A336" s="2" t="s">
        <v>1168</v>
      </c>
      <c r="B336" s="6" t="s">
        <v>1042</v>
      </c>
      <c r="C336" s="2" t="s">
        <v>20</v>
      </c>
      <c r="D336" s="2" t="s">
        <v>37</v>
      </c>
      <c r="E336" s="8">
        <v>409880.0895</v>
      </c>
      <c r="F336" s="8">
        <v>255681.36633333334</v>
      </c>
      <c r="G336" s="8">
        <v>132.29233333333335</v>
      </c>
      <c r="J336">
        <v>409880.09299999999</v>
      </c>
      <c r="K336">
        <v>255681.3786</v>
      </c>
      <c r="L336">
        <v>132.32380000000001</v>
      </c>
      <c r="M336" s="3">
        <f t="shared" si="42"/>
        <v>3.4999999916180968E-3</v>
      </c>
      <c r="N336" s="3">
        <f t="shared" si="43"/>
        <v>1.2266666657524183E-2</v>
      </c>
      <c r="O336" s="3">
        <f t="shared" si="44"/>
        <v>3.1466666666659648E-2</v>
      </c>
      <c r="P336">
        <f t="shared" si="45"/>
        <v>1.2249999941326678E-5</v>
      </c>
      <c r="Q336">
        <f t="shared" si="46"/>
        <v>1.5047111088681552E-4</v>
      </c>
      <c r="R336">
        <f t="shared" si="47"/>
        <v>9.9015111111066937E-4</v>
      </c>
      <c r="S336">
        <f t="shared" si="48"/>
        <v>1.6272111082814219E-4</v>
      </c>
      <c r="T336">
        <f t="shared" si="49"/>
        <v>1.2756218516007877E-2</v>
      </c>
    </row>
    <row r="337" spans="1:20" x14ac:dyDescent="0.3">
      <c r="A337" s="2" t="s">
        <v>1168</v>
      </c>
      <c r="B337" s="6" t="s">
        <v>1042</v>
      </c>
      <c r="C337" s="2" t="s">
        <v>20</v>
      </c>
      <c r="D337" s="2" t="s">
        <v>46</v>
      </c>
      <c r="E337" s="8">
        <v>409880.09150000004</v>
      </c>
      <c r="F337" s="8">
        <v>255681.37316666669</v>
      </c>
      <c r="G337" s="8">
        <v>132.31033333333335</v>
      </c>
      <c r="J337">
        <v>409880.09299999999</v>
      </c>
      <c r="K337">
        <v>255681.3786</v>
      </c>
      <c r="L337">
        <v>132.32380000000001</v>
      </c>
      <c r="M337" s="3">
        <f t="shared" si="42"/>
        <v>1.4999999548308551E-3</v>
      </c>
      <c r="N337" s="3">
        <f t="shared" si="43"/>
        <v>5.433333310065791E-3</v>
      </c>
      <c r="O337" s="3">
        <f t="shared" si="44"/>
        <v>1.3466666666658966E-2</v>
      </c>
      <c r="P337">
        <f t="shared" si="45"/>
        <v>2.2499998644925674E-6</v>
      </c>
      <c r="Q337">
        <f t="shared" si="46"/>
        <v>2.9521110858270484E-5</v>
      </c>
      <c r="R337">
        <f t="shared" si="47"/>
        <v>1.8135111111090371E-4</v>
      </c>
      <c r="S337">
        <f t="shared" si="48"/>
        <v>3.1771110722763048E-5</v>
      </c>
      <c r="T337">
        <f t="shared" si="49"/>
        <v>5.6365867972349229E-3</v>
      </c>
    </row>
    <row r="338" spans="1:20" x14ac:dyDescent="0.3">
      <c r="A338" s="2" t="s">
        <v>1168</v>
      </c>
      <c r="B338" s="6" t="s">
        <v>1042</v>
      </c>
      <c r="C338" s="2" t="s">
        <v>51</v>
      </c>
      <c r="D338" s="2" t="s">
        <v>63</v>
      </c>
      <c r="E338" s="8">
        <v>409880.08019999997</v>
      </c>
      <c r="F338" s="8">
        <v>255681.37456666669</v>
      </c>
      <c r="G338" s="8">
        <v>132.27933333333331</v>
      </c>
      <c r="J338">
        <v>409880.09299999999</v>
      </c>
      <c r="K338">
        <v>255681.3786</v>
      </c>
      <c r="L338">
        <v>132.32380000000001</v>
      </c>
      <c r="M338" s="3">
        <f t="shared" si="42"/>
        <v>1.2800000025890768E-2</v>
      </c>
      <c r="N338" s="3">
        <f t="shared" si="43"/>
        <v>4.0333333017770201E-3</v>
      </c>
      <c r="O338" s="3">
        <f t="shared" si="44"/>
        <v>4.44666666666933E-2</v>
      </c>
      <c r="P338">
        <f t="shared" si="45"/>
        <v>1.6384000066280364E-4</v>
      </c>
      <c r="Q338">
        <f t="shared" si="46"/>
        <v>1.6267777523223518E-5</v>
      </c>
      <c r="R338">
        <f t="shared" si="47"/>
        <v>1.9772844444468128E-3</v>
      </c>
      <c r="S338">
        <f t="shared" si="48"/>
        <v>1.8010777818602716E-4</v>
      </c>
      <c r="T338">
        <f t="shared" si="49"/>
        <v>1.3420423919758539E-2</v>
      </c>
    </row>
    <row r="339" spans="1:20" x14ac:dyDescent="0.3">
      <c r="A339" s="2" t="s">
        <v>1168</v>
      </c>
      <c r="B339" s="6" t="s">
        <v>1042</v>
      </c>
      <c r="C339" s="2" t="s">
        <v>51</v>
      </c>
      <c r="D339" s="2" t="s">
        <v>30</v>
      </c>
      <c r="E339" s="8">
        <v>409880.09666666668</v>
      </c>
      <c r="F339" s="8">
        <v>255681.38973333334</v>
      </c>
      <c r="G339" s="8">
        <v>132.227</v>
      </c>
      <c r="J339">
        <v>409880.09299999999</v>
      </c>
      <c r="K339">
        <v>255681.3786</v>
      </c>
      <c r="L339">
        <v>132.32380000000001</v>
      </c>
      <c r="M339" s="3">
        <f t="shared" si="42"/>
        <v>-3.666666685603559E-3</v>
      </c>
      <c r="N339" s="3">
        <f t="shared" si="43"/>
        <v>-1.113333334797062E-2</v>
      </c>
      <c r="O339" s="3">
        <f t="shared" si="44"/>
        <v>9.6800000000001774E-2</v>
      </c>
      <c r="P339">
        <f t="shared" si="45"/>
        <v>1.3444444583314989E-5</v>
      </c>
      <c r="Q339">
        <f t="shared" si="46"/>
        <v>1.239511114370347E-4</v>
      </c>
      <c r="R339">
        <f t="shared" si="47"/>
        <v>9.3702400000003436E-3</v>
      </c>
      <c r="S339">
        <f t="shared" si="48"/>
        <v>1.3739555602034967E-4</v>
      </c>
      <c r="T339">
        <f t="shared" si="49"/>
        <v>1.172158504726855E-2</v>
      </c>
    </row>
    <row r="340" spans="1:20" x14ac:dyDescent="0.3">
      <c r="A340" s="2" t="s">
        <v>1168</v>
      </c>
      <c r="B340" s="6" t="s">
        <v>1042</v>
      </c>
      <c r="C340" s="2" t="s">
        <v>51</v>
      </c>
      <c r="D340" s="2" t="s">
        <v>52</v>
      </c>
      <c r="E340" s="8">
        <v>409880.09423333331</v>
      </c>
      <c r="F340" s="8">
        <v>255681.36600000001</v>
      </c>
      <c r="G340" s="8">
        <v>132.25866666666667</v>
      </c>
      <c r="J340">
        <v>409880.09299999999</v>
      </c>
      <c r="K340">
        <v>255681.3786</v>
      </c>
      <c r="L340">
        <v>132.32380000000001</v>
      </c>
      <c r="M340" s="3">
        <f t="shared" si="42"/>
        <v>-1.2333333143033087E-3</v>
      </c>
      <c r="N340" s="3">
        <f t="shared" si="43"/>
        <v>1.2599999987287447E-2</v>
      </c>
      <c r="O340" s="3">
        <f t="shared" si="44"/>
        <v>6.5133333333335486E-2</v>
      </c>
      <c r="P340">
        <f t="shared" si="45"/>
        <v>1.5211110641703841E-6</v>
      </c>
      <c r="Q340">
        <f t="shared" si="46"/>
        <v>1.5875999967964366E-4</v>
      </c>
      <c r="R340">
        <f t="shared" si="47"/>
        <v>4.2423511111113919E-3</v>
      </c>
      <c r="S340">
        <f t="shared" si="48"/>
        <v>1.6028111074381404E-4</v>
      </c>
      <c r="T340">
        <f t="shared" si="49"/>
        <v>1.266021764203973E-2</v>
      </c>
    </row>
    <row r="341" spans="1:20" x14ac:dyDescent="0.3">
      <c r="A341" s="2" t="s">
        <v>1168</v>
      </c>
      <c r="B341" s="6" t="s">
        <v>1042</v>
      </c>
      <c r="C341" s="2" t="s">
        <v>422</v>
      </c>
      <c r="D341" s="2" t="s">
        <v>423</v>
      </c>
      <c r="E341" s="8">
        <v>409880.06536666671</v>
      </c>
      <c r="F341" s="8">
        <v>255681.38583333333</v>
      </c>
      <c r="G341" s="8">
        <v>132.54599999999996</v>
      </c>
      <c r="J341">
        <v>409880.09299999999</v>
      </c>
      <c r="K341">
        <v>255681.3786</v>
      </c>
      <c r="L341">
        <v>132.32380000000001</v>
      </c>
      <c r="M341" s="3">
        <f t="shared" si="42"/>
        <v>2.7633333287667483E-2</v>
      </c>
      <c r="N341" s="3">
        <f t="shared" si="43"/>
        <v>-7.2333333373535424E-3</v>
      </c>
      <c r="O341" s="3">
        <f t="shared" si="44"/>
        <v>0.22219999999995821</v>
      </c>
      <c r="P341">
        <f t="shared" si="45"/>
        <v>7.6360110858731181E-4</v>
      </c>
      <c r="Q341">
        <f t="shared" si="46"/>
        <v>5.2321111169270135E-5</v>
      </c>
      <c r="R341">
        <f t="shared" si="47"/>
        <v>4.9372839999981426E-2</v>
      </c>
      <c r="S341">
        <f t="shared" si="48"/>
        <v>8.1592221975658192E-4</v>
      </c>
      <c r="T341">
        <f t="shared" si="49"/>
        <v>2.8564352255155058E-2</v>
      </c>
    </row>
    <row r="342" spans="1:20" x14ac:dyDescent="0.3">
      <c r="A342" s="2" t="s">
        <v>1168</v>
      </c>
      <c r="B342" s="6" t="s">
        <v>1042</v>
      </c>
      <c r="C342" s="2" t="s">
        <v>20</v>
      </c>
      <c r="D342" s="2" t="s">
        <v>110</v>
      </c>
      <c r="E342" s="8">
        <v>409880.08713333332</v>
      </c>
      <c r="F342" s="8">
        <v>255681.38920000001</v>
      </c>
      <c r="G342" s="8">
        <v>132.26866666666666</v>
      </c>
      <c r="J342">
        <v>409880.09299999999</v>
      </c>
      <c r="K342">
        <v>255681.3786</v>
      </c>
      <c r="L342">
        <v>132.32380000000001</v>
      </c>
      <c r="M342" s="3">
        <f t="shared" si="42"/>
        <v>5.8666666736826301E-3</v>
      </c>
      <c r="N342" s="3">
        <f t="shared" si="43"/>
        <v>-1.0600000008707866E-2</v>
      </c>
      <c r="O342" s="3">
        <f t="shared" si="44"/>
        <v>5.5133333333344581E-2</v>
      </c>
      <c r="P342">
        <f t="shared" si="45"/>
        <v>3.4417777860098415E-5</v>
      </c>
      <c r="Q342">
        <f t="shared" si="46"/>
        <v>1.1236000018460677E-4</v>
      </c>
      <c r="R342">
        <f t="shared" si="47"/>
        <v>3.0396844444456846E-3</v>
      </c>
      <c r="S342">
        <f t="shared" si="48"/>
        <v>1.4677777804470517E-4</v>
      </c>
      <c r="T342">
        <f t="shared" si="49"/>
        <v>1.2115187907940396E-2</v>
      </c>
    </row>
    <row r="343" spans="1:20" x14ac:dyDescent="0.3">
      <c r="A343" s="2" t="s">
        <v>1168</v>
      </c>
      <c r="B343" s="6" t="s">
        <v>1043</v>
      </c>
      <c r="C343" s="2" t="s">
        <v>20</v>
      </c>
      <c r="D343" s="2" t="s">
        <v>110</v>
      </c>
      <c r="E343" s="8">
        <v>402856.8061333333</v>
      </c>
      <c r="F343" s="8">
        <v>272179.1142666667</v>
      </c>
      <c r="G343" s="8">
        <v>162.702</v>
      </c>
      <c r="J343">
        <v>402856.82049999997</v>
      </c>
      <c r="K343">
        <v>272179.10820000002</v>
      </c>
      <c r="L343">
        <v>162.74430000000001</v>
      </c>
      <c r="M343" s="3">
        <f t="shared" si="42"/>
        <v>1.436666666995734E-2</v>
      </c>
      <c r="N343" s="3">
        <f t="shared" si="43"/>
        <v>-6.0666666831821203E-3</v>
      </c>
      <c r="O343" s="3">
        <f t="shared" si="44"/>
        <v>4.2300000000011551E-2</v>
      </c>
      <c r="P343">
        <f t="shared" si="45"/>
        <v>2.064011112056631E-4</v>
      </c>
      <c r="Q343">
        <f t="shared" si="46"/>
        <v>3.6804444644831949E-5</v>
      </c>
      <c r="R343">
        <f t="shared" si="47"/>
        <v>1.7892900000009771E-3</v>
      </c>
      <c r="S343">
        <f t="shared" si="48"/>
        <v>2.4320555585049505E-4</v>
      </c>
      <c r="T343">
        <f t="shared" si="49"/>
        <v>1.5595049081374995E-2</v>
      </c>
    </row>
    <row r="344" spans="1:20" x14ac:dyDescent="0.3">
      <c r="A344" s="2" t="s">
        <v>1168</v>
      </c>
      <c r="B344" s="6" t="s">
        <v>1043</v>
      </c>
      <c r="C344" s="2" t="s">
        <v>20</v>
      </c>
      <c r="D344" s="2" t="s">
        <v>30</v>
      </c>
      <c r="E344" s="8">
        <v>402856.81456666667</v>
      </c>
      <c r="F344" s="8">
        <v>272179.12576666666</v>
      </c>
      <c r="G344" s="8">
        <v>162.71833333333333</v>
      </c>
      <c r="J344">
        <v>402856.82049999997</v>
      </c>
      <c r="K344">
        <v>272179.10820000002</v>
      </c>
      <c r="L344">
        <v>162.74430000000001</v>
      </c>
      <c r="M344" s="3">
        <f t="shared" si="42"/>
        <v>5.9333333047106862E-3</v>
      </c>
      <c r="N344" s="3">
        <f t="shared" si="43"/>
        <v>-1.7566666647326201E-2</v>
      </c>
      <c r="O344" s="3">
        <f t="shared" si="44"/>
        <v>2.5966666666676019E-2</v>
      </c>
      <c r="P344">
        <f t="shared" si="45"/>
        <v>3.5204444104789033E-5</v>
      </c>
      <c r="Q344">
        <f t="shared" si="46"/>
        <v>3.0858777709828278E-4</v>
      </c>
      <c r="R344">
        <f t="shared" si="47"/>
        <v>6.7426777777826344E-4</v>
      </c>
      <c r="S344">
        <f t="shared" si="48"/>
        <v>3.437922212030718E-4</v>
      </c>
      <c r="T344">
        <f t="shared" si="49"/>
        <v>1.8541634803950588E-2</v>
      </c>
    </row>
    <row r="345" spans="1:20" x14ac:dyDescent="0.3">
      <c r="A345" s="2" t="s">
        <v>1168</v>
      </c>
      <c r="B345" s="6" t="s">
        <v>1044</v>
      </c>
      <c r="C345" s="2" t="s">
        <v>20</v>
      </c>
      <c r="D345" s="2" t="s">
        <v>21</v>
      </c>
      <c r="E345" s="8">
        <v>402856.80806666665</v>
      </c>
      <c r="F345" s="8">
        <v>272179.13166666665</v>
      </c>
      <c r="G345" s="8">
        <v>162.75266666666667</v>
      </c>
      <c r="J345">
        <v>402856.82049999997</v>
      </c>
      <c r="K345">
        <v>272179.10820000002</v>
      </c>
      <c r="L345">
        <v>162.74430000000001</v>
      </c>
      <c r="M345" s="3">
        <f t="shared" si="42"/>
        <v>1.2433333322405815E-2</v>
      </c>
      <c r="N345" s="3">
        <f t="shared" si="43"/>
        <v>-2.3466666636522859E-2</v>
      </c>
      <c r="O345" s="3">
        <f t="shared" si="44"/>
        <v>8.3666666666601941E-3</v>
      </c>
      <c r="P345">
        <f t="shared" si="45"/>
        <v>1.5458777750604683E-4</v>
      </c>
      <c r="Q345">
        <f t="shared" si="46"/>
        <v>5.5068444302969514E-4</v>
      </c>
      <c r="R345">
        <f t="shared" si="47"/>
        <v>7.00011111110028E-5</v>
      </c>
      <c r="S345">
        <f t="shared" si="48"/>
        <v>7.0527222053574196E-4</v>
      </c>
      <c r="T345">
        <f t="shared" si="49"/>
        <v>2.6556961809208184E-2</v>
      </c>
    </row>
    <row r="346" spans="1:20" x14ac:dyDescent="0.3">
      <c r="A346" s="2" t="s">
        <v>1168</v>
      </c>
      <c r="B346" s="6" t="s">
        <v>1044</v>
      </c>
      <c r="C346" s="2" t="s">
        <v>20</v>
      </c>
      <c r="D346" s="2" t="s">
        <v>37</v>
      </c>
      <c r="E346" s="8">
        <v>402856.81639999995</v>
      </c>
      <c r="F346" s="8">
        <v>272179.11566666665</v>
      </c>
      <c r="G346" s="8">
        <v>162.79366666666667</v>
      </c>
      <c r="J346">
        <v>402856.82049999997</v>
      </c>
      <c r="K346">
        <v>272179.10820000002</v>
      </c>
      <c r="L346">
        <v>162.74430000000001</v>
      </c>
      <c r="M346" s="3">
        <f t="shared" si="42"/>
        <v>4.1000000201165676E-3</v>
      </c>
      <c r="N346" s="3">
        <f t="shared" si="43"/>
        <v>-7.4666666332632303E-3</v>
      </c>
      <c r="O346" s="3">
        <f t="shared" si="44"/>
        <v>4.9366666666657011E-2</v>
      </c>
      <c r="P346">
        <f t="shared" si="45"/>
        <v>1.6810000164955855E-5</v>
      </c>
      <c r="Q346">
        <f t="shared" si="46"/>
        <v>5.5751110612286463E-5</v>
      </c>
      <c r="R346">
        <f t="shared" si="47"/>
        <v>2.4370677777768245E-3</v>
      </c>
      <c r="S346">
        <f t="shared" si="48"/>
        <v>7.2561110777242318E-5</v>
      </c>
      <c r="T346">
        <f t="shared" si="49"/>
        <v>8.5182809754810462E-3</v>
      </c>
    </row>
    <row r="347" spans="1:20" x14ac:dyDescent="0.3">
      <c r="A347" s="2" t="s">
        <v>1168</v>
      </c>
      <c r="B347" s="6" t="s">
        <v>1044</v>
      </c>
      <c r="C347" s="2" t="s">
        <v>20</v>
      </c>
      <c r="D347" s="2" t="s">
        <v>46</v>
      </c>
      <c r="E347" s="8">
        <v>402856.81309999997</v>
      </c>
      <c r="F347" s="8">
        <v>272179.11046666669</v>
      </c>
      <c r="G347" s="8">
        <v>162.78766666666664</v>
      </c>
      <c r="J347">
        <v>402856.82049999997</v>
      </c>
      <c r="K347">
        <v>272179.10820000002</v>
      </c>
      <c r="L347">
        <v>162.74430000000001</v>
      </c>
      <c r="M347" s="3">
        <f t="shared" si="42"/>
        <v>7.4000000022351742E-3</v>
      </c>
      <c r="N347" s="3">
        <f t="shared" si="43"/>
        <v>-2.2666666773147881E-3</v>
      </c>
      <c r="O347" s="3">
        <f t="shared" si="44"/>
        <v>4.3366666666628362E-2</v>
      </c>
      <c r="P347">
        <f t="shared" si="45"/>
        <v>5.4760000033080578E-5</v>
      </c>
      <c r="Q347">
        <f t="shared" si="46"/>
        <v>5.1377778260492617E-6</v>
      </c>
      <c r="R347">
        <f t="shared" si="47"/>
        <v>1.8806677777744554E-3</v>
      </c>
      <c r="S347">
        <f t="shared" si="48"/>
        <v>5.9897777859129836E-5</v>
      </c>
      <c r="T347">
        <f t="shared" si="49"/>
        <v>7.7393654687661463E-3</v>
      </c>
    </row>
    <row r="348" spans="1:20" x14ac:dyDescent="0.3">
      <c r="A348" s="2" t="s">
        <v>1168</v>
      </c>
      <c r="B348" s="6" t="s">
        <v>1044</v>
      </c>
      <c r="C348" s="2" t="s">
        <v>51</v>
      </c>
      <c r="D348" s="2" t="s">
        <v>30</v>
      </c>
      <c r="E348" s="8">
        <v>402856.79853333329</v>
      </c>
      <c r="F348" s="8">
        <v>272179.11576666665</v>
      </c>
      <c r="G348" s="8">
        <v>162.64133333333334</v>
      </c>
      <c r="J348">
        <v>402856.82049999997</v>
      </c>
      <c r="K348">
        <v>272179.10820000002</v>
      </c>
      <c r="L348">
        <v>162.74430000000001</v>
      </c>
      <c r="M348" s="3">
        <f t="shared" si="42"/>
        <v>2.1966666681692004E-2</v>
      </c>
      <c r="N348" s="3">
        <f t="shared" si="43"/>
        <v>-7.5666666380129755E-3</v>
      </c>
      <c r="O348" s="3">
        <f t="shared" si="44"/>
        <v>0.1029666666666742</v>
      </c>
      <c r="P348">
        <f t="shared" si="45"/>
        <v>4.8253444510455761E-4</v>
      </c>
      <c r="Q348">
        <f t="shared" si="46"/>
        <v>5.7254444010818582E-5</v>
      </c>
      <c r="R348">
        <f t="shared" si="47"/>
        <v>1.0602134444445997E-2</v>
      </c>
      <c r="S348">
        <f t="shared" si="48"/>
        <v>5.3978888911537619E-4</v>
      </c>
      <c r="T348">
        <f t="shared" si="49"/>
        <v>2.3233357250199038E-2</v>
      </c>
    </row>
    <row r="349" spans="1:20" x14ac:dyDescent="0.3">
      <c r="A349" s="2" t="s">
        <v>1168</v>
      </c>
      <c r="B349" s="6" t="s">
        <v>1044</v>
      </c>
      <c r="C349" s="2" t="s">
        <v>51</v>
      </c>
      <c r="D349" s="2" t="s">
        <v>52</v>
      </c>
      <c r="E349" s="8">
        <v>402856.79823333333</v>
      </c>
      <c r="F349" s="8">
        <v>272179.10879999999</v>
      </c>
      <c r="G349" s="8">
        <v>162.65566666666669</v>
      </c>
      <c r="J349">
        <v>402856.82049999997</v>
      </c>
      <c r="K349">
        <v>272179.10820000002</v>
      </c>
      <c r="L349">
        <v>162.74430000000001</v>
      </c>
      <c r="M349" s="3">
        <f t="shared" si="42"/>
        <v>2.2266666637733579E-2</v>
      </c>
      <c r="N349" s="3">
        <f t="shared" si="43"/>
        <v>-5.9999997029080987E-4</v>
      </c>
      <c r="O349" s="3">
        <f t="shared" si="44"/>
        <v>8.8633333333319797E-2</v>
      </c>
      <c r="P349">
        <f t="shared" si="45"/>
        <v>4.9580444315595754E-4</v>
      </c>
      <c r="Q349">
        <f t="shared" si="46"/>
        <v>3.5999996434897273E-7</v>
      </c>
      <c r="R349">
        <f t="shared" si="47"/>
        <v>7.8558677777753778E-3</v>
      </c>
      <c r="S349">
        <f t="shared" si="48"/>
        <v>4.9616444312030651E-4</v>
      </c>
      <c r="T349">
        <f t="shared" si="49"/>
        <v>2.2274749002408681E-2</v>
      </c>
    </row>
    <row r="350" spans="1:20" x14ac:dyDescent="0.3">
      <c r="A350" s="2" t="s">
        <v>1168</v>
      </c>
      <c r="B350" s="6" t="s">
        <v>1044</v>
      </c>
      <c r="C350" s="2" t="s">
        <v>422</v>
      </c>
      <c r="D350" s="2" t="s">
        <v>423</v>
      </c>
      <c r="E350" s="8">
        <v>402856.75046666665</v>
      </c>
      <c r="F350" s="8">
        <v>272179.0944</v>
      </c>
      <c r="G350" s="8">
        <v>163.03033333333335</v>
      </c>
      <c r="J350">
        <v>402856.82049999997</v>
      </c>
      <c r="K350">
        <v>272179.10820000002</v>
      </c>
      <c r="L350">
        <v>162.74430000000001</v>
      </c>
      <c r="M350" s="3">
        <f t="shared" si="42"/>
        <v>7.0033333322498947E-2</v>
      </c>
      <c r="N350" s="3">
        <f t="shared" si="43"/>
        <v>1.3800000015180558E-2</v>
      </c>
      <c r="O350" s="3">
        <f t="shared" si="44"/>
        <v>0.2860333333333358</v>
      </c>
      <c r="P350">
        <f t="shared" si="45"/>
        <v>4.9046677762602416E-3</v>
      </c>
      <c r="Q350">
        <f t="shared" si="46"/>
        <v>1.904400004189834E-4</v>
      </c>
      <c r="R350">
        <f t="shared" si="47"/>
        <v>8.1815067777779193E-2</v>
      </c>
      <c r="S350">
        <f t="shared" si="48"/>
        <v>5.095107776679225E-3</v>
      </c>
      <c r="T350">
        <f t="shared" si="49"/>
        <v>7.1380023652834593E-2</v>
      </c>
    </row>
    <row r="351" spans="1:20" x14ac:dyDescent="0.3">
      <c r="A351" s="2" t="s">
        <v>1168</v>
      </c>
      <c r="B351" s="6" t="s">
        <v>1045</v>
      </c>
      <c r="C351" s="2" t="s">
        <v>20</v>
      </c>
      <c r="D351" s="2" t="s">
        <v>30</v>
      </c>
      <c r="E351" s="8">
        <v>429089.6679</v>
      </c>
      <c r="F351" s="8">
        <v>262891.55573333334</v>
      </c>
      <c r="G351" s="8">
        <v>206.01666666666668</v>
      </c>
      <c r="J351">
        <v>429089.66320000001</v>
      </c>
      <c r="K351">
        <v>262891.55739999999</v>
      </c>
      <c r="L351">
        <v>206.01390000000001</v>
      </c>
      <c r="M351" s="3">
        <f t="shared" si="42"/>
        <v>-4.6999999904073775E-3</v>
      </c>
      <c r="N351" s="3">
        <f t="shared" si="43"/>
        <v>1.6666666488163173E-3</v>
      </c>
      <c r="O351" s="3">
        <f t="shared" si="44"/>
        <v>2.7666666666732453E-3</v>
      </c>
      <c r="P351">
        <f t="shared" si="45"/>
        <v>2.2089999909829348E-5</v>
      </c>
      <c r="Q351">
        <f t="shared" si="46"/>
        <v>2.7777777182766136E-6</v>
      </c>
      <c r="R351">
        <f t="shared" si="47"/>
        <v>7.6544444444808468E-6</v>
      </c>
      <c r="S351">
        <f t="shared" si="48"/>
        <v>2.4867777628105962E-5</v>
      </c>
      <c r="T351">
        <f t="shared" si="49"/>
        <v>4.9867602336693476E-3</v>
      </c>
    </row>
    <row r="352" spans="1:20" x14ac:dyDescent="0.3">
      <c r="A352" s="2" t="s">
        <v>1168</v>
      </c>
      <c r="B352" s="6" t="s">
        <v>1045</v>
      </c>
      <c r="C352" s="2" t="s">
        <v>20</v>
      </c>
      <c r="D352" s="2" t="s">
        <v>21</v>
      </c>
      <c r="E352" s="8">
        <v>429089.66676666663</v>
      </c>
      <c r="F352" s="8">
        <v>262891.55626666668</v>
      </c>
      <c r="G352" s="8">
        <v>206.02133333333336</v>
      </c>
      <c r="J352">
        <v>429089.66320000001</v>
      </c>
      <c r="K352">
        <v>262891.55739999999</v>
      </c>
      <c r="L352">
        <v>206.01390000000001</v>
      </c>
      <c r="M352" s="3">
        <f t="shared" si="42"/>
        <v>-3.566666622646153E-3</v>
      </c>
      <c r="N352" s="3">
        <f t="shared" si="43"/>
        <v>1.1333333095535636E-3</v>
      </c>
      <c r="O352" s="3">
        <f t="shared" si="44"/>
        <v>7.4333333333527207E-3</v>
      </c>
      <c r="P352">
        <f t="shared" si="45"/>
        <v>1.2721110797098115E-5</v>
      </c>
      <c r="Q352">
        <f t="shared" si="46"/>
        <v>1.2844443905436336E-6</v>
      </c>
      <c r="R352">
        <f t="shared" si="47"/>
        <v>5.5254444444732668E-5</v>
      </c>
      <c r="S352">
        <f t="shared" si="48"/>
        <v>1.4005555187641749E-5</v>
      </c>
      <c r="T352">
        <f t="shared" si="49"/>
        <v>3.7423996563223641E-3</v>
      </c>
    </row>
    <row r="353" spans="1:20" x14ac:dyDescent="0.3">
      <c r="A353" s="2" t="s">
        <v>1168</v>
      </c>
      <c r="B353" s="6" t="s">
        <v>1046</v>
      </c>
      <c r="C353" s="2" t="s">
        <v>20</v>
      </c>
      <c r="D353" s="2" t="s">
        <v>110</v>
      </c>
      <c r="E353" s="8">
        <v>429089.66529999999</v>
      </c>
      <c r="F353" s="8">
        <v>262891.55316666671</v>
      </c>
      <c r="G353" s="8">
        <v>206.02766666666665</v>
      </c>
      <c r="J353">
        <v>429089.66320000001</v>
      </c>
      <c r="K353">
        <v>262891.55739999999</v>
      </c>
      <c r="L353">
        <v>206.01390000000001</v>
      </c>
      <c r="M353" s="3">
        <f t="shared" si="42"/>
        <v>-2.0999999833293259E-3</v>
      </c>
      <c r="N353" s="3">
        <f t="shared" si="43"/>
        <v>4.2333332821726799E-3</v>
      </c>
      <c r="O353" s="3">
        <f t="shared" si="44"/>
        <v>1.3766666666640504E-2</v>
      </c>
      <c r="P353">
        <f t="shared" si="45"/>
        <v>4.4099999299831691E-6</v>
      </c>
      <c r="Q353">
        <f t="shared" si="46"/>
        <v>1.7921110677950915E-5</v>
      </c>
      <c r="R353">
        <f t="shared" si="47"/>
        <v>1.8952111111039075E-4</v>
      </c>
      <c r="S353">
        <f t="shared" si="48"/>
        <v>2.2331110607934084E-5</v>
      </c>
      <c r="T353">
        <f t="shared" si="49"/>
        <v>4.7255804519586884E-3</v>
      </c>
    </row>
    <row r="354" spans="1:20" x14ac:dyDescent="0.3">
      <c r="A354" s="2" t="s">
        <v>1168</v>
      </c>
      <c r="B354" s="6" t="s">
        <v>1046</v>
      </c>
      <c r="C354" s="2" t="s">
        <v>20</v>
      </c>
      <c r="D354" s="2" t="s">
        <v>37</v>
      </c>
      <c r="E354" s="8">
        <v>429089.66933333332</v>
      </c>
      <c r="F354" s="8">
        <v>262891.55919999996</v>
      </c>
      <c r="G354" s="8">
        <v>206.02266666666665</v>
      </c>
      <c r="J354">
        <v>429089.66320000001</v>
      </c>
      <c r="K354">
        <v>262891.55739999999</v>
      </c>
      <c r="L354">
        <v>206.01390000000001</v>
      </c>
      <c r="M354" s="3">
        <f t="shared" si="42"/>
        <v>-6.1333333142101765E-3</v>
      </c>
      <c r="N354" s="3">
        <f t="shared" si="43"/>
        <v>-1.7999999690800905E-3</v>
      </c>
      <c r="O354" s="3">
        <f t="shared" si="44"/>
        <v>8.766666666645051E-3</v>
      </c>
      <c r="P354">
        <f t="shared" si="45"/>
        <v>3.7617777543200387E-5</v>
      </c>
      <c r="Q354">
        <f t="shared" si="46"/>
        <v>3.2399998886883268E-6</v>
      </c>
      <c r="R354">
        <f t="shared" si="47"/>
        <v>7.6854444444065446E-5</v>
      </c>
      <c r="S354">
        <f t="shared" si="48"/>
        <v>4.0857777431888714E-5</v>
      </c>
      <c r="T354">
        <f t="shared" si="49"/>
        <v>6.3920088729513443E-3</v>
      </c>
    </row>
    <row r="355" spans="1:20" x14ac:dyDescent="0.3">
      <c r="A355" s="2" t="s">
        <v>1168</v>
      </c>
      <c r="B355" s="6" t="s">
        <v>1046</v>
      </c>
      <c r="C355" s="2" t="s">
        <v>20</v>
      </c>
      <c r="D355" s="2" t="s">
        <v>46</v>
      </c>
      <c r="E355" s="8">
        <v>429089.66636666673</v>
      </c>
      <c r="F355" s="8">
        <v>262891.55533333332</v>
      </c>
      <c r="G355" s="8">
        <v>206.047</v>
      </c>
      <c r="J355">
        <v>429089.66320000001</v>
      </c>
      <c r="K355">
        <v>262891.55739999999</v>
      </c>
      <c r="L355">
        <v>206.01390000000001</v>
      </c>
      <c r="M355" s="3">
        <f t="shared" si="42"/>
        <v>-3.1666667200624943E-3</v>
      </c>
      <c r="N355" s="3">
        <f t="shared" si="43"/>
        <v>2.0666666678152978E-3</v>
      </c>
      <c r="O355" s="3">
        <f t="shared" si="44"/>
        <v>3.3099999999990359E-2</v>
      </c>
      <c r="P355">
        <f t="shared" si="45"/>
        <v>1.0027778115951356E-5</v>
      </c>
      <c r="Q355">
        <f t="shared" si="46"/>
        <v>4.2711111158587866E-6</v>
      </c>
      <c r="R355">
        <f t="shared" si="47"/>
        <v>1.0956099999993617E-3</v>
      </c>
      <c r="S355">
        <f t="shared" si="48"/>
        <v>1.4298889231810142E-5</v>
      </c>
      <c r="T355">
        <f t="shared" si="49"/>
        <v>3.7813872099812977E-3</v>
      </c>
    </row>
    <row r="356" spans="1:20" x14ac:dyDescent="0.3">
      <c r="A356" s="2" t="s">
        <v>1168</v>
      </c>
      <c r="B356" s="6" t="s">
        <v>1046</v>
      </c>
      <c r="C356" s="2" t="s">
        <v>51</v>
      </c>
      <c r="D356" s="2" t="s">
        <v>63</v>
      </c>
      <c r="E356" s="8">
        <v>429089.67123333336</v>
      </c>
      <c r="F356" s="8">
        <v>262891.5624</v>
      </c>
      <c r="G356" s="8">
        <v>206.01266666666666</v>
      </c>
      <c r="J356">
        <v>429089.66320000001</v>
      </c>
      <c r="K356">
        <v>262891.55739999999</v>
      </c>
      <c r="L356">
        <v>206.01390000000001</v>
      </c>
      <c r="M356" s="3">
        <f t="shared" si="42"/>
        <v>-8.033333346247673E-3</v>
      </c>
      <c r="N356" s="3">
        <f t="shared" si="43"/>
        <v>-5.0000000046566129E-3</v>
      </c>
      <c r="O356" s="3">
        <f t="shared" si="44"/>
        <v>1.233333333345854E-3</v>
      </c>
      <c r="P356">
        <f t="shared" si="45"/>
        <v>6.4534444651934836E-5</v>
      </c>
      <c r="Q356">
        <f t="shared" si="46"/>
        <v>2.5000000046566129E-5</v>
      </c>
      <c r="R356">
        <f t="shared" si="47"/>
        <v>1.5211111111419954E-6</v>
      </c>
      <c r="S356">
        <f t="shared" si="48"/>
        <v>8.9534444698500965E-5</v>
      </c>
      <c r="T356">
        <f t="shared" si="49"/>
        <v>9.4622642479747394E-3</v>
      </c>
    </row>
    <row r="357" spans="1:20" x14ac:dyDescent="0.3">
      <c r="A357" s="2" t="s">
        <v>1168</v>
      </c>
      <c r="B357" s="6" t="s">
        <v>1046</v>
      </c>
      <c r="C357" s="2" t="s">
        <v>51</v>
      </c>
      <c r="D357" s="2" t="s">
        <v>30</v>
      </c>
      <c r="E357" s="8">
        <v>429089.68026666669</v>
      </c>
      <c r="F357" s="8">
        <v>262891.56789999997</v>
      </c>
      <c r="G357" s="8">
        <v>206.011</v>
      </c>
      <c r="J357">
        <v>429089.66320000001</v>
      </c>
      <c r="K357">
        <v>262891.55739999999</v>
      </c>
      <c r="L357">
        <v>206.01390000000001</v>
      </c>
      <c r="M357" s="3">
        <f t="shared" si="42"/>
        <v>-1.7066666681785136E-2</v>
      </c>
      <c r="N357" s="3">
        <f t="shared" si="43"/>
        <v>-1.049999997485429E-2</v>
      </c>
      <c r="O357" s="3">
        <f t="shared" si="44"/>
        <v>2.9000000000110049E-3</v>
      </c>
      <c r="P357">
        <f t="shared" si="45"/>
        <v>2.912711116271549E-4</v>
      </c>
      <c r="Q357">
        <f t="shared" si="46"/>
        <v>1.102499994719401E-4</v>
      </c>
      <c r="R357">
        <f t="shared" si="47"/>
        <v>8.4100000000638281E-6</v>
      </c>
      <c r="S357">
        <f t="shared" si="48"/>
        <v>4.0152111109909499E-4</v>
      </c>
      <c r="T357">
        <f t="shared" si="49"/>
        <v>2.0037991693258459E-2</v>
      </c>
    </row>
    <row r="358" spans="1:20" x14ac:dyDescent="0.3">
      <c r="A358" s="2" t="s">
        <v>1168</v>
      </c>
      <c r="B358" s="6" t="s">
        <v>1046</v>
      </c>
      <c r="C358" s="2" t="s">
        <v>51</v>
      </c>
      <c r="D358" s="2" t="s">
        <v>52</v>
      </c>
      <c r="E358" s="8">
        <v>429089.67523333337</v>
      </c>
      <c r="F358" s="8">
        <v>262891.5673</v>
      </c>
      <c r="G358" s="8">
        <v>206.02333333333334</v>
      </c>
      <c r="J358">
        <v>429089.66320000001</v>
      </c>
      <c r="K358">
        <v>262891.55739999999</v>
      </c>
      <c r="L358">
        <v>206.01390000000001</v>
      </c>
      <c r="M358" s="3">
        <f t="shared" si="42"/>
        <v>-1.2033333361614496E-2</v>
      </c>
      <c r="N358" s="3">
        <f t="shared" si="43"/>
        <v>-9.9000000045634806E-3</v>
      </c>
      <c r="O358" s="3">
        <f t="shared" si="44"/>
        <v>9.4333333333338487E-3</v>
      </c>
      <c r="P358">
        <f t="shared" si="45"/>
        <v>1.4480111179174441E-4</v>
      </c>
      <c r="Q358">
        <f t="shared" si="46"/>
        <v>9.8010000090356913E-5</v>
      </c>
      <c r="R358">
        <f t="shared" si="47"/>
        <v>8.8987777777787495E-5</v>
      </c>
      <c r="S358">
        <f t="shared" si="48"/>
        <v>2.4281111188210132E-4</v>
      </c>
      <c r="T358">
        <f t="shared" si="49"/>
        <v>1.5582397501094025E-2</v>
      </c>
    </row>
    <row r="359" spans="1:20" x14ac:dyDescent="0.3">
      <c r="A359" s="2" t="s">
        <v>1168</v>
      </c>
      <c r="B359" s="6" t="s">
        <v>1046</v>
      </c>
      <c r="C359" s="2" t="s">
        <v>422</v>
      </c>
      <c r="D359" s="2" t="s">
        <v>423</v>
      </c>
      <c r="E359" s="8">
        <v>429089.67330000008</v>
      </c>
      <c r="F359" s="8">
        <v>262891.57006666664</v>
      </c>
      <c r="G359" s="8">
        <v>206.10066666666668</v>
      </c>
      <c r="J359">
        <v>429089.66320000001</v>
      </c>
      <c r="K359">
        <v>262891.55739999999</v>
      </c>
      <c r="L359">
        <v>206.01390000000001</v>
      </c>
      <c r="M359" s="3">
        <f t="shared" si="42"/>
        <v>-1.0100000072270632E-2</v>
      </c>
      <c r="N359" s="3">
        <f t="shared" si="43"/>
        <v>-1.2666666647419333E-2</v>
      </c>
      <c r="O359" s="3">
        <f t="shared" si="44"/>
        <v>8.6766666666676429E-2</v>
      </c>
      <c r="P359">
        <f t="shared" si="45"/>
        <v>1.0201000145986677E-4</v>
      </c>
      <c r="Q359">
        <f t="shared" si="46"/>
        <v>1.6044444395684534E-4</v>
      </c>
      <c r="R359">
        <f t="shared" si="47"/>
        <v>7.5284544444461383E-3</v>
      </c>
      <c r="S359">
        <f t="shared" si="48"/>
        <v>2.624544454167121E-4</v>
      </c>
      <c r="T359">
        <f t="shared" si="49"/>
        <v>1.6200445840059838E-2</v>
      </c>
    </row>
    <row r="360" spans="1:20" x14ac:dyDescent="0.3">
      <c r="A360" s="2" t="s">
        <v>1168</v>
      </c>
      <c r="B360" s="6" t="s">
        <v>1047</v>
      </c>
      <c r="C360" s="2" t="s">
        <v>20</v>
      </c>
      <c r="D360" s="2" t="s">
        <v>30</v>
      </c>
      <c r="E360" s="8">
        <v>435254.38833333337</v>
      </c>
      <c r="F360" s="8">
        <v>264510.68773333333</v>
      </c>
      <c r="G360" s="8">
        <v>187.95666666666668</v>
      </c>
      <c r="J360">
        <v>435254.37469999999</v>
      </c>
      <c r="K360">
        <v>264510.70899999997</v>
      </c>
      <c r="L360">
        <v>187.9555</v>
      </c>
      <c r="M360" s="3">
        <f t="shared" si="42"/>
        <v>-1.3633333379402757E-2</v>
      </c>
      <c r="N360" s="3">
        <f t="shared" si="43"/>
        <v>2.1266666648443788E-2</v>
      </c>
      <c r="O360" s="3">
        <f t="shared" si="44"/>
        <v>1.1666666666769743E-3</v>
      </c>
      <c r="P360">
        <f t="shared" si="45"/>
        <v>1.8586777903393739E-4</v>
      </c>
      <c r="Q360">
        <f t="shared" si="46"/>
        <v>4.5227111033603135E-4</v>
      </c>
      <c r="R360">
        <f t="shared" si="47"/>
        <v>1.3611111111351623E-6</v>
      </c>
      <c r="S360">
        <f t="shared" si="48"/>
        <v>6.3813888936996874E-4</v>
      </c>
      <c r="T360">
        <f t="shared" si="49"/>
        <v>2.5261411072423662E-2</v>
      </c>
    </row>
    <row r="361" spans="1:20" x14ac:dyDescent="0.3">
      <c r="A361" s="2" t="s">
        <v>1168</v>
      </c>
      <c r="B361" s="6" t="s">
        <v>1047</v>
      </c>
      <c r="C361" s="2" t="s">
        <v>20</v>
      </c>
      <c r="D361" s="2" t="s">
        <v>21</v>
      </c>
      <c r="E361" s="8">
        <v>435254.39360000001</v>
      </c>
      <c r="F361" s="8">
        <v>264510.69163333334</v>
      </c>
      <c r="G361" s="8">
        <v>187.946</v>
      </c>
      <c r="J361">
        <v>435254.37469999999</v>
      </c>
      <c r="K361">
        <v>264510.70899999997</v>
      </c>
      <c r="L361">
        <v>187.9555</v>
      </c>
      <c r="M361" s="3">
        <f t="shared" si="42"/>
        <v>-1.8900000024586916E-2</v>
      </c>
      <c r="N361" s="3">
        <f t="shared" si="43"/>
        <v>1.7366666637826711E-2</v>
      </c>
      <c r="O361" s="3">
        <f t="shared" si="44"/>
        <v>9.5000000000027285E-3</v>
      </c>
      <c r="P361">
        <f t="shared" si="45"/>
        <v>3.5721000092938542E-4</v>
      </c>
      <c r="Q361">
        <f t="shared" si="46"/>
        <v>3.0160111010940334E-4</v>
      </c>
      <c r="R361">
        <f t="shared" si="47"/>
        <v>9.0250000000051837E-5</v>
      </c>
      <c r="S361">
        <f t="shared" si="48"/>
        <v>6.5881111103878876E-4</v>
      </c>
      <c r="T361">
        <f t="shared" si="49"/>
        <v>2.56673160076933E-2</v>
      </c>
    </row>
    <row r="362" spans="1:20" x14ac:dyDescent="0.3">
      <c r="A362" s="2" t="s">
        <v>1168</v>
      </c>
      <c r="B362" s="6" t="s">
        <v>1048</v>
      </c>
      <c r="C362" s="2" t="s">
        <v>20</v>
      </c>
      <c r="D362" s="2" t="s">
        <v>110</v>
      </c>
      <c r="E362" s="8">
        <v>435254.39720000001</v>
      </c>
      <c r="F362" s="8">
        <v>264510.69540000003</v>
      </c>
      <c r="G362" s="8">
        <v>187.92966666666666</v>
      </c>
      <c r="J362">
        <v>435254.37469999999</v>
      </c>
      <c r="K362">
        <v>264510.70899999997</v>
      </c>
      <c r="L362">
        <v>187.9555</v>
      </c>
      <c r="M362" s="3">
        <f t="shared" si="42"/>
        <v>-2.2500000020954758E-2</v>
      </c>
      <c r="N362" s="3">
        <f t="shared" si="43"/>
        <v>1.3599999947473407E-2</v>
      </c>
      <c r="O362" s="3">
        <f t="shared" si="44"/>
        <v>2.583333333333826E-2</v>
      </c>
      <c r="P362">
        <f t="shared" si="45"/>
        <v>5.062500009429641E-4</v>
      </c>
      <c r="Q362">
        <f t="shared" si="46"/>
        <v>1.8495999857127667E-4</v>
      </c>
      <c r="R362">
        <f t="shared" si="47"/>
        <v>6.6736111111136566E-4</v>
      </c>
      <c r="S362">
        <f t="shared" si="48"/>
        <v>6.9120999951424083E-4</v>
      </c>
      <c r="T362">
        <f t="shared" si="49"/>
        <v>2.6290872931765519E-2</v>
      </c>
    </row>
    <row r="363" spans="1:20" x14ac:dyDescent="0.3">
      <c r="A363" s="2" t="s">
        <v>1168</v>
      </c>
      <c r="B363" s="6" t="s">
        <v>1048</v>
      </c>
      <c r="C363" s="2" t="s">
        <v>20</v>
      </c>
      <c r="D363" s="2" t="s">
        <v>37</v>
      </c>
      <c r="E363" s="8">
        <v>435254.39240000001</v>
      </c>
      <c r="F363" s="8">
        <v>264510.68866666668</v>
      </c>
      <c r="G363" s="8">
        <v>187.94366666666664</v>
      </c>
      <c r="J363">
        <v>435254.37469999999</v>
      </c>
      <c r="K363">
        <v>264510.70899999997</v>
      </c>
      <c r="L363">
        <v>187.9555</v>
      </c>
      <c r="M363" s="3">
        <f t="shared" si="42"/>
        <v>-1.7700000025797635E-2</v>
      </c>
      <c r="N363" s="3">
        <f t="shared" si="43"/>
        <v>2.0333333290182054E-2</v>
      </c>
      <c r="O363" s="3">
        <f t="shared" si="44"/>
        <v>1.1833333333356677E-2</v>
      </c>
      <c r="P363">
        <f t="shared" si="45"/>
        <v>3.1329000091323631E-4</v>
      </c>
      <c r="Q363">
        <f t="shared" si="46"/>
        <v>4.1344444268962574E-4</v>
      </c>
      <c r="R363">
        <f t="shared" si="47"/>
        <v>1.4002777777833025E-4</v>
      </c>
      <c r="S363">
        <f t="shared" si="48"/>
        <v>7.2673444360286206E-4</v>
      </c>
      <c r="T363">
        <f t="shared" si="49"/>
        <v>2.6958012604842777E-2</v>
      </c>
    </row>
    <row r="364" spans="1:20" x14ac:dyDescent="0.3">
      <c r="A364" s="2" t="s">
        <v>1168</v>
      </c>
      <c r="B364" s="6" t="s">
        <v>1048</v>
      </c>
      <c r="C364" s="2" t="s">
        <v>20</v>
      </c>
      <c r="D364" s="2" t="s">
        <v>46</v>
      </c>
      <c r="E364" s="8">
        <v>435254.39709999994</v>
      </c>
      <c r="F364" s="8">
        <v>264510.68519999995</v>
      </c>
      <c r="G364" s="8">
        <v>187.94266666666667</v>
      </c>
      <c r="J364">
        <v>435254.37469999999</v>
      </c>
      <c r="K364">
        <v>264510.70899999997</v>
      </c>
      <c r="L364">
        <v>187.9555</v>
      </c>
      <c r="M364" s="3">
        <f t="shared" si="42"/>
        <v>-2.2399999957997352E-2</v>
      </c>
      <c r="N364" s="3">
        <f t="shared" si="43"/>
        <v>2.3800000024493784E-2</v>
      </c>
      <c r="O364" s="3">
        <f t="shared" si="44"/>
        <v>1.283333333333303E-2</v>
      </c>
      <c r="P364">
        <f t="shared" si="45"/>
        <v>5.0175999811828134E-4</v>
      </c>
      <c r="Q364">
        <f t="shared" si="46"/>
        <v>5.6644000116590416E-4</v>
      </c>
      <c r="R364">
        <f t="shared" si="47"/>
        <v>1.6469444444443666E-4</v>
      </c>
      <c r="S364">
        <f t="shared" si="48"/>
        <v>1.0681999992841855E-3</v>
      </c>
      <c r="T364">
        <f t="shared" si="49"/>
        <v>3.2683329072849744E-2</v>
      </c>
    </row>
    <row r="365" spans="1:20" x14ac:dyDescent="0.3">
      <c r="A365" s="2" t="s">
        <v>1168</v>
      </c>
      <c r="B365" s="6" t="s">
        <v>1048</v>
      </c>
      <c r="C365" s="2" t="s">
        <v>51</v>
      </c>
      <c r="D365" s="2" t="s">
        <v>63</v>
      </c>
      <c r="E365" s="8">
        <v>435254.39440000005</v>
      </c>
      <c r="F365" s="8">
        <v>264510.68606666668</v>
      </c>
      <c r="G365" s="8">
        <v>187.92066666666665</v>
      </c>
      <c r="J365">
        <v>435254.37469999999</v>
      </c>
      <c r="K365">
        <v>264510.70899999997</v>
      </c>
      <c r="L365">
        <v>187.9555</v>
      </c>
      <c r="M365" s="3">
        <f t="shared" si="42"/>
        <v>-1.9700000062584877E-2</v>
      </c>
      <c r="N365" s="3">
        <f t="shared" si="43"/>
        <v>2.2933333297260106E-2</v>
      </c>
      <c r="O365" s="3">
        <f t="shared" si="44"/>
        <v>3.4833333333352812E-2</v>
      </c>
      <c r="P365">
        <f t="shared" si="45"/>
        <v>3.8809000246584416E-4</v>
      </c>
      <c r="Q365">
        <f t="shared" si="46"/>
        <v>5.2593777612321905E-4</v>
      </c>
      <c r="R365">
        <f t="shared" si="47"/>
        <v>1.213361111112468E-3</v>
      </c>
      <c r="S365">
        <f t="shared" si="48"/>
        <v>9.1402777858906321E-4</v>
      </c>
      <c r="T365">
        <f t="shared" si="49"/>
        <v>3.0232892329201042E-2</v>
      </c>
    </row>
    <row r="366" spans="1:20" x14ac:dyDescent="0.3">
      <c r="A366" s="2" t="s">
        <v>1168</v>
      </c>
      <c r="B366" s="6" t="s">
        <v>1048</v>
      </c>
      <c r="C366" s="2" t="s">
        <v>51</v>
      </c>
      <c r="D366" s="2" t="s">
        <v>30</v>
      </c>
      <c r="E366" s="8">
        <v>435254.40153333329</v>
      </c>
      <c r="F366" s="8">
        <v>264510.68446666672</v>
      </c>
      <c r="G366" s="8">
        <v>187.91666666666666</v>
      </c>
      <c r="J366">
        <v>435254.37469999999</v>
      </c>
      <c r="K366">
        <v>264510.70899999997</v>
      </c>
      <c r="L366">
        <v>187.9555</v>
      </c>
      <c r="M366" s="3">
        <f t="shared" si="42"/>
        <v>-2.6833333307877183E-2</v>
      </c>
      <c r="N366" s="3">
        <f t="shared" si="43"/>
        <v>2.4533333256840706E-2</v>
      </c>
      <c r="O366" s="3">
        <f t="shared" si="44"/>
        <v>3.8833333333343489E-2</v>
      </c>
      <c r="P366">
        <f t="shared" si="45"/>
        <v>7.2002777641163099E-4</v>
      </c>
      <c r="Q366">
        <f t="shared" si="46"/>
        <v>6.018844406912062E-4</v>
      </c>
      <c r="R366">
        <f t="shared" si="47"/>
        <v>1.5080277777785665E-3</v>
      </c>
      <c r="S366">
        <f t="shared" si="48"/>
        <v>1.3219122171028372E-3</v>
      </c>
      <c r="T366">
        <f t="shared" si="49"/>
        <v>3.6358110747161179E-2</v>
      </c>
    </row>
    <row r="367" spans="1:20" x14ac:dyDescent="0.3">
      <c r="A367" s="2" t="s">
        <v>1168</v>
      </c>
      <c r="B367" s="6" t="s">
        <v>1048</v>
      </c>
      <c r="C367" s="2" t="s">
        <v>51</v>
      </c>
      <c r="D367" s="2" t="s">
        <v>52</v>
      </c>
      <c r="E367" s="8">
        <v>435254.40369999997</v>
      </c>
      <c r="F367" s="8">
        <v>264510.68770000007</v>
      </c>
      <c r="G367" s="8">
        <v>187.93233333333333</v>
      </c>
      <c r="J367">
        <v>435254.37469999999</v>
      </c>
      <c r="K367">
        <v>264510.70899999997</v>
      </c>
      <c r="L367">
        <v>187.9555</v>
      </c>
      <c r="M367" s="3">
        <f t="shared" si="42"/>
        <v>-2.8999999980442226E-2</v>
      </c>
      <c r="N367" s="3">
        <f t="shared" si="43"/>
        <v>2.1299999905750155E-2</v>
      </c>
      <c r="O367" s="3">
        <f t="shared" si="44"/>
        <v>2.3166666666668334E-2</v>
      </c>
      <c r="P367">
        <f t="shared" si="45"/>
        <v>8.4099999886564909E-4</v>
      </c>
      <c r="Q367">
        <f t="shared" si="46"/>
        <v>4.5368999598495663E-4</v>
      </c>
      <c r="R367">
        <f t="shared" si="47"/>
        <v>5.3669444444452165E-4</v>
      </c>
      <c r="S367">
        <f t="shared" si="48"/>
        <v>1.2946899948506057E-3</v>
      </c>
      <c r="T367">
        <f t="shared" si="49"/>
        <v>3.5981800883927495E-2</v>
      </c>
    </row>
    <row r="368" spans="1:20" x14ac:dyDescent="0.3">
      <c r="A368" s="2" t="s">
        <v>1168</v>
      </c>
      <c r="B368" s="6" t="s">
        <v>1049</v>
      </c>
      <c r="C368" s="2" t="s">
        <v>20</v>
      </c>
      <c r="D368" s="2" t="s">
        <v>30</v>
      </c>
      <c r="E368" s="8">
        <v>442293.80559999991</v>
      </c>
      <c r="F368" s="8">
        <v>259127.98356666663</v>
      </c>
      <c r="G368" s="8">
        <v>258.75799999999998</v>
      </c>
      <c r="J368">
        <v>442293.80479999998</v>
      </c>
      <c r="K368">
        <v>259127.9865</v>
      </c>
      <c r="L368">
        <v>258.71570000000003</v>
      </c>
      <c r="M368" s="3">
        <f t="shared" si="42"/>
        <v>-7.9999992158263922E-4</v>
      </c>
      <c r="N368" s="3">
        <f t="shared" si="43"/>
        <v>2.9333333659451455E-3</v>
      </c>
      <c r="O368" s="3">
        <f t="shared" si="44"/>
        <v>4.2299999999954707E-2</v>
      </c>
      <c r="P368">
        <f t="shared" si="45"/>
        <v>6.399998745322289E-7</v>
      </c>
      <c r="Q368">
        <f t="shared" si="46"/>
        <v>8.604444635767076E-6</v>
      </c>
      <c r="R368">
        <f t="shared" si="47"/>
        <v>1.7892899999961682E-3</v>
      </c>
      <c r="S368">
        <f t="shared" si="48"/>
        <v>9.2444445102993049E-6</v>
      </c>
      <c r="T368">
        <f t="shared" si="49"/>
        <v>3.0404678110940928E-3</v>
      </c>
    </row>
    <row r="369" spans="1:20" x14ac:dyDescent="0.3">
      <c r="A369" s="2" t="s">
        <v>1168</v>
      </c>
      <c r="B369" s="6" t="s">
        <v>1049</v>
      </c>
      <c r="C369" s="2" t="s">
        <v>20</v>
      </c>
      <c r="D369" s="2" t="s">
        <v>21</v>
      </c>
      <c r="E369" s="8">
        <v>442293.80986666662</v>
      </c>
      <c r="F369" s="8">
        <v>259127.98739999998</v>
      </c>
      <c r="G369" s="8">
        <v>258.77066666666667</v>
      </c>
      <c r="J369">
        <v>442293.80479999998</v>
      </c>
      <c r="K369">
        <v>259127.9865</v>
      </c>
      <c r="L369">
        <v>258.71570000000003</v>
      </c>
      <c r="M369" s="3">
        <f t="shared" si="42"/>
        <v>-5.066666635684669E-3</v>
      </c>
      <c r="N369" s="3">
        <f t="shared" si="43"/>
        <v>-8.9999998454004526E-4</v>
      </c>
      <c r="O369" s="3">
        <f t="shared" si="44"/>
        <v>5.496666666664396E-2</v>
      </c>
      <c r="P369">
        <f t="shared" si="45"/>
        <v>2.5671110797160203E-5</v>
      </c>
      <c r="Q369">
        <f t="shared" si="46"/>
        <v>8.0999997217208171E-7</v>
      </c>
      <c r="R369">
        <f t="shared" si="47"/>
        <v>3.0213344444419482E-3</v>
      </c>
      <c r="S369">
        <f t="shared" si="48"/>
        <v>2.6481110769332284E-5</v>
      </c>
      <c r="T369">
        <f t="shared" si="49"/>
        <v>5.1459800591658229E-3</v>
      </c>
    </row>
    <row r="370" spans="1:20" x14ac:dyDescent="0.3">
      <c r="A370" s="2" t="s">
        <v>1168</v>
      </c>
      <c r="B370" s="6" t="s">
        <v>1050</v>
      </c>
      <c r="C370" s="2" t="s">
        <v>20</v>
      </c>
      <c r="D370" s="2" t="s">
        <v>110</v>
      </c>
      <c r="E370" s="8">
        <v>442293.79846666666</v>
      </c>
      <c r="F370" s="8">
        <v>259127.98953333334</v>
      </c>
      <c r="G370" s="8">
        <v>258.77299999999997</v>
      </c>
      <c r="J370">
        <v>442293.80479999998</v>
      </c>
      <c r="K370">
        <v>259127.9865</v>
      </c>
      <c r="L370">
        <v>258.71570000000003</v>
      </c>
      <c r="M370" s="3">
        <f t="shared" si="42"/>
        <v>6.3333333237096667E-3</v>
      </c>
      <c r="N370" s="3">
        <f t="shared" si="43"/>
        <v>-3.0333333415910602E-3</v>
      </c>
      <c r="O370" s="3">
        <f t="shared" si="44"/>
        <v>5.7299999999941065E-2</v>
      </c>
      <c r="P370">
        <f t="shared" si="45"/>
        <v>4.0111110989211334E-5</v>
      </c>
      <c r="Q370">
        <f t="shared" si="46"/>
        <v>9.2011111612079873E-6</v>
      </c>
      <c r="R370">
        <f t="shared" si="47"/>
        <v>3.2832899999932462E-3</v>
      </c>
      <c r="S370">
        <f t="shared" si="48"/>
        <v>4.9312222150419321E-5</v>
      </c>
      <c r="T370">
        <f t="shared" si="49"/>
        <v>7.0222661691521863E-3</v>
      </c>
    </row>
    <row r="371" spans="1:20" x14ac:dyDescent="0.3">
      <c r="A371" s="2" t="s">
        <v>1168</v>
      </c>
      <c r="B371" s="6" t="s">
        <v>1050</v>
      </c>
      <c r="C371" s="2" t="s">
        <v>20</v>
      </c>
      <c r="D371" s="2" t="s">
        <v>37</v>
      </c>
      <c r="E371" s="8">
        <v>442293.8042666667</v>
      </c>
      <c r="F371" s="8">
        <v>259127.99806666665</v>
      </c>
      <c r="G371" s="8">
        <v>258.73833333333329</v>
      </c>
      <c r="J371">
        <v>442293.80479999998</v>
      </c>
      <c r="K371">
        <v>259127.9865</v>
      </c>
      <c r="L371">
        <v>258.71570000000003</v>
      </c>
      <c r="M371" s="3">
        <f t="shared" si="42"/>
        <v>5.3333328105509281E-4</v>
      </c>
      <c r="N371" s="3">
        <f t="shared" si="43"/>
        <v>-1.1566666653379798E-2</v>
      </c>
      <c r="O371" s="3">
        <f t="shared" si="44"/>
        <v>2.2633333333260452E-2</v>
      </c>
      <c r="P371">
        <f t="shared" si="45"/>
        <v>2.8444438868099062E-7</v>
      </c>
      <c r="Q371">
        <f t="shared" si="46"/>
        <v>1.3378777747040821E-4</v>
      </c>
      <c r="R371">
        <f t="shared" si="47"/>
        <v>5.1226777777447867E-4</v>
      </c>
      <c r="S371">
        <f t="shared" si="48"/>
        <v>1.3407222185908921E-4</v>
      </c>
      <c r="T371">
        <f t="shared" si="49"/>
        <v>1.1578955991758894E-2</v>
      </c>
    </row>
    <row r="372" spans="1:20" x14ac:dyDescent="0.3">
      <c r="A372" s="2" t="s">
        <v>1168</v>
      </c>
      <c r="B372" s="6" t="s">
        <v>1050</v>
      </c>
      <c r="C372" s="2" t="s">
        <v>20</v>
      </c>
      <c r="D372" s="2" t="s">
        <v>46</v>
      </c>
      <c r="E372" s="8">
        <v>442293.80826666666</v>
      </c>
      <c r="F372" s="8">
        <v>259127.99586666666</v>
      </c>
      <c r="G372" s="8">
        <v>258.75633333333332</v>
      </c>
      <c r="J372">
        <v>442293.80479999998</v>
      </c>
      <c r="K372">
        <v>259127.9865</v>
      </c>
      <c r="L372">
        <v>258.71570000000003</v>
      </c>
      <c r="M372" s="3">
        <f t="shared" si="42"/>
        <v>-3.4666666761040688E-3</v>
      </c>
      <c r="N372" s="3">
        <f t="shared" si="43"/>
        <v>-9.3666666653007269E-3</v>
      </c>
      <c r="O372" s="3">
        <f t="shared" si="44"/>
        <v>4.0633333333289556E-2</v>
      </c>
      <c r="P372">
        <f t="shared" si="45"/>
        <v>1.2017777843210432E-5</v>
      </c>
      <c r="Q372">
        <f t="shared" si="46"/>
        <v>8.7734444418855839E-5</v>
      </c>
      <c r="R372">
        <f t="shared" si="47"/>
        <v>1.6510677777742202E-3</v>
      </c>
      <c r="S372">
        <f t="shared" si="48"/>
        <v>9.9752222262066272E-5</v>
      </c>
      <c r="T372">
        <f t="shared" si="49"/>
        <v>9.9876034293551255E-3</v>
      </c>
    </row>
    <row r="373" spans="1:20" x14ac:dyDescent="0.3">
      <c r="A373" s="2" t="s">
        <v>1168</v>
      </c>
      <c r="B373" s="6" t="s">
        <v>1050</v>
      </c>
      <c r="C373" s="2" t="s">
        <v>51</v>
      </c>
      <c r="D373" s="2" t="s">
        <v>63</v>
      </c>
      <c r="E373" s="8">
        <v>442293.79900000006</v>
      </c>
      <c r="F373" s="8">
        <v>259127.99373333334</v>
      </c>
      <c r="G373" s="8">
        <v>258.71533333333332</v>
      </c>
      <c r="J373">
        <v>442293.80479999998</v>
      </c>
      <c r="K373">
        <v>259127.9865</v>
      </c>
      <c r="L373">
        <v>258.71570000000003</v>
      </c>
      <c r="M373" s="3">
        <f t="shared" si="42"/>
        <v>5.7999999262392521E-3</v>
      </c>
      <c r="N373" s="3">
        <f t="shared" si="43"/>
        <v>-7.2333333373535424E-3</v>
      </c>
      <c r="O373" s="3">
        <f t="shared" si="44"/>
        <v>3.6666666670726045E-4</v>
      </c>
      <c r="P373">
        <f t="shared" si="45"/>
        <v>3.363999914437533E-5</v>
      </c>
      <c r="Q373">
        <f t="shared" si="46"/>
        <v>5.2321111169270135E-5</v>
      </c>
      <c r="R373">
        <f t="shared" si="47"/>
        <v>1.3444444447421323E-7</v>
      </c>
      <c r="S373">
        <f t="shared" si="48"/>
        <v>8.5961110313645465E-5</v>
      </c>
      <c r="T373">
        <f t="shared" si="49"/>
        <v>9.2715214670325528E-3</v>
      </c>
    </row>
    <row r="374" spans="1:20" x14ac:dyDescent="0.3">
      <c r="A374" s="2" t="s">
        <v>1168</v>
      </c>
      <c r="B374" s="6" t="s">
        <v>1050</v>
      </c>
      <c r="C374" s="2" t="s">
        <v>51</v>
      </c>
      <c r="D374" s="2" t="s">
        <v>30</v>
      </c>
      <c r="E374" s="8">
        <v>442293.81469999999</v>
      </c>
      <c r="F374" s="8">
        <v>259127.98806666667</v>
      </c>
      <c r="G374" s="8">
        <v>258.70666666666665</v>
      </c>
      <c r="J374">
        <v>442293.80479999998</v>
      </c>
      <c r="K374">
        <v>259127.9865</v>
      </c>
      <c r="L374">
        <v>258.71570000000003</v>
      </c>
      <c r="M374" s="3">
        <f t="shared" si="42"/>
        <v>-9.9000000045634806E-3</v>
      </c>
      <c r="N374" s="3">
        <f t="shared" si="43"/>
        <v>-1.5666666731704026E-3</v>
      </c>
      <c r="O374" s="3">
        <f t="shared" si="44"/>
        <v>9.0333333333774135E-3</v>
      </c>
      <c r="P374">
        <f t="shared" si="45"/>
        <v>9.8010000090356913E-5</v>
      </c>
      <c r="Q374">
        <f t="shared" si="46"/>
        <v>2.4544444648228172E-6</v>
      </c>
      <c r="R374">
        <f t="shared" si="47"/>
        <v>8.1601111111907496E-5</v>
      </c>
      <c r="S374">
        <f t="shared" si="48"/>
        <v>1.0046444455517973E-4</v>
      </c>
      <c r="T374">
        <f t="shared" si="49"/>
        <v>1.0023195326600181E-2</v>
      </c>
    </row>
    <row r="375" spans="1:20" x14ac:dyDescent="0.3">
      <c r="A375" s="2" t="s">
        <v>1168</v>
      </c>
      <c r="B375" s="6" t="s">
        <v>1050</v>
      </c>
      <c r="C375" s="2" t="s">
        <v>51</v>
      </c>
      <c r="D375" s="2" t="s">
        <v>52</v>
      </c>
      <c r="E375" s="8">
        <v>442293.81226666667</v>
      </c>
      <c r="F375" s="8">
        <v>259127.99023333334</v>
      </c>
      <c r="G375" s="8">
        <v>258.72033333333337</v>
      </c>
      <c r="J375">
        <v>442293.80479999998</v>
      </c>
      <c r="K375">
        <v>259127.9865</v>
      </c>
      <c r="L375">
        <v>258.71570000000003</v>
      </c>
      <c r="M375" s="3">
        <f t="shared" si="42"/>
        <v>-7.4666666914708912E-3</v>
      </c>
      <c r="N375" s="3">
        <f t="shared" si="43"/>
        <v>-3.7333333457354456E-3</v>
      </c>
      <c r="O375" s="3">
        <f t="shared" si="44"/>
        <v>4.6333333333450355E-3</v>
      </c>
      <c r="P375">
        <f t="shared" si="45"/>
        <v>5.5751111481520862E-5</v>
      </c>
      <c r="Q375">
        <f t="shared" si="46"/>
        <v>1.3937777870380215E-5</v>
      </c>
      <c r="R375">
        <f t="shared" si="47"/>
        <v>2.1467777777886217E-5</v>
      </c>
      <c r="S375">
        <f t="shared" si="48"/>
        <v>6.9688889351901084E-5</v>
      </c>
      <c r="T375">
        <f t="shared" si="49"/>
        <v>8.3479871437311809E-3</v>
      </c>
    </row>
    <row r="376" spans="1:20" x14ac:dyDescent="0.3">
      <c r="A376" s="2" t="s">
        <v>1168</v>
      </c>
      <c r="B376" s="6" t="s">
        <v>1051</v>
      </c>
      <c r="C376" s="2" t="s">
        <v>20</v>
      </c>
      <c r="D376" s="2" t="s">
        <v>30</v>
      </c>
      <c r="E376" s="8">
        <v>447703.56340000004</v>
      </c>
      <c r="F376" s="8">
        <v>235293.48500000002</v>
      </c>
      <c r="G376" s="8">
        <v>112.111</v>
      </c>
      <c r="J376">
        <v>447703.56449999998</v>
      </c>
      <c r="K376">
        <v>235293.47459999999</v>
      </c>
      <c r="L376">
        <v>112.1345</v>
      </c>
      <c r="M376" s="3">
        <f t="shared" si="42"/>
        <v>1.0999999358318746E-3</v>
      </c>
      <c r="N376" s="3">
        <f t="shared" si="43"/>
        <v>-1.0400000028312206E-2</v>
      </c>
      <c r="O376" s="3">
        <f t="shared" si="44"/>
        <v>2.3499999999998522E-2</v>
      </c>
      <c r="P376">
        <f t="shared" si="45"/>
        <v>1.2099998588301283E-6</v>
      </c>
      <c r="Q376">
        <f t="shared" si="46"/>
        <v>1.0816000058889389E-4</v>
      </c>
      <c r="R376">
        <f t="shared" si="47"/>
        <v>5.5224999999993051E-4</v>
      </c>
      <c r="S376">
        <f t="shared" si="48"/>
        <v>1.0937000044772402E-4</v>
      </c>
      <c r="T376">
        <f t="shared" si="49"/>
        <v>1.0458011304627856E-2</v>
      </c>
    </row>
    <row r="377" spans="1:20" x14ac:dyDescent="0.3">
      <c r="A377" s="2" t="s">
        <v>1168</v>
      </c>
      <c r="B377" s="6" t="s">
        <v>1051</v>
      </c>
      <c r="C377" s="2" t="s">
        <v>20</v>
      </c>
      <c r="D377" s="2" t="s">
        <v>21</v>
      </c>
      <c r="E377" s="8">
        <v>447703.56949999998</v>
      </c>
      <c r="F377" s="8">
        <v>235293.48259999999</v>
      </c>
      <c r="G377" s="8">
        <v>112.11266666666666</v>
      </c>
      <c r="J377">
        <v>447703.56449999998</v>
      </c>
      <c r="K377">
        <v>235293.47459999999</v>
      </c>
      <c r="L377">
        <v>112.1345</v>
      </c>
      <c r="M377" s="3">
        <f t="shared" si="42"/>
        <v>-5.0000000046566129E-3</v>
      </c>
      <c r="N377" s="3">
        <f t="shared" si="43"/>
        <v>-8.0000000016298145E-3</v>
      </c>
      <c r="O377" s="3">
        <f t="shared" si="44"/>
        <v>2.1833333333347582E-2</v>
      </c>
      <c r="P377">
        <f t="shared" si="45"/>
        <v>2.5000000046566129E-5</v>
      </c>
      <c r="Q377">
        <f t="shared" si="46"/>
        <v>6.4000000026077038E-5</v>
      </c>
      <c r="R377">
        <f t="shared" si="47"/>
        <v>4.7669444444506663E-4</v>
      </c>
      <c r="S377">
        <f t="shared" si="48"/>
        <v>8.9000000072643167E-5</v>
      </c>
      <c r="T377">
        <f t="shared" si="49"/>
        <v>9.4339811359066845E-3</v>
      </c>
    </row>
    <row r="378" spans="1:20" x14ac:dyDescent="0.3">
      <c r="A378" s="2" t="s">
        <v>1168</v>
      </c>
      <c r="B378" s="6" t="s">
        <v>1052</v>
      </c>
      <c r="C378" s="2" t="s">
        <v>20</v>
      </c>
      <c r="D378" s="2" t="s">
        <v>110</v>
      </c>
      <c r="E378" s="8">
        <v>447703.57183333329</v>
      </c>
      <c r="F378" s="8">
        <v>235293.4798</v>
      </c>
      <c r="G378" s="8">
        <v>112.10733333333333</v>
      </c>
      <c r="J378">
        <v>447703.56449999998</v>
      </c>
      <c r="K378">
        <v>235293.47459999999</v>
      </c>
      <c r="L378">
        <v>112.1345</v>
      </c>
      <c r="M378" s="3">
        <f t="shared" si="42"/>
        <v>-7.3333333129994571E-3</v>
      </c>
      <c r="N378" s="3">
        <f t="shared" si="43"/>
        <v>-5.2000000141561031E-3</v>
      </c>
      <c r="O378" s="3">
        <f t="shared" si="44"/>
        <v>2.7166666666673223E-2</v>
      </c>
      <c r="P378">
        <f t="shared" si="45"/>
        <v>5.377777747954759E-5</v>
      </c>
      <c r="Q378">
        <f t="shared" si="46"/>
        <v>2.7040000147223473E-5</v>
      </c>
      <c r="R378">
        <f t="shared" si="47"/>
        <v>7.3802777777813393E-4</v>
      </c>
      <c r="S378">
        <f t="shared" si="48"/>
        <v>8.0817777626771063E-5</v>
      </c>
      <c r="T378">
        <f t="shared" si="49"/>
        <v>8.9898708348213254E-3</v>
      </c>
    </row>
    <row r="379" spans="1:20" x14ac:dyDescent="0.3">
      <c r="A379" s="2" t="s">
        <v>1168</v>
      </c>
      <c r="B379" s="6" t="s">
        <v>1052</v>
      </c>
      <c r="C379" s="2" t="s">
        <v>20</v>
      </c>
      <c r="D379" s="2" t="s">
        <v>37</v>
      </c>
      <c r="E379" s="8">
        <v>447703.56926666666</v>
      </c>
      <c r="F379" s="8">
        <v>235293.49479999999</v>
      </c>
      <c r="G379" s="8">
        <v>112.09266666666667</v>
      </c>
      <c r="J379">
        <v>447703.56449999998</v>
      </c>
      <c r="K379">
        <v>235293.47459999999</v>
      </c>
      <c r="L379">
        <v>112.1345</v>
      </c>
      <c r="M379" s="3">
        <f t="shared" si="42"/>
        <v>-4.7666666796430945E-3</v>
      </c>
      <c r="N379" s="3">
        <f t="shared" si="43"/>
        <v>-2.0199999999022111E-2</v>
      </c>
      <c r="O379" s="3">
        <f t="shared" si="44"/>
        <v>4.1833333333329392E-2</v>
      </c>
      <c r="P379">
        <f t="shared" si="45"/>
        <v>2.2721111234819724E-5</v>
      </c>
      <c r="Q379">
        <f t="shared" si="46"/>
        <v>4.0803999996049328E-4</v>
      </c>
      <c r="R379">
        <f t="shared" si="47"/>
        <v>1.7500277777774481E-3</v>
      </c>
      <c r="S379">
        <f t="shared" si="48"/>
        <v>4.3076111119531299E-4</v>
      </c>
      <c r="T379">
        <f t="shared" si="49"/>
        <v>2.0754785260158993E-2</v>
      </c>
    </row>
    <row r="380" spans="1:20" x14ac:dyDescent="0.3">
      <c r="A380" s="2" t="s">
        <v>1168</v>
      </c>
      <c r="B380" s="6" t="s">
        <v>1052</v>
      </c>
      <c r="C380" s="2" t="s">
        <v>20</v>
      </c>
      <c r="D380" s="2" t="s">
        <v>46</v>
      </c>
      <c r="E380" s="8">
        <v>447703.57886666665</v>
      </c>
      <c r="F380" s="8">
        <v>235293.48800000001</v>
      </c>
      <c r="G380" s="8">
        <v>112.09699999999999</v>
      </c>
      <c r="J380">
        <v>447703.56449999998</v>
      </c>
      <c r="K380">
        <v>235293.47459999999</v>
      </c>
      <c r="L380">
        <v>112.1345</v>
      </c>
      <c r="M380" s="3">
        <f t="shared" si="42"/>
        <v>-1.436666666995734E-2</v>
      </c>
      <c r="N380" s="3">
        <f t="shared" si="43"/>
        <v>-1.3400000025285408E-2</v>
      </c>
      <c r="O380" s="3">
        <f t="shared" si="44"/>
        <v>3.7500000000008527E-2</v>
      </c>
      <c r="P380">
        <f t="shared" si="45"/>
        <v>2.064011112056631E-4</v>
      </c>
      <c r="Q380">
        <f t="shared" si="46"/>
        <v>1.7956000067764893E-4</v>
      </c>
      <c r="R380">
        <f t="shared" si="47"/>
        <v>1.4062500000006394E-3</v>
      </c>
      <c r="S380">
        <f t="shared" si="48"/>
        <v>3.8596111188331206E-4</v>
      </c>
      <c r="T380">
        <f t="shared" si="49"/>
        <v>1.9645893002948785E-2</v>
      </c>
    </row>
    <row r="381" spans="1:20" x14ac:dyDescent="0.3">
      <c r="A381" s="2" t="s">
        <v>1168</v>
      </c>
      <c r="B381" s="6" t="s">
        <v>1052</v>
      </c>
      <c r="C381" s="2" t="s">
        <v>51</v>
      </c>
      <c r="D381" s="2" t="s">
        <v>63</v>
      </c>
      <c r="E381" s="8">
        <v>447703.56689999998</v>
      </c>
      <c r="F381" s="8">
        <v>235293.48523333334</v>
      </c>
      <c r="G381" s="8">
        <v>112.09699999999999</v>
      </c>
      <c r="J381">
        <v>447703.56449999998</v>
      </c>
      <c r="K381">
        <v>235293.47459999999</v>
      </c>
      <c r="L381">
        <v>112.1345</v>
      </c>
      <c r="M381" s="3">
        <f t="shared" si="42"/>
        <v>-2.3999999975785613E-3</v>
      </c>
      <c r="N381" s="3">
        <f t="shared" si="43"/>
        <v>-1.0633333353325725E-2</v>
      </c>
      <c r="O381" s="3">
        <f t="shared" si="44"/>
        <v>3.7500000000008527E-2</v>
      </c>
      <c r="P381">
        <f t="shared" si="45"/>
        <v>5.7599999883770943E-6</v>
      </c>
      <c r="Q381">
        <f t="shared" si="46"/>
        <v>1.130677782029493E-4</v>
      </c>
      <c r="R381">
        <f t="shared" si="47"/>
        <v>1.4062500000006394E-3</v>
      </c>
      <c r="S381">
        <f t="shared" si="48"/>
        <v>1.1882777819132639E-4</v>
      </c>
      <c r="T381">
        <f t="shared" si="49"/>
        <v>1.0900815482858445E-2</v>
      </c>
    </row>
    <row r="382" spans="1:20" x14ac:dyDescent="0.3">
      <c r="A382" s="2" t="s">
        <v>1168</v>
      </c>
      <c r="B382" s="6" t="s">
        <v>1052</v>
      </c>
      <c r="C382" s="2" t="s">
        <v>51</v>
      </c>
      <c r="D382" s="2" t="s">
        <v>30</v>
      </c>
      <c r="E382" s="8">
        <v>447703.56626666663</v>
      </c>
      <c r="F382" s="8">
        <v>235293.47843333334</v>
      </c>
      <c r="G382" s="8">
        <v>112.11033333333334</v>
      </c>
      <c r="J382">
        <v>447703.56449999998</v>
      </c>
      <c r="K382">
        <v>235293.47459999999</v>
      </c>
      <c r="L382">
        <v>112.1345</v>
      </c>
      <c r="M382" s="3">
        <f t="shared" si="42"/>
        <v>-1.7666666535660625E-3</v>
      </c>
      <c r="N382" s="3">
        <f t="shared" si="43"/>
        <v>-3.8333333504851907E-3</v>
      </c>
      <c r="O382" s="3">
        <f t="shared" si="44"/>
        <v>2.4166666666658898E-2</v>
      </c>
      <c r="P382">
        <f t="shared" si="45"/>
        <v>3.1211110648223097E-6</v>
      </c>
      <c r="Q382">
        <f t="shared" si="46"/>
        <v>1.4694444575942017E-5</v>
      </c>
      <c r="R382">
        <f t="shared" si="47"/>
        <v>5.8402777777740225E-4</v>
      </c>
      <c r="S382">
        <f t="shared" si="48"/>
        <v>1.7815555640764327E-5</v>
      </c>
      <c r="T382">
        <f t="shared" si="49"/>
        <v>4.2208477395855358E-3</v>
      </c>
    </row>
    <row r="383" spans="1:20" x14ac:dyDescent="0.3">
      <c r="A383" s="2" t="s">
        <v>1168</v>
      </c>
      <c r="B383" s="6" t="s">
        <v>1052</v>
      </c>
      <c r="C383" s="2" t="s">
        <v>51</v>
      </c>
      <c r="D383" s="2" t="s">
        <v>52</v>
      </c>
      <c r="E383" s="8">
        <v>447703.57590000005</v>
      </c>
      <c r="F383" s="8">
        <v>235293.48906666669</v>
      </c>
      <c r="G383" s="8">
        <v>112.11399999999999</v>
      </c>
      <c r="J383">
        <v>447703.56449999998</v>
      </c>
      <c r="K383">
        <v>235293.47459999999</v>
      </c>
      <c r="L383">
        <v>112.1345</v>
      </c>
      <c r="M383" s="3">
        <f t="shared" si="42"/>
        <v>-1.1400000075809658E-2</v>
      </c>
      <c r="N383" s="3">
        <f t="shared" si="43"/>
        <v>-1.4466666703810915E-2</v>
      </c>
      <c r="O383" s="3">
        <f t="shared" si="44"/>
        <v>2.0500000000012619E-2</v>
      </c>
      <c r="P383">
        <f t="shared" si="45"/>
        <v>1.2996000172846018E-4</v>
      </c>
      <c r="Q383">
        <f t="shared" si="46"/>
        <v>2.0928444551915137E-4</v>
      </c>
      <c r="R383">
        <f t="shared" si="47"/>
        <v>4.2025000000051738E-4</v>
      </c>
      <c r="S383">
        <f t="shared" si="48"/>
        <v>3.3924444724761155E-4</v>
      </c>
      <c r="T383">
        <f t="shared" si="49"/>
        <v>1.8418589719292069E-2</v>
      </c>
    </row>
    <row r="384" spans="1:20" x14ac:dyDescent="0.3">
      <c r="A384" s="2" t="s">
        <v>1168</v>
      </c>
      <c r="B384" s="6" t="s">
        <v>1052</v>
      </c>
      <c r="C384" s="2" t="s">
        <v>422</v>
      </c>
      <c r="D384" s="2" t="s">
        <v>423</v>
      </c>
      <c r="E384" s="8">
        <v>447703.58323333337</v>
      </c>
      <c r="F384" s="8">
        <v>235293.50543333334</v>
      </c>
      <c r="G384" s="8">
        <v>112.19733333333333</v>
      </c>
      <c r="J384">
        <v>447703.56449999998</v>
      </c>
      <c r="K384">
        <v>235293.47459999999</v>
      </c>
      <c r="L384">
        <v>112.1345</v>
      </c>
      <c r="M384" s="3">
        <f t="shared" si="42"/>
        <v>-1.8733333388809115E-2</v>
      </c>
      <c r="N384" s="3">
        <f t="shared" si="43"/>
        <v>-3.0833333352347836E-2</v>
      </c>
      <c r="O384" s="3">
        <f t="shared" si="44"/>
        <v>6.2833333333330188E-2</v>
      </c>
      <c r="P384">
        <f t="shared" si="45"/>
        <v>3.5093777985627039E-4</v>
      </c>
      <c r="Q384">
        <f t="shared" si="46"/>
        <v>9.506944456170054E-4</v>
      </c>
      <c r="R384">
        <f t="shared" si="47"/>
        <v>3.9480277777773822E-3</v>
      </c>
      <c r="S384">
        <f t="shared" si="48"/>
        <v>1.3016322254732757E-3</v>
      </c>
      <c r="T384">
        <f t="shared" si="49"/>
        <v>3.6078140548998307E-2</v>
      </c>
    </row>
    <row r="385" spans="1:20" x14ac:dyDescent="0.3">
      <c r="A385" s="2" t="s">
        <v>1168</v>
      </c>
      <c r="B385" s="6" t="s">
        <v>1053</v>
      </c>
      <c r="C385" s="2" t="s">
        <v>20</v>
      </c>
      <c r="D385" s="2" t="s">
        <v>30</v>
      </c>
      <c r="E385" s="8">
        <v>444626.24523333338</v>
      </c>
      <c r="F385" s="8">
        <v>225644.57816666667</v>
      </c>
      <c r="G385" s="8">
        <v>68.440666666666672</v>
      </c>
      <c r="J385">
        <v>444626.23670000001</v>
      </c>
      <c r="K385">
        <v>225644.56159999999</v>
      </c>
      <c r="L385">
        <v>68.438800000000001</v>
      </c>
      <c r="M385" s="3">
        <f t="shared" si="42"/>
        <v>-8.5333333699963987E-3</v>
      </c>
      <c r="N385" s="3">
        <f t="shared" si="43"/>
        <v>-1.6566666687140241E-2</v>
      </c>
      <c r="O385" s="3">
        <f t="shared" si="44"/>
        <v>1.8666666666717902E-3</v>
      </c>
      <c r="P385">
        <f t="shared" si="45"/>
        <v>7.2817778403494091E-5</v>
      </c>
      <c r="Q385">
        <f t="shared" si="46"/>
        <v>2.7445444512280221E-4</v>
      </c>
      <c r="R385">
        <f t="shared" si="47"/>
        <v>3.4844444444635721E-6</v>
      </c>
      <c r="S385">
        <f t="shared" si="48"/>
        <v>3.472722235262963E-4</v>
      </c>
      <c r="T385">
        <f t="shared" si="49"/>
        <v>1.8635241439978616E-2</v>
      </c>
    </row>
    <row r="386" spans="1:20" x14ac:dyDescent="0.3">
      <c r="A386" s="2" t="s">
        <v>1168</v>
      </c>
      <c r="B386" s="6" t="s">
        <v>1053</v>
      </c>
      <c r="C386" s="2" t="s">
        <v>20</v>
      </c>
      <c r="D386" s="2" t="s">
        <v>21</v>
      </c>
      <c r="E386" s="8">
        <v>444626.2624666667</v>
      </c>
      <c r="F386" s="8">
        <v>225644.5858</v>
      </c>
      <c r="G386" s="8">
        <v>68.414333333333332</v>
      </c>
      <c r="J386">
        <v>444626.23670000001</v>
      </c>
      <c r="K386">
        <v>225644.56159999999</v>
      </c>
      <c r="L386">
        <v>68.438800000000001</v>
      </c>
      <c r="M386" s="3">
        <f t="shared" si="42"/>
        <v>-2.5766666687559336E-2</v>
      </c>
      <c r="N386" s="3">
        <f t="shared" si="43"/>
        <v>-2.4200000014388934E-2</v>
      </c>
      <c r="O386" s="3">
        <f t="shared" si="44"/>
        <v>2.4466666666668857E-2</v>
      </c>
      <c r="P386">
        <f t="shared" si="45"/>
        <v>6.6392111218778005E-4</v>
      </c>
      <c r="Q386">
        <f t="shared" si="46"/>
        <v>5.8564000069642437E-4</v>
      </c>
      <c r="R386">
        <f t="shared" si="47"/>
        <v>5.9861777777788492E-4</v>
      </c>
      <c r="S386">
        <f t="shared" si="48"/>
        <v>1.2495611128842043E-3</v>
      </c>
      <c r="T386">
        <f t="shared" si="49"/>
        <v>3.5349131713299613E-2</v>
      </c>
    </row>
    <row r="387" spans="1:20" x14ac:dyDescent="0.3">
      <c r="A387" s="2" t="s">
        <v>1168</v>
      </c>
      <c r="B387" s="6" t="s">
        <v>1054</v>
      </c>
      <c r="C387" s="2" t="s">
        <v>20</v>
      </c>
      <c r="D387" s="2" t="s">
        <v>37</v>
      </c>
      <c r="E387" s="8">
        <v>444626.23546666669</v>
      </c>
      <c r="F387" s="8">
        <v>225644.58106666667</v>
      </c>
      <c r="G387" s="8">
        <v>68.412666666666667</v>
      </c>
      <c r="J387">
        <v>444626.23670000001</v>
      </c>
      <c r="K387">
        <v>225644.56159999999</v>
      </c>
      <c r="L387">
        <v>68.438800000000001</v>
      </c>
      <c r="M387" s="3">
        <f t="shared" ref="M387:M450" si="50">J387-E387</f>
        <v>1.2333333143033087E-3</v>
      </c>
      <c r="N387" s="3">
        <f t="shared" ref="N387:N450" si="51">K387-F387</f>
        <v>-1.9466666679363698E-2</v>
      </c>
      <c r="O387" s="3">
        <f t="shared" ref="O387:O450" si="52">ABS(L387-G387)</f>
        <v>2.6133333333334008E-2</v>
      </c>
      <c r="P387">
        <f t="shared" ref="P387:P450" si="53">POWER(M387,2)</f>
        <v>1.5211110641703841E-6</v>
      </c>
      <c r="Q387">
        <f t="shared" ref="Q387:Q450" si="54">POWER(N387,2)</f>
        <v>3.7895111160544888E-4</v>
      </c>
      <c r="R387">
        <f t="shared" ref="R387:R450" si="55">POWER(O387,2)</f>
        <v>6.8295111111114633E-4</v>
      </c>
      <c r="S387">
        <f t="shared" ref="S387:S450" si="56">P387+Q387</f>
        <v>3.8047222266961926E-4</v>
      </c>
      <c r="T387">
        <f t="shared" ref="T387:T450" si="57">SQRT(S387)</f>
        <v>1.9505697184915471E-2</v>
      </c>
    </row>
    <row r="388" spans="1:20" x14ac:dyDescent="0.3">
      <c r="A388" s="2" t="s">
        <v>1168</v>
      </c>
      <c r="B388" s="6" t="s">
        <v>1054</v>
      </c>
      <c r="C388" s="2" t="s">
        <v>20</v>
      </c>
      <c r="D388" s="2" t="s">
        <v>46</v>
      </c>
      <c r="E388" s="8">
        <v>444626.23556666664</v>
      </c>
      <c r="F388" s="8">
        <v>225644.58043333332</v>
      </c>
      <c r="G388" s="8">
        <v>68.410333333333327</v>
      </c>
      <c r="J388">
        <v>444626.23670000001</v>
      </c>
      <c r="K388">
        <v>225644.56159999999</v>
      </c>
      <c r="L388">
        <v>68.438800000000001</v>
      </c>
      <c r="M388" s="3">
        <f t="shared" si="50"/>
        <v>1.1333333677612245E-3</v>
      </c>
      <c r="N388" s="3">
        <f t="shared" si="51"/>
        <v>-1.8833333335351199E-2</v>
      </c>
      <c r="O388" s="3">
        <f t="shared" si="52"/>
        <v>2.8466666666673746E-2</v>
      </c>
      <c r="P388">
        <f t="shared" si="53"/>
        <v>1.284444522480999E-6</v>
      </c>
      <c r="Q388">
        <f t="shared" si="54"/>
        <v>3.5469444452045074E-4</v>
      </c>
      <c r="R388">
        <f t="shared" si="55"/>
        <v>8.1035111111151415E-4</v>
      </c>
      <c r="S388">
        <f t="shared" si="56"/>
        <v>3.5597888904293173E-4</v>
      </c>
      <c r="T388">
        <f t="shared" si="57"/>
        <v>1.8867402816575781E-2</v>
      </c>
    </row>
    <row r="389" spans="1:20" x14ac:dyDescent="0.3">
      <c r="A389" s="2" t="s">
        <v>1168</v>
      </c>
      <c r="B389" s="6" t="s">
        <v>1054</v>
      </c>
      <c r="C389" s="2" t="s">
        <v>51</v>
      </c>
      <c r="D389" s="2" t="s">
        <v>63</v>
      </c>
      <c r="E389" s="8">
        <v>444626.24273333332</v>
      </c>
      <c r="F389" s="8">
        <v>225644.58053333333</v>
      </c>
      <c r="G389" s="8">
        <v>68.403000000000006</v>
      </c>
      <c r="J389">
        <v>444626.23670000001</v>
      </c>
      <c r="K389">
        <v>225644.56159999999</v>
      </c>
      <c r="L389">
        <v>68.438800000000001</v>
      </c>
      <c r="M389" s="3">
        <f t="shared" si="50"/>
        <v>-6.0333333094604313E-3</v>
      </c>
      <c r="N389" s="3">
        <f t="shared" si="51"/>
        <v>-1.8933333340100944E-2</v>
      </c>
      <c r="O389" s="3">
        <f t="shared" si="52"/>
        <v>3.5799999999994725E-2</v>
      </c>
      <c r="P389">
        <f t="shared" si="53"/>
        <v>3.6401110823044758E-5</v>
      </c>
      <c r="Q389">
        <f t="shared" si="54"/>
        <v>3.5847111136737796E-4</v>
      </c>
      <c r="R389">
        <f t="shared" si="55"/>
        <v>1.2816399999996224E-3</v>
      </c>
      <c r="S389">
        <f t="shared" si="56"/>
        <v>3.9487222219042274E-4</v>
      </c>
      <c r="T389">
        <f t="shared" si="57"/>
        <v>1.9871392054670523E-2</v>
      </c>
    </row>
    <row r="390" spans="1:20" x14ac:dyDescent="0.3">
      <c r="A390" s="2" t="s">
        <v>1168</v>
      </c>
      <c r="B390" s="6" t="s">
        <v>1054</v>
      </c>
      <c r="C390" s="2" t="s">
        <v>51</v>
      </c>
      <c r="D390" s="2" t="s">
        <v>30</v>
      </c>
      <c r="E390" s="8">
        <v>444626.24183333333</v>
      </c>
      <c r="F390" s="8">
        <v>225644.57093333337</v>
      </c>
      <c r="G390" s="8">
        <v>68.408000000000001</v>
      </c>
      <c r="J390">
        <v>444626.23670000001</v>
      </c>
      <c r="K390">
        <v>225644.56159999999</v>
      </c>
      <c r="L390">
        <v>68.438800000000001</v>
      </c>
      <c r="M390" s="3">
        <f t="shared" si="50"/>
        <v>-5.1333333249203861E-3</v>
      </c>
      <c r="N390" s="3">
        <f t="shared" si="51"/>
        <v>-9.3333333788905293E-3</v>
      </c>
      <c r="O390" s="3">
        <f t="shared" si="52"/>
        <v>3.0799999999999272E-2</v>
      </c>
      <c r="P390">
        <f t="shared" si="53"/>
        <v>2.6351111024738186E-5</v>
      </c>
      <c r="Q390">
        <f t="shared" si="54"/>
        <v>8.711111196151211E-5</v>
      </c>
      <c r="R390">
        <f t="shared" si="55"/>
        <v>9.4863999999995517E-4</v>
      </c>
      <c r="S390">
        <f t="shared" si="56"/>
        <v>1.1346222298625029E-4</v>
      </c>
      <c r="T390">
        <f t="shared" si="57"/>
        <v>1.0651864765676021E-2</v>
      </c>
    </row>
    <row r="391" spans="1:20" x14ac:dyDescent="0.3">
      <c r="A391" s="2" t="s">
        <v>1168</v>
      </c>
      <c r="B391" s="6" t="s">
        <v>1054</v>
      </c>
      <c r="C391" s="2" t="s">
        <v>51</v>
      </c>
      <c r="D391" s="2" t="s">
        <v>52</v>
      </c>
      <c r="E391" s="8">
        <v>444626.2352</v>
      </c>
      <c r="F391" s="8">
        <v>225644.57219999997</v>
      </c>
      <c r="G391" s="8">
        <v>68.433666666666667</v>
      </c>
      <c r="J391">
        <v>444626.23670000001</v>
      </c>
      <c r="K391">
        <v>225644.56159999999</v>
      </c>
      <c r="L391">
        <v>68.438800000000001</v>
      </c>
      <c r="M391" s="3">
        <f t="shared" si="50"/>
        <v>1.500000013038516E-3</v>
      </c>
      <c r="N391" s="3">
        <f t="shared" si="51"/>
        <v>-1.0599999979604036E-2</v>
      </c>
      <c r="O391" s="3">
        <f t="shared" si="52"/>
        <v>5.1333333333332121E-3</v>
      </c>
      <c r="P391">
        <f t="shared" si="53"/>
        <v>2.2500000391155483E-6</v>
      </c>
      <c r="Q391">
        <f t="shared" si="54"/>
        <v>1.1235999956760555E-4</v>
      </c>
      <c r="R391">
        <f t="shared" si="55"/>
        <v>2.6351111111109865E-5</v>
      </c>
      <c r="S391">
        <f t="shared" si="56"/>
        <v>1.146099996067211E-4</v>
      </c>
      <c r="T391">
        <f t="shared" si="57"/>
        <v>1.0705605989700962E-2</v>
      </c>
    </row>
    <row r="392" spans="1:20" x14ac:dyDescent="0.3">
      <c r="A392" s="2" t="s">
        <v>1168</v>
      </c>
      <c r="B392" s="6" t="s">
        <v>1054</v>
      </c>
      <c r="C392" s="2" t="s">
        <v>422</v>
      </c>
      <c r="D392" s="2" t="s">
        <v>423</v>
      </c>
      <c r="E392" s="8">
        <v>444626.23633333336</v>
      </c>
      <c r="F392" s="8">
        <v>225644.5852</v>
      </c>
      <c r="G392" s="8">
        <v>68.545000000000002</v>
      </c>
      <c r="J392">
        <v>444626.23670000001</v>
      </c>
      <c r="K392">
        <v>225644.56159999999</v>
      </c>
      <c r="L392">
        <v>68.438800000000001</v>
      </c>
      <c r="M392" s="3">
        <f t="shared" si="50"/>
        <v>3.6666664527729154E-4</v>
      </c>
      <c r="N392" s="3">
        <f t="shared" si="51"/>
        <v>-2.3600000014994293E-2</v>
      </c>
      <c r="O392" s="3">
        <f t="shared" si="52"/>
        <v>0.10620000000000118</v>
      </c>
      <c r="P392">
        <f t="shared" si="53"/>
        <v>1.3444442875890314E-7</v>
      </c>
      <c r="Q392">
        <f t="shared" si="54"/>
        <v>5.5696000070773065E-4</v>
      </c>
      <c r="R392">
        <f t="shared" si="55"/>
        <v>1.127844000000025E-2</v>
      </c>
      <c r="S392">
        <f t="shared" si="56"/>
        <v>5.5709444513648957E-4</v>
      </c>
      <c r="T392">
        <f t="shared" si="57"/>
        <v>2.3602848242034045E-2</v>
      </c>
    </row>
    <row r="393" spans="1:20" x14ac:dyDescent="0.3">
      <c r="A393" s="2" t="s">
        <v>1168</v>
      </c>
      <c r="B393" s="6" t="s">
        <v>1055</v>
      </c>
      <c r="C393" s="2" t="s">
        <v>20</v>
      </c>
      <c r="D393" s="2" t="s">
        <v>30</v>
      </c>
      <c r="E393" s="8">
        <v>417902.98223333334</v>
      </c>
      <c r="F393" s="8">
        <v>221907.94110000003</v>
      </c>
      <c r="G393" s="8">
        <v>165.13233333333335</v>
      </c>
      <c r="J393">
        <v>417902.9952</v>
      </c>
      <c r="K393">
        <v>221907.91070000001</v>
      </c>
      <c r="L393">
        <v>165.14510000000001</v>
      </c>
      <c r="M393" s="3">
        <f t="shared" si="50"/>
        <v>1.2966666661668569E-2</v>
      </c>
      <c r="N393" s="3">
        <f t="shared" si="51"/>
        <v>-3.0400000017834827E-2</v>
      </c>
      <c r="O393" s="3">
        <f t="shared" si="52"/>
        <v>1.276666666666415E-2</v>
      </c>
      <c r="P393">
        <f t="shared" si="53"/>
        <v>1.681344443148271E-4</v>
      </c>
      <c r="Q393">
        <f t="shared" si="54"/>
        <v>9.2416000108435747E-4</v>
      </c>
      <c r="R393">
        <f t="shared" si="55"/>
        <v>1.6298777777771353E-4</v>
      </c>
      <c r="S393">
        <f t="shared" si="56"/>
        <v>1.0922944453991845E-3</v>
      </c>
      <c r="T393">
        <f t="shared" si="57"/>
        <v>3.3049878144997519E-2</v>
      </c>
    </row>
    <row r="394" spans="1:20" x14ac:dyDescent="0.3">
      <c r="A394" s="2" t="s">
        <v>1168</v>
      </c>
      <c r="B394" s="6" t="s">
        <v>1055</v>
      </c>
      <c r="C394" s="2" t="s">
        <v>20</v>
      </c>
      <c r="D394" s="2" t="s">
        <v>21</v>
      </c>
      <c r="E394" s="8">
        <v>417902.99599999998</v>
      </c>
      <c r="F394" s="8">
        <v>221907.93729999999</v>
      </c>
      <c r="G394" s="8">
        <v>165.09866666666667</v>
      </c>
      <c r="J394">
        <v>417902.9952</v>
      </c>
      <c r="K394">
        <v>221907.91070000001</v>
      </c>
      <c r="L394">
        <v>165.14510000000001</v>
      </c>
      <c r="M394" s="3">
        <f t="shared" si="50"/>
        <v>-7.9999997979030013E-4</v>
      </c>
      <c r="N394" s="3">
        <f t="shared" si="51"/>
        <v>-2.6599999982863665E-2</v>
      </c>
      <c r="O394" s="3">
        <f t="shared" si="52"/>
        <v>4.6433333333339988E-2</v>
      </c>
      <c r="P394">
        <f t="shared" si="53"/>
        <v>6.3999996766448062E-7</v>
      </c>
      <c r="Q394">
        <f t="shared" si="54"/>
        <v>7.0755999908834696E-4</v>
      </c>
      <c r="R394">
        <f t="shared" si="55"/>
        <v>2.1560544444450625E-3</v>
      </c>
      <c r="S394">
        <f t="shared" si="56"/>
        <v>7.0819999905601149E-4</v>
      </c>
      <c r="T394">
        <f t="shared" si="57"/>
        <v>2.6612027338329777E-2</v>
      </c>
    </row>
    <row r="395" spans="1:20" x14ac:dyDescent="0.3">
      <c r="A395" s="2" t="s">
        <v>1168</v>
      </c>
      <c r="B395" s="6" t="s">
        <v>1056</v>
      </c>
      <c r="C395" s="2" t="s">
        <v>20</v>
      </c>
      <c r="D395" s="2" t="s">
        <v>110</v>
      </c>
      <c r="E395" s="8">
        <v>417902.98066666658</v>
      </c>
      <c r="F395" s="8">
        <v>221907.93833333335</v>
      </c>
      <c r="G395" s="8">
        <v>165.10333333333332</v>
      </c>
      <c r="J395">
        <v>417902.9952</v>
      </c>
      <c r="K395">
        <v>221907.91070000001</v>
      </c>
      <c r="L395">
        <v>165.14510000000001</v>
      </c>
      <c r="M395" s="3">
        <f t="shared" si="50"/>
        <v>1.4533333422150463E-2</v>
      </c>
      <c r="N395" s="3">
        <f t="shared" si="51"/>
        <v>-2.7633333345875144E-2</v>
      </c>
      <c r="O395" s="3">
        <f t="shared" si="52"/>
        <v>4.1766666666688934E-2</v>
      </c>
      <c r="P395">
        <f t="shared" si="53"/>
        <v>2.1121778035939568E-4</v>
      </c>
      <c r="Q395">
        <f t="shared" si="54"/>
        <v>7.6360111180425513E-4</v>
      </c>
      <c r="R395">
        <f t="shared" si="55"/>
        <v>1.7444544444463045E-3</v>
      </c>
      <c r="S395">
        <f t="shared" si="56"/>
        <v>9.7481889216365081E-4</v>
      </c>
      <c r="T395">
        <f t="shared" si="57"/>
        <v>3.1222089810959978E-2</v>
      </c>
    </row>
    <row r="396" spans="1:20" x14ac:dyDescent="0.3">
      <c r="A396" s="2" t="s">
        <v>1168</v>
      </c>
      <c r="B396" s="6" t="s">
        <v>1056</v>
      </c>
      <c r="C396" s="2" t="s">
        <v>20</v>
      </c>
      <c r="D396" s="2" t="s">
        <v>37</v>
      </c>
      <c r="E396" s="8">
        <v>417902.9997333333</v>
      </c>
      <c r="F396" s="8">
        <v>221907.92983333333</v>
      </c>
      <c r="G396" s="8">
        <v>165.10733333333334</v>
      </c>
      <c r="J396">
        <v>417902.9952</v>
      </c>
      <c r="K396">
        <v>221907.91070000001</v>
      </c>
      <c r="L396">
        <v>165.14510000000001</v>
      </c>
      <c r="M396" s="3">
        <f t="shared" si="50"/>
        <v>-4.5333332964219153E-3</v>
      </c>
      <c r="N396" s="3">
        <f t="shared" si="51"/>
        <v>-1.9133333320496604E-2</v>
      </c>
      <c r="O396" s="3">
        <f t="shared" si="52"/>
        <v>3.7766666666669835E-2</v>
      </c>
      <c r="P396">
        <f t="shared" si="53"/>
        <v>2.0551110776447589E-5</v>
      </c>
      <c r="Q396">
        <f t="shared" si="54"/>
        <v>3.6608444395322561E-4</v>
      </c>
      <c r="R396">
        <f t="shared" si="55"/>
        <v>1.4263211111113503E-3</v>
      </c>
      <c r="S396">
        <f t="shared" si="56"/>
        <v>3.8663555472967319E-4</v>
      </c>
      <c r="T396">
        <f t="shared" si="57"/>
        <v>1.9663050494002021E-2</v>
      </c>
    </row>
    <row r="397" spans="1:20" x14ac:dyDescent="0.3">
      <c r="A397" s="2" t="s">
        <v>1168</v>
      </c>
      <c r="B397" s="6" t="s">
        <v>1056</v>
      </c>
      <c r="C397" s="2" t="s">
        <v>20</v>
      </c>
      <c r="D397" s="2" t="s">
        <v>46</v>
      </c>
      <c r="E397" s="8">
        <v>417902.99433333334</v>
      </c>
      <c r="F397" s="8">
        <v>221907.93963333333</v>
      </c>
      <c r="G397" s="8">
        <v>165.12666666666667</v>
      </c>
      <c r="J397">
        <v>417902.9952</v>
      </c>
      <c r="K397">
        <v>221907.91070000001</v>
      </c>
      <c r="L397">
        <v>165.14510000000001</v>
      </c>
      <c r="M397" s="3">
        <f t="shared" si="50"/>
        <v>8.6666666902601719E-4</v>
      </c>
      <c r="N397" s="3">
        <f t="shared" si="51"/>
        <v>-2.8933333320310339E-2</v>
      </c>
      <c r="O397" s="3">
        <f t="shared" si="52"/>
        <v>1.8433333333348401E-2</v>
      </c>
      <c r="P397">
        <f t="shared" si="53"/>
        <v>7.5111111520065202E-7</v>
      </c>
      <c r="Q397">
        <f t="shared" si="54"/>
        <v>8.3713777702418052E-4</v>
      </c>
      <c r="R397">
        <f t="shared" si="55"/>
        <v>3.3978777777833325E-4</v>
      </c>
      <c r="S397">
        <f t="shared" si="56"/>
        <v>8.3788888813938122E-4</v>
      </c>
      <c r="T397">
        <f t="shared" si="57"/>
        <v>2.8946310440872793E-2</v>
      </c>
    </row>
    <row r="398" spans="1:20" x14ac:dyDescent="0.3">
      <c r="A398" s="2" t="s">
        <v>1168</v>
      </c>
      <c r="B398" s="6" t="s">
        <v>1056</v>
      </c>
      <c r="C398" s="2" t="s">
        <v>51</v>
      </c>
      <c r="D398" s="2" t="s">
        <v>63</v>
      </c>
      <c r="E398" s="8">
        <v>417902.9777333333</v>
      </c>
      <c r="F398" s="8">
        <v>221907.93443333334</v>
      </c>
      <c r="G398" s="8">
        <v>165.15266666666665</v>
      </c>
      <c r="J398">
        <v>417902.9952</v>
      </c>
      <c r="K398">
        <v>221907.91070000001</v>
      </c>
      <c r="L398">
        <v>165.14510000000001</v>
      </c>
      <c r="M398" s="3">
        <f t="shared" si="50"/>
        <v>1.7466666700784117E-2</v>
      </c>
      <c r="N398" s="3">
        <f t="shared" si="51"/>
        <v>-2.3733333335258067E-2</v>
      </c>
      <c r="O398" s="3">
        <f t="shared" si="52"/>
        <v>7.5666666666336369E-3</v>
      </c>
      <c r="P398">
        <f t="shared" si="53"/>
        <v>3.0508444563628071E-4</v>
      </c>
      <c r="Q398">
        <f t="shared" si="54"/>
        <v>5.6327111120247177E-4</v>
      </c>
      <c r="R398">
        <f t="shared" si="55"/>
        <v>5.7254444443944597E-5</v>
      </c>
      <c r="S398">
        <f t="shared" si="56"/>
        <v>8.6835555683875253E-4</v>
      </c>
      <c r="T398">
        <f t="shared" si="57"/>
        <v>2.9467873300235845E-2</v>
      </c>
    </row>
    <row r="399" spans="1:20" x14ac:dyDescent="0.3">
      <c r="A399" s="2" t="s">
        <v>1168</v>
      </c>
      <c r="B399" s="6" t="s">
        <v>1056</v>
      </c>
      <c r="C399" s="2" t="s">
        <v>51</v>
      </c>
      <c r="D399" s="2" t="s">
        <v>30</v>
      </c>
      <c r="E399" s="8">
        <v>417902.99186666665</v>
      </c>
      <c r="F399" s="8">
        <v>221907.93436666662</v>
      </c>
      <c r="G399" s="8">
        <v>165.12100000000001</v>
      </c>
      <c r="J399">
        <v>417902.9952</v>
      </c>
      <c r="K399">
        <v>221907.91070000001</v>
      </c>
      <c r="L399">
        <v>165.14510000000001</v>
      </c>
      <c r="M399" s="3">
        <f t="shared" si="50"/>
        <v>3.3333333558402956E-3</v>
      </c>
      <c r="N399" s="3">
        <f t="shared" si="51"/>
        <v>-2.3666666616918519E-2</v>
      </c>
      <c r="O399" s="3">
        <f t="shared" si="52"/>
        <v>2.4100000000004229E-2</v>
      </c>
      <c r="P399">
        <f t="shared" si="53"/>
        <v>1.1111111261157526E-5</v>
      </c>
      <c r="Q399">
        <f t="shared" si="54"/>
        <v>5.6011110875636542E-4</v>
      </c>
      <c r="R399">
        <f t="shared" si="55"/>
        <v>5.8081000000020379E-4</v>
      </c>
      <c r="S399">
        <f t="shared" si="56"/>
        <v>5.71222220017523E-4</v>
      </c>
      <c r="T399">
        <f t="shared" si="57"/>
        <v>2.3900255647534882E-2</v>
      </c>
    </row>
    <row r="400" spans="1:20" x14ac:dyDescent="0.3">
      <c r="A400" s="2" t="s">
        <v>1168</v>
      </c>
      <c r="B400" s="6" t="s">
        <v>1056</v>
      </c>
      <c r="C400" s="2" t="s">
        <v>51</v>
      </c>
      <c r="D400" s="2" t="s">
        <v>52</v>
      </c>
      <c r="E400" s="8">
        <v>417902.99983333331</v>
      </c>
      <c r="F400" s="8">
        <v>221907.93436666668</v>
      </c>
      <c r="G400" s="8">
        <v>165.10800000000003</v>
      </c>
      <c r="J400">
        <v>417902.9952</v>
      </c>
      <c r="K400">
        <v>221907.91070000001</v>
      </c>
      <c r="L400">
        <v>165.14510000000001</v>
      </c>
      <c r="M400" s="3">
        <f t="shared" si="50"/>
        <v>-4.6333333011716604E-3</v>
      </c>
      <c r="N400" s="3">
        <f t="shared" si="51"/>
        <v>-2.366666667512618E-2</v>
      </c>
      <c r="O400" s="3">
        <f t="shared" si="52"/>
        <v>3.7099999999981037E-2</v>
      </c>
      <c r="P400">
        <f t="shared" si="53"/>
        <v>2.1467777479746277E-5</v>
      </c>
      <c r="Q400">
        <f t="shared" si="54"/>
        <v>5.6011111151152806E-4</v>
      </c>
      <c r="R400">
        <f t="shared" si="55"/>
        <v>1.3764099999985929E-3</v>
      </c>
      <c r="S400">
        <f t="shared" si="56"/>
        <v>5.8157888899127439E-4</v>
      </c>
      <c r="T400">
        <f t="shared" si="57"/>
        <v>2.4115946777833012E-2</v>
      </c>
    </row>
    <row r="401" spans="1:20" x14ac:dyDescent="0.3">
      <c r="A401" s="2" t="s">
        <v>1168</v>
      </c>
      <c r="B401" s="6" t="s">
        <v>1056</v>
      </c>
      <c r="C401" s="2" t="s">
        <v>422</v>
      </c>
      <c r="D401" s="2" t="s">
        <v>423</v>
      </c>
      <c r="E401" s="8">
        <v>417902.95956666669</v>
      </c>
      <c r="F401" s="8">
        <v>221907.92119999998</v>
      </c>
      <c r="G401" s="8">
        <v>165.15033333333335</v>
      </c>
      <c r="J401">
        <v>417902.9952</v>
      </c>
      <c r="K401">
        <v>221907.91070000001</v>
      </c>
      <c r="L401">
        <v>165.14510000000001</v>
      </c>
      <c r="M401" s="3">
        <f t="shared" si="50"/>
        <v>3.5633333318401128E-2</v>
      </c>
      <c r="N401" s="3">
        <f t="shared" si="51"/>
        <v>-1.049999997485429E-2</v>
      </c>
      <c r="O401" s="3">
        <f t="shared" si="52"/>
        <v>5.2333333333365317E-3</v>
      </c>
      <c r="P401">
        <f t="shared" si="53"/>
        <v>1.2697344433802759E-3</v>
      </c>
      <c r="Q401">
        <f t="shared" si="54"/>
        <v>1.102499994719401E-4</v>
      </c>
      <c r="R401">
        <f t="shared" si="55"/>
        <v>2.7387777777811256E-5</v>
      </c>
      <c r="S401">
        <f t="shared" si="56"/>
        <v>1.379984442852216E-3</v>
      </c>
      <c r="T401">
        <f t="shared" si="57"/>
        <v>3.7148141849252921E-2</v>
      </c>
    </row>
    <row r="402" spans="1:20" x14ac:dyDescent="0.3">
      <c r="A402" s="2" t="s">
        <v>1168</v>
      </c>
      <c r="B402" s="6" t="s">
        <v>1057</v>
      </c>
      <c r="C402" s="2" t="s">
        <v>20</v>
      </c>
      <c r="D402" s="2" t="s">
        <v>46</v>
      </c>
      <c r="E402" s="8">
        <v>409980.7114666666</v>
      </c>
      <c r="F402" s="8">
        <v>235132.42503333333</v>
      </c>
      <c r="G402" s="8">
        <v>123.33433333333333</v>
      </c>
      <c r="J402">
        <v>409980.6911</v>
      </c>
      <c r="K402">
        <v>235132.4277</v>
      </c>
      <c r="L402">
        <v>123.35769999999999</v>
      </c>
      <c r="M402" s="3">
        <f t="shared" si="50"/>
        <v>-2.0366666605696082E-2</v>
      </c>
      <c r="N402" s="3">
        <f t="shared" si="51"/>
        <v>2.6666666672099382E-3</v>
      </c>
      <c r="O402" s="3">
        <f t="shared" si="52"/>
        <v>2.3366666666660763E-2</v>
      </c>
      <c r="P402">
        <f t="shared" si="53"/>
        <v>4.1480110862757597E-4</v>
      </c>
      <c r="Q402">
        <f t="shared" si="54"/>
        <v>7.1111111140085591E-6</v>
      </c>
      <c r="R402">
        <f t="shared" si="55"/>
        <v>5.4600111111083522E-4</v>
      </c>
      <c r="S402">
        <f t="shared" si="56"/>
        <v>4.2191221974158456E-4</v>
      </c>
      <c r="T402">
        <f t="shared" si="57"/>
        <v>2.0540501934996246E-2</v>
      </c>
    </row>
    <row r="403" spans="1:20" x14ac:dyDescent="0.3">
      <c r="A403" s="2" t="s">
        <v>1168</v>
      </c>
      <c r="B403" s="6" t="s">
        <v>1057</v>
      </c>
      <c r="C403" s="2" t="s">
        <v>20</v>
      </c>
      <c r="D403" s="2" t="s">
        <v>37</v>
      </c>
      <c r="E403" s="8">
        <v>409980.71406666661</v>
      </c>
      <c r="F403" s="8">
        <v>235132.42806666667</v>
      </c>
      <c r="G403" s="8">
        <v>123.33466666666668</v>
      </c>
      <c r="J403">
        <v>409980.6911</v>
      </c>
      <c r="K403">
        <v>235132.4277</v>
      </c>
      <c r="L403">
        <v>123.35769999999999</v>
      </c>
      <c r="M403" s="3">
        <f t="shared" si="50"/>
        <v>-2.2966666612774134E-2</v>
      </c>
      <c r="N403" s="3">
        <f t="shared" si="51"/>
        <v>-3.6666667438112199E-4</v>
      </c>
      <c r="O403" s="3">
        <f t="shared" si="52"/>
        <v>2.3033333333316364E-2</v>
      </c>
      <c r="P403">
        <f t="shared" si="53"/>
        <v>5.274677753023141E-4</v>
      </c>
      <c r="Q403">
        <f t="shared" si="54"/>
        <v>1.3444445010171174E-7</v>
      </c>
      <c r="R403">
        <f t="shared" si="55"/>
        <v>5.3053444444366269E-4</v>
      </c>
      <c r="S403">
        <f t="shared" si="56"/>
        <v>5.2760221975241576E-4</v>
      </c>
      <c r="T403">
        <f t="shared" si="57"/>
        <v>2.2969593373684608E-2</v>
      </c>
    </row>
    <row r="404" spans="1:20" x14ac:dyDescent="0.3">
      <c r="A404" s="2" t="s">
        <v>1168</v>
      </c>
      <c r="B404" s="6" t="s">
        <v>1058</v>
      </c>
      <c r="C404" s="2" t="s">
        <v>51</v>
      </c>
      <c r="D404" s="2" t="s">
        <v>63</v>
      </c>
      <c r="E404" s="8">
        <v>409980.68349999998</v>
      </c>
      <c r="F404" s="8">
        <v>235132.5135</v>
      </c>
      <c r="G404" s="8">
        <v>123.18900000000001</v>
      </c>
      <c r="J404">
        <v>409980.6911</v>
      </c>
      <c r="K404">
        <v>235132.4277</v>
      </c>
      <c r="L404">
        <v>123.35769999999999</v>
      </c>
      <c r="M404" s="3">
        <f t="shared" si="50"/>
        <v>7.6000000117346644E-3</v>
      </c>
      <c r="N404" s="3">
        <f t="shared" si="51"/>
        <v>-8.5800000000745058E-2</v>
      </c>
      <c r="O404" s="3">
        <f t="shared" si="52"/>
        <v>0.16869999999998697</v>
      </c>
      <c r="P404">
        <f t="shared" si="53"/>
        <v>5.77600001783669E-5</v>
      </c>
      <c r="Q404">
        <f t="shared" si="54"/>
        <v>7.3616400001278517E-3</v>
      </c>
      <c r="R404">
        <f t="shared" si="55"/>
        <v>2.8459689999995604E-2</v>
      </c>
      <c r="S404">
        <f t="shared" si="56"/>
        <v>7.4194000003062191E-3</v>
      </c>
      <c r="T404">
        <f t="shared" si="57"/>
        <v>8.6135939074849704E-2</v>
      </c>
    </row>
    <row r="405" spans="1:20" x14ac:dyDescent="0.3">
      <c r="A405" s="2" t="s">
        <v>1168</v>
      </c>
      <c r="B405" s="6" t="s">
        <v>1058</v>
      </c>
      <c r="C405" s="2" t="s">
        <v>51</v>
      </c>
      <c r="D405" s="2" t="s">
        <v>30</v>
      </c>
      <c r="E405" s="8">
        <v>409980.69819999998</v>
      </c>
      <c r="F405" s="8">
        <v>235132.43480000002</v>
      </c>
      <c r="G405" s="8">
        <v>123.33366666666666</v>
      </c>
      <c r="J405">
        <v>409980.6911</v>
      </c>
      <c r="K405">
        <v>235132.4277</v>
      </c>
      <c r="L405">
        <v>123.35769999999999</v>
      </c>
      <c r="M405" s="3">
        <f t="shared" si="50"/>
        <v>-7.0999999879859388E-3</v>
      </c>
      <c r="N405" s="3">
        <f t="shared" si="51"/>
        <v>-7.1000000170897692E-3</v>
      </c>
      <c r="O405" s="3">
        <f t="shared" si="52"/>
        <v>2.4033333333335349E-2</v>
      </c>
      <c r="P405">
        <f t="shared" si="53"/>
        <v>5.0409999829400328E-5</v>
      </c>
      <c r="Q405">
        <f t="shared" si="54"/>
        <v>5.0410000242674723E-5</v>
      </c>
      <c r="R405">
        <f t="shared" si="55"/>
        <v>5.7760111111120798E-4</v>
      </c>
      <c r="S405">
        <f t="shared" si="56"/>
        <v>1.0082000007207505E-4</v>
      </c>
      <c r="T405">
        <f t="shared" si="57"/>
        <v>1.0040916296438043E-2</v>
      </c>
    </row>
    <row r="406" spans="1:20" x14ac:dyDescent="0.3">
      <c r="A406" s="2" t="s">
        <v>1168</v>
      </c>
      <c r="B406" s="6" t="s">
        <v>1058</v>
      </c>
      <c r="C406" s="2" t="s">
        <v>51</v>
      </c>
      <c r="D406" s="2" t="s">
        <v>52</v>
      </c>
      <c r="E406" s="8">
        <v>409980.69219999999</v>
      </c>
      <c r="F406" s="8">
        <v>235132.41156666668</v>
      </c>
      <c r="G406" s="8">
        <v>123.33300000000001</v>
      </c>
      <c r="J406">
        <v>409980.6911</v>
      </c>
      <c r="K406">
        <v>235132.4277</v>
      </c>
      <c r="L406">
        <v>123.35769999999999</v>
      </c>
      <c r="M406" s="3">
        <f t="shared" si="50"/>
        <v>-1.0999999940395355E-3</v>
      </c>
      <c r="N406" s="3">
        <f t="shared" si="51"/>
        <v>1.6133333323523402E-2</v>
      </c>
      <c r="O406" s="3">
        <f t="shared" si="52"/>
        <v>2.4699999999981515E-2</v>
      </c>
      <c r="P406">
        <f t="shared" si="53"/>
        <v>1.2099999868869782E-6</v>
      </c>
      <c r="Q406">
        <f t="shared" si="54"/>
        <v>2.6028444412791067E-4</v>
      </c>
      <c r="R406">
        <f t="shared" si="55"/>
        <v>6.1008999999908687E-4</v>
      </c>
      <c r="S406">
        <f t="shared" si="56"/>
        <v>2.6149444411479765E-4</v>
      </c>
      <c r="T406">
        <f t="shared" si="57"/>
        <v>1.6170789842020632E-2</v>
      </c>
    </row>
    <row r="407" spans="1:20" x14ac:dyDescent="0.3">
      <c r="A407" s="2" t="s">
        <v>1168</v>
      </c>
      <c r="B407" s="6" t="s">
        <v>1058</v>
      </c>
      <c r="C407" s="2" t="s">
        <v>422</v>
      </c>
      <c r="D407" s="2" t="s">
        <v>423</v>
      </c>
      <c r="E407" s="8">
        <v>409980.69416666665</v>
      </c>
      <c r="F407" s="8">
        <v>235132.39346666666</v>
      </c>
      <c r="G407" s="8">
        <v>123.414</v>
      </c>
      <c r="J407">
        <v>409980.6911</v>
      </c>
      <c r="K407">
        <v>235132.4277</v>
      </c>
      <c r="L407">
        <v>123.35769999999999</v>
      </c>
      <c r="M407" s="3">
        <f t="shared" si="50"/>
        <v>-3.0666666571050882E-3</v>
      </c>
      <c r="N407" s="3">
        <f t="shared" si="51"/>
        <v>3.4233333339216188E-2</v>
      </c>
      <c r="O407" s="3">
        <f t="shared" si="52"/>
        <v>5.6300000000007344E-2</v>
      </c>
      <c r="P407">
        <f t="shared" si="53"/>
        <v>9.4044443858000968E-6</v>
      </c>
      <c r="Q407">
        <f t="shared" si="54"/>
        <v>1.1719211115138906E-3</v>
      </c>
      <c r="R407">
        <f t="shared" si="55"/>
        <v>3.1696900000008268E-3</v>
      </c>
      <c r="S407">
        <f t="shared" si="56"/>
        <v>1.1813255558996906E-3</v>
      </c>
      <c r="T407">
        <f t="shared" si="57"/>
        <v>3.4370416871194485E-2</v>
      </c>
    </row>
    <row r="408" spans="1:20" x14ac:dyDescent="0.3">
      <c r="A408" s="2" t="s">
        <v>1168</v>
      </c>
      <c r="B408" s="6" t="s">
        <v>1058</v>
      </c>
      <c r="C408" s="2" t="s">
        <v>20</v>
      </c>
      <c r="D408" s="2" t="s">
        <v>30</v>
      </c>
      <c r="E408" s="8">
        <v>409980.68349999998</v>
      </c>
      <c r="F408" s="8">
        <v>235132.42310000001</v>
      </c>
      <c r="G408" s="8">
        <v>123.33066666666666</v>
      </c>
      <c r="J408">
        <v>409980.6911</v>
      </c>
      <c r="K408">
        <v>235132.4277</v>
      </c>
      <c r="L408">
        <v>123.35769999999999</v>
      </c>
      <c r="M408" s="3">
        <f t="shared" si="50"/>
        <v>7.6000000117346644E-3</v>
      </c>
      <c r="N408" s="3">
        <f t="shared" si="51"/>
        <v>4.5999999856576324E-3</v>
      </c>
      <c r="O408" s="3">
        <f t="shared" si="52"/>
        <v>2.7033333333335463E-2</v>
      </c>
      <c r="P408">
        <f t="shared" si="53"/>
        <v>5.77600001783669E-5</v>
      </c>
      <c r="Q408">
        <f t="shared" si="54"/>
        <v>2.1159999868050218E-5</v>
      </c>
      <c r="R408">
        <f t="shared" si="55"/>
        <v>7.3080111111122623E-4</v>
      </c>
      <c r="S408">
        <f t="shared" si="56"/>
        <v>7.8920000046417117E-5</v>
      </c>
      <c r="T408">
        <f t="shared" si="57"/>
        <v>8.8836929284176139E-3</v>
      </c>
    </row>
    <row r="409" spans="1:20" x14ac:dyDescent="0.3">
      <c r="A409" s="2" t="s">
        <v>1168</v>
      </c>
      <c r="B409" s="6" t="s">
        <v>1058</v>
      </c>
      <c r="C409" s="2" t="s">
        <v>20</v>
      </c>
      <c r="D409" s="2" t="s">
        <v>21</v>
      </c>
      <c r="E409" s="8">
        <v>409980.68116666662</v>
      </c>
      <c r="F409" s="8">
        <v>235132.43313333331</v>
      </c>
      <c r="G409" s="8">
        <v>123.35433333333333</v>
      </c>
      <c r="J409">
        <v>409980.6911</v>
      </c>
      <c r="K409">
        <v>235132.4277</v>
      </c>
      <c r="L409">
        <v>123.35769999999999</v>
      </c>
      <c r="M409" s="3">
        <f t="shared" si="50"/>
        <v>9.9333333782851696E-3</v>
      </c>
      <c r="N409" s="3">
        <f t="shared" si="51"/>
        <v>-5.433333310065791E-3</v>
      </c>
      <c r="O409" s="3">
        <f t="shared" si="52"/>
        <v>3.3666666666647416E-3</v>
      </c>
      <c r="P409">
        <f t="shared" si="53"/>
        <v>9.867111200415426E-5</v>
      </c>
      <c r="Q409">
        <f t="shared" si="54"/>
        <v>2.9521110858270484E-5</v>
      </c>
      <c r="R409">
        <f t="shared" si="55"/>
        <v>1.1334444444431482E-5</v>
      </c>
      <c r="S409">
        <f t="shared" si="56"/>
        <v>1.2819222286242476E-4</v>
      </c>
      <c r="T409">
        <f t="shared" si="57"/>
        <v>1.1322200442600579E-2</v>
      </c>
    </row>
    <row r="410" spans="1:20" x14ac:dyDescent="0.3">
      <c r="A410" s="2" t="s">
        <v>1168</v>
      </c>
      <c r="B410" s="6" t="s">
        <v>1059</v>
      </c>
      <c r="C410" s="2" t="s">
        <v>20</v>
      </c>
      <c r="D410" s="2" t="s">
        <v>30</v>
      </c>
      <c r="E410" s="8">
        <v>380856.37856666668</v>
      </c>
      <c r="F410" s="8">
        <v>195002.21873333337</v>
      </c>
      <c r="G410" s="8">
        <v>42.624666666666663</v>
      </c>
      <c r="J410">
        <v>380856.38799999998</v>
      </c>
      <c r="K410">
        <v>195002.22390000001</v>
      </c>
      <c r="L410">
        <v>42.6815</v>
      </c>
      <c r="M410" s="3">
        <f t="shared" si="50"/>
        <v>9.433333296328783E-3</v>
      </c>
      <c r="N410" s="3">
        <f t="shared" si="51"/>
        <v>5.1666666404344141E-3</v>
      </c>
      <c r="O410" s="3">
        <f t="shared" si="52"/>
        <v>5.6833333333337066E-2</v>
      </c>
      <c r="P410">
        <f t="shared" si="53"/>
        <v>8.8987777079625264E-5</v>
      </c>
      <c r="Q410">
        <f t="shared" si="54"/>
        <v>2.6694444173377836E-5</v>
      </c>
      <c r="R410">
        <f t="shared" si="55"/>
        <v>3.230027777778202E-3</v>
      </c>
      <c r="S410">
        <f t="shared" si="56"/>
        <v>1.156822212530031E-4</v>
      </c>
      <c r="T410">
        <f t="shared" si="57"/>
        <v>1.0755566988913374E-2</v>
      </c>
    </row>
    <row r="411" spans="1:20" x14ac:dyDescent="0.3">
      <c r="A411" s="2" t="s">
        <v>1168</v>
      </c>
      <c r="B411" s="6" t="s">
        <v>1059</v>
      </c>
      <c r="C411" s="2" t="s">
        <v>20</v>
      </c>
      <c r="D411" s="2" t="s">
        <v>21</v>
      </c>
      <c r="E411" s="8">
        <v>380856.37660000002</v>
      </c>
      <c r="F411" s="8">
        <v>195002.21533333333</v>
      </c>
      <c r="G411" s="8">
        <v>42.605333333333334</v>
      </c>
      <c r="J411">
        <v>380856.38799999998</v>
      </c>
      <c r="K411">
        <v>195002.22390000001</v>
      </c>
      <c r="L411">
        <v>42.6815</v>
      </c>
      <c r="M411" s="3">
        <f t="shared" si="50"/>
        <v>1.1399999959394336E-2</v>
      </c>
      <c r="N411" s="3">
        <f t="shared" si="51"/>
        <v>8.5666666855104268E-3</v>
      </c>
      <c r="O411" s="3">
        <f t="shared" si="52"/>
        <v>7.6166666666665606E-2</v>
      </c>
      <c r="P411">
        <f t="shared" si="53"/>
        <v>1.2995999907419086E-4</v>
      </c>
      <c r="Q411">
        <f t="shared" si="54"/>
        <v>7.3387778100634198E-5</v>
      </c>
      <c r="R411">
        <f t="shared" si="55"/>
        <v>5.8013611111109491E-3</v>
      </c>
      <c r="S411">
        <f t="shared" si="56"/>
        <v>2.0334777717482505E-4</v>
      </c>
      <c r="T411">
        <f t="shared" si="57"/>
        <v>1.4260006212299666E-2</v>
      </c>
    </row>
    <row r="412" spans="1:20" x14ac:dyDescent="0.3">
      <c r="A412" s="2" t="s">
        <v>1168</v>
      </c>
      <c r="B412" s="6" t="s">
        <v>1060</v>
      </c>
      <c r="C412" s="2" t="s">
        <v>20</v>
      </c>
      <c r="D412" s="2" t="s">
        <v>110</v>
      </c>
      <c r="E412" s="8">
        <v>380856.39663333329</v>
      </c>
      <c r="F412" s="8">
        <v>195002.21476666667</v>
      </c>
      <c r="G412" s="8">
        <v>42.639999999999993</v>
      </c>
      <c r="J412">
        <v>380856.38799999998</v>
      </c>
      <c r="K412">
        <v>195002.22390000001</v>
      </c>
      <c r="L412">
        <v>42.6815</v>
      </c>
      <c r="M412" s="3">
        <f t="shared" si="50"/>
        <v>-8.6333333165384829E-3</v>
      </c>
      <c r="N412" s="3">
        <f t="shared" si="51"/>
        <v>9.1333333402872086E-3</v>
      </c>
      <c r="O412" s="3">
        <f t="shared" si="52"/>
        <v>4.150000000000631E-2</v>
      </c>
      <c r="P412">
        <f t="shared" si="53"/>
        <v>7.4534444154453357E-5</v>
      </c>
      <c r="Q412">
        <f t="shared" si="54"/>
        <v>8.3417777904801899E-5</v>
      </c>
      <c r="R412">
        <f t="shared" si="55"/>
        <v>1.7222500000005237E-3</v>
      </c>
      <c r="S412">
        <f t="shared" si="56"/>
        <v>1.5795222205925526E-4</v>
      </c>
      <c r="T412">
        <f t="shared" si="57"/>
        <v>1.2567904441841339E-2</v>
      </c>
    </row>
    <row r="413" spans="1:20" x14ac:dyDescent="0.3">
      <c r="A413" s="2" t="s">
        <v>1168</v>
      </c>
      <c r="B413" s="6" t="s">
        <v>1060</v>
      </c>
      <c r="C413" s="2" t="s">
        <v>20</v>
      </c>
      <c r="D413" s="2" t="s">
        <v>46</v>
      </c>
      <c r="E413" s="8">
        <v>380856.37929999997</v>
      </c>
      <c r="F413" s="8">
        <v>195002.22443333335</v>
      </c>
      <c r="G413" s="8">
        <v>42.673333333333325</v>
      </c>
      <c r="J413">
        <v>380856.38799999998</v>
      </c>
      <c r="K413">
        <v>195002.22390000001</v>
      </c>
      <c r="L413">
        <v>42.6815</v>
      </c>
      <c r="M413" s="3">
        <f t="shared" si="50"/>
        <v>8.7000000057742E-3</v>
      </c>
      <c r="N413" s="3">
        <f t="shared" si="51"/>
        <v>-5.3333333926275373E-4</v>
      </c>
      <c r="O413" s="3">
        <f t="shared" si="52"/>
        <v>8.1666666666748711E-3</v>
      </c>
      <c r="P413">
        <f t="shared" si="53"/>
        <v>7.5690000100471079E-5</v>
      </c>
      <c r="Q413">
        <f t="shared" si="54"/>
        <v>2.8444445076915956E-7</v>
      </c>
      <c r="R413">
        <f t="shared" si="55"/>
        <v>6.6694444444578453E-5</v>
      </c>
      <c r="S413">
        <f t="shared" si="56"/>
        <v>7.5974444551240236E-5</v>
      </c>
      <c r="T413">
        <f t="shared" si="57"/>
        <v>8.716332058339691E-3</v>
      </c>
    </row>
    <row r="414" spans="1:20" x14ac:dyDescent="0.3">
      <c r="A414" s="2" t="s">
        <v>1168</v>
      </c>
      <c r="B414" s="6" t="s">
        <v>1060</v>
      </c>
      <c r="C414" s="2" t="s">
        <v>51</v>
      </c>
      <c r="D414" s="2" t="s">
        <v>63</v>
      </c>
      <c r="E414" s="8">
        <v>380856.35559999995</v>
      </c>
      <c r="F414" s="8">
        <v>195002.34253333334</v>
      </c>
      <c r="G414" s="8">
        <v>42.573666666666661</v>
      </c>
      <c r="J414">
        <v>380856.38799999998</v>
      </c>
      <c r="K414">
        <v>195002.22390000001</v>
      </c>
      <c r="L414">
        <v>42.6815</v>
      </c>
      <c r="M414" s="3">
        <f t="shared" si="50"/>
        <v>3.2400000025518239E-2</v>
      </c>
      <c r="N414" s="3">
        <f t="shared" si="51"/>
        <v>-0.11863333333167247</v>
      </c>
      <c r="O414" s="3">
        <f t="shared" si="52"/>
        <v>0.107833333333339</v>
      </c>
      <c r="P414">
        <f t="shared" si="53"/>
        <v>1.0497600016535818E-3</v>
      </c>
      <c r="Q414">
        <f t="shared" si="54"/>
        <v>1.4073867777383712E-2</v>
      </c>
      <c r="R414">
        <f t="shared" si="55"/>
        <v>1.1628027777779E-2</v>
      </c>
      <c r="S414">
        <f t="shared" si="56"/>
        <v>1.5123627779037294E-2</v>
      </c>
      <c r="T414">
        <f t="shared" si="57"/>
        <v>0.12297815976439594</v>
      </c>
    </row>
    <row r="415" spans="1:20" x14ac:dyDescent="0.3">
      <c r="A415" s="2" t="s">
        <v>1168</v>
      </c>
      <c r="B415" s="6" t="s">
        <v>1060</v>
      </c>
      <c r="C415" s="2" t="s">
        <v>51</v>
      </c>
      <c r="D415" s="2" t="s">
        <v>30</v>
      </c>
      <c r="E415" s="8">
        <v>380856.39000000007</v>
      </c>
      <c r="F415" s="8">
        <v>195002.22603333334</v>
      </c>
      <c r="G415" s="8">
        <v>42.693999999999996</v>
      </c>
      <c r="J415">
        <v>380856.38799999998</v>
      </c>
      <c r="K415">
        <v>195002.22390000001</v>
      </c>
      <c r="L415">
        <v>42.6815</v>
      </c>
      <c r="M415" s="3">
        <f t="shared" si="50"/>
        <v>-2.0000000949949026E-3</v>
      </c>
      <c r="N415" s="3">
        <f t="shared" si="51"/>
        <v>-2.1333333279471844E-3</v>
      </c>
      <c r="O415" s="3">
        <f t="shared" si="52"/>
        <v>1.2499999999995737E-2</v>
      </c>
      <c r="P415">
        <f t="shared" si="53"/>
        <v>4.0000003799796195E-6</v>
      </c>
      <c r="Q415">
        <f t="shared" si="54"/>
        <v>4.5511110881302092E-6</v>
      </c>
      <c r="R415">
        <f t="shared" si="55"/>
        <v>1.5624999999989343E-4</v>
      </c>
      <c r="S415">
        <f t="shared" si="56"/>
        <v>8.5511114681098278E-6</v>
      </c>
      <c r="T415">
        <f t="shared" si="57"/>
        <v>2.9242283543030336E-3</v>
      </c>
    </row>
    <row r="416" spans="1:20" x14ac:dyDescent="0.3">
      <c r="A416" s="2" t="s">
        <v>1168</v>
      </c>
      <c r="B416" s="6" t="s">
        <v>1060</v>
      </c>
      <c r="C416" s="2" t="s">
        <v>51</v>
      </c>
      <c r="D416" s="2" t="s">
        <v>52</v>
      </c>
      <c r="E416" s="8">
        <v>380856.39196666662</v>
      </c>
      <c r="F416" s="8">
        <v>195002.22180000003</v>
      </c>
      <c r="G416" s="8">
        <v>42.694333333333333</v>
      </c>
      <c r="J416">
        <v>380856.38799999998</v>
      </c>
      <c r="K416">
        <v>195002.22390000001</v>
      </c>
      <c r="L416">
        <v>42.6815</v>
      </c>
      <c r="M416" s="3">
        <f t="shared" si="50"/>
        <v>-3.9666666416451335E-3</v>
      </c>
      <c r="N416" s="3">
        <f t="shared" si="51"/>
        <v>2.0999999833293259E-3</v>
      </c>
      <c r="O416" s="3">
        <f t="shared" si="52"/>
        <v>1.283333333333303E-2</v>
      </c>
      <c r="P416">
        <f t="shared" si="53"/>
        <v>1.5734444245940282E-5</v>
      </c>
      <c r="Q416">
        <f t="shared" si="54"/>
        <v>4.4099999299831691E-6</v>
      </c>
      <c r="R416">
        <f t="shared" si="55"/>
        <v>1.6469444444443666E-4</v>
      </c>
      <c r="S416">
        <f t="shared" si="56"/>
        <v>2.0144444175923451E-5</v>
      </c>
      <c r="T416">
        <f t="shared" si="57"/>
        <v>4.488256251142915E-3</v>
      </c>
    </row>
    <row r="417" spans="1:20" x14ac:dyDescent="0.3">
      <c r="A417" s="2" t="s">
        <v>1168</v>
      </c>
      <c r="B417" s="6" t="s">
        <v>1061</v>
      </c>
      <c r="C417" s="2" t="s">
        <v>20</v>
      </c>
      <c r="D417" s="2" t="s">
        <v>30</v>
      </c>
      <c r="E417" s="8">
        <v>382362.08296666667</v>
      </c>
      <c r="F417" s="8">
        <v>184668.11223333332</v>
      </c>
      <c r="G417" s="8">
        <v>29.344333333333335</v>
      </c>
      <c r="J417">
        <v>382362.10840000003</v>
      </c>
      <c r="K417">
        <v>184668.14360000001</v>
      </c>
      <c r="L417">
        <v>29.3629</v>
      </c>
      <c r="M417" s="3">
        <f t="shared" si="50"/>
        <v>2.5433333357796073E-2</v>
      </c>
      <c r="N417" s="3">
        <f t="shared" si="51"/>
        <v>3.136666669161059E-2</v>
      </c>
      <c r="O417" s="3">
        <f t="shared" si="52"/>
        <v>1.8566666666664844E-2</v>
      </c>
      <c r="P417">
        <f t="shared" si="53"/>
        <v>6.4685444568878241E-4</v>
      </c>
      <c r="Q417">
        <f t="shared" si="54"/>
        <v>9.8386777934259331E-4</v>
      </c>
      <c r="R417">
        <f t="shared" si="55"/>
        <v>3.4472111111104342E-4</v>
      </c>
      <c r="S417">
        <f t="shared" si="56"/>
        <v>1.6307222250313757E-3</v>
      </c>
      <c r="T417">
        <f t="shared" si="57"/>
        <v>4.0382201834860069E-2</v>
      </c>
    </row>
    <row r="418" spans="1:20" x14ac:dyDescent="0.3">
      <c r="A418" s="2" t="s">
        <v>1168</v>
      </c>
      <c r="B418" s="6" t="s">
        <v>1061</v>
      </c>
      <c r="C418" s="2" t="s">
        <v>20</v>
      </c>
      <c r="D418" s="2" t="s">
        <v>21</v>
      </c>
      <c r="E418" s="8">
        <v>382362.08276666672</v>
      </c>
      <c r="F418" s="8">
        <v>184668.11869999999</v>
      </c>
      <c r="G418" s="8">
        <v>29.338333333333335</v>
      </c>
      <c r="J418">
        <v>382362.10840000003</v>
      </c>
      <c r="K418">
        <v>184668.14360000001</v>
      </c>
      <c r="L418">
        <v>29.3629</v>
      </c>
      <c r="M418" s="3">
        <f t="shared" si="50"/>
        <v>2.5633333309087902E-2</v>
      </c>
      <c r="N418" s="3">
        <f t="shared" si="51"/>
        <v>2.4900000018533319E-2</v>
      </c>
      <c r="O418" s="3">
        <f t="shared" si="52"/>
        <v>2.4566666666665071E-2</v>
      </c>
      <c r="P418">
        <f t="shared" si="53"/>
        <v>6.5706777653479534E-4</v>
      </c>
      <c r="Q418">
        <f t="shared" si="54"/>
        <v>6.2001000092295935E-4</v>
      </c>
      <c r="R418">
        <f t="shared" si="55"/>
        <v>6.0352111111103268E-4</v>
      </c>
      <c r="S418">
        <f t="shared" si="56"/>
        <v>1.2770777774577546E-3</v>
      </c>
      <c r="T418">
        <f t="shared" si="57"/>
        <v>3.5736225002898032E-2</v>
      </c>
    </row>
    <row r="419" spans="1:20" x14ac:dyDescent="0.3">
      <c r="A419" s="2" t="s">
        <v>1168</v>
      </c>
      <c r="B419" s="6" t="s">
        <v>1062</v>
      </c>
      <c r="C419" s="2" t="s">
        <v>20</v>
      </c>
      <c r="D419" s="2" t="s">
        <v>110</v>
      </c>
      <c r="E419" s="8">
        <v>382362.08616666665</v>
      </c>
      <c r="F419" s="8">
        <v>184668.11953333335</v>
      </c>
      <c r="G419" s="8">
        <v>29.340000000000003</v>
      </c>
      <c r="J419">
        <v>382362.10840000003</v>
      </c>
      <c r="K419">
        <v>184668.14360000001</v>
      </c>
      <c r="L419">
        <v>29.3629</v>
      </c>
      <c r="M419" s="3">
        <f t="shared" si="50"/>
        <v>2.2233333380427212E-2</v>
      </c>
      <c r="N419" s="3">
        <f t="shared" si="51"/>
        <v>2.406666666502133E-2</v>
      </c>
      <c r="O419" s="3">
        <f t="shared" si="52"/>
        <v>2.2899999999996368E-2</v>
      </c>
      <c r="P419">
        <f t="shared" si="53"/>
        <v>4.9432111320521889E-4</v>
      </c>
      <c r="Q419">
        <f t="shared" si="54"/>
        <v>5.7920444436524896E-4</v>
      </c>
      <c r="R419">
        <f t="shared" si="55"/>
        <v>5.2440999999983369E-4</v>
      </c>
      <c r="S419">
        <f t="shared" si="56"/>
        <v>1.0735255575704677E-3</v>
      </c>
      <c r="T419">
        <f t="shared" si="57"/>
        <v>3.2764699869989158E-2</v>
      </c>
    </row>
    <row r="420" spans="1:20" x14ac:dyDescent="0.3">
      <c r="A420" s="2" t="s">
        <v>1168</v>
      </c>
      <c r="B420" s="6" t="s">
        <v>1062</v>
      </c>
      <c r="C420" s="2" t="s">
        <v>20</v>
      </c>
      <c r="D420" s="2" t="s">
        <v>37</v>
      </c>
      <c r="E420" s="8">
        <v>382362.07593333331</v>
      </c>
      <c r="F420" s="8">
        <v>184668.11173333332</v>
      </c>
      <c r="G420" s="8">
        <v>29.353666666666669</v>
      </c>
      <c r="J420">
        <v>382362.10840000003</v>
      </c>
      <c r="K420">
        <v>184668.14360000001</v>
      </c>
      <c r="L420">
        <v>29.3629</v>
      </c>
      <c r="M420" s="3">
        <f t="shared" si="50"/>
        <v>3.2466666714753956E-2</v>
      </c>
      <c r="N420" s="3">
        <f t="shared" si="51"/>
        <v>3.1866666686255485E-2</v>
      </c>
      <c r="O420" s="3">
        <f t="shared" si="52"/>
        <v>9.2333333333307621E-3</v>
      </c>
      <c r="P420">
        <f t="shared" si="53"/>
        <v>1.0540844475669124E-3</v>
      </c>
      <c r="Q420">
        <f t="shared" si="54"/>
        <v>1.0154844456929052E-3</v>
      </c>
      <c r="R420">
        <f t="shared" si="55"/>
        <v>8.5254444444396969E-5</v>
      </c>
      <c r="S420">
        <f t="shared" si="56"/>
        <v>2.0695688932598176E-3</v>
      </c>
      <c r="T420">
        <f t="shared" si="57"/>
        <v>4.549251469483543E-2</v>
      </c>
    </row>
    <row r="421" spans="1:20" x14ac:dyDescent="0.3">
      <c r="A421" s="2" t="s">
        <v>1168</v>
      </c>
      <c r="B421" s="6" t="s">
        <v>1062</v>
      </c>
      <c r="C421" s="2" t="s">
        <v>20</v>
      </c>
      <c r="D421" s="2" t="s">
        <v>46</v>
      </c>
      <c r="E421" s="8">
        <v>382362.08056666673</v>
      </c>
      <c r="F421" s="8">
        <v>184668.11203333331</v>
      </c>
      <c r="G421" s="8">
        <v>29.365666666666666</v>
      </c>
      <c r="J421">
        <v>382362.10840000003</v>
      </c>
      <c r="K421">
        <v>184668.14360000001</v>
      </c>
      <c r="L421">
        <v>29.3629</v>
      </c>
      <c r="M421" s="3">
        <f t="shared" si="50"/>
        <v>2.7833333297166973E-2</v>
      </c>
      <c r="N421" s="3">
        <f t="shared" si="51"/>
        <v>3.156666670111008E-2</v>
      </c>
      <c r="O421" s="3">
        <f t="shared" si="52"/>
        <v>2.7666666666661399E-3</v>
      </c>
      <c r="P421">
        <f t="shared" si="53"/>
        <v>7.7469444243118374E-4</v>
      </c>
      <c r="Q421">
        <f t="shared" si="54"/>
        <v>9.9645444661897197E-4</v>
      </c>
      <c r="R421">
        <f t="shared" si="55"/>
        <v>7.6544444444415293E-6</v>
      </c>
      <c r="S421">
        <f t="shared" si="56"/>
        <v>1.7711488890501557E-3</v>
      </c>
      <c r="T421">
        <f t="shared" si="57"/>
        <v>4.2085019770105321E-2</v>
      </c>
    </row>
    <row r="422" spans="1:20" x14ac:dyDescent="0.3">
      <c r="A422" s="2" t="s">
        <v>1168</v>
      </c>
      <c r="B422" s="6" t="s">
        <v>1062</v>
      </c>
      <c r="C422" s="2" t="s">
        <v>51</v>
      </c>
      <c r="D422" s="2" t="s">
        <v>63</v>
      </c>
      <c r="E422" s="8">
        <v>382362.07780000003</v>
      </c>
      <c r="F422" s="8">
        <v>184668.11419999998</v>
      </c>
      <c r="G422" s="8">
        <v>29.343</v>
      </c>
      <c r="J422">
        <v>382362.10840000003</v>
      </c>
      <c r="K422">
        <v>184668.14360000001</v>
      </c>
      <c r="L422">
        <v>29.3629</v>
      </c>
      <c r="M422" s="3">
        <f t="shared" si="50"/>
        <v>3.0599999998230487E-2</v>
      </c>
      <c r="N422" s="3">
        <f t="shared" si="51"/>
        <v>2.9400000028545037E-2</v>
      </c>
      <c r="O422" s="3">
        <f t="shared" si="52"/>
        <v>1.9899999999999807E-2</v>
      </c>
      <c r="P422">
        <f t="shared" si="53"/>
        <v>9.3635999989170578E-4</v>
      </c>
      <c r="Q422">
        <f t="shared" si="54"/>
        <v>8.6436000167844818E-4</v>
      </c>
      <c r="R422">
        <f t="shared" si="55"/>
        <v>3.9600999999999233E-4</v>
      </c>
      <c r="S422">
        <f t="shared" si="56"/>
        <v>1.800720001570154E-3</v>
      </c>
      <c r="T422">
        <f t="shared" si="57"/>
        <v>4.2434891322709355E-2</v>
      </c>
    </row>
    <row r="423" spans="1:20" x14ac:dyDescent="0.3">
      <c r="A423" s="2" t="s">
        <v>1168</v>
      </c>
      <c r="B423" s="6" t="s">
        <v>1062</v>
      </c>
      <c r="C423" s="2" t="s">
        <v>51</v>
      </c>
      <c r="D423" s="2" t="s">
        <v>30</v>
      </c>
      <c r="E423" s="8">
        <v>382362.08560000005</v>
      </c>
      <c r="F423" s="8">
        <v>184668.11470000003</v>
      </c>
      <c r="G423" s="8">
        <v>29.339333333333332</v>
      </c>
      <c r="J423">
        <v>382362.10840000003</v>
      </c>
      <c r="K423">
        <v>184668.14360000001</v>
      </c>
      <c r="L423">
        <v>29.3629</v>
      </c>
      <c r="M423" s="3">
        <f t="shared" si="50"/>
        <v>2.2799999976996332E-2</v>
      </c>
      <c r="N423" s="3">
        <f t="shared" si="51"/>
        <v>2.8899999975692481E-2</v>
      </c>
      <c r="O423" s="3">
        <f t="shared" si="52"/>
        <v>2.3566666666667402E-2</v>
      </c>
      <c r="P423">
        <f t="shared" si="53"/>
        <v>5.1983999895103281E-4</v>
      </c>
      <c r="Q423">
        <f t="shared" si="54"/>
        <v>8.3520999859502541E-4</v>
      </c>
      <c r="R423">
        <f t="shared" si="55"/>
        <v>5.5538777777781238E-4</v>
      </c>
      <c r="S423">
        <f t="shared" si="56"/>
        <v>1.3550499975460582E-3</v>
      </c>
      <c r="T423">
        <f t="shared" si="57"/>
        <v>3.6811003756296271E-2</v>
      </c>
    </row>
    <row r="424" spans="1:20" x14ac:dyDescent="0.3">
      <c r="A424" s="2" t="s">
        <v>1168</v>
      </c>
      <c r="B424" s="6" t="s">
        <v>1062</v>
      </c>
      <c r="C424" s="2" t="s">
        <v>51</v>
      </c>
      <c r="D424" s="2" t="s">
        <v>52</v>
      </c>
      <c r="E424" s="8">
        <v>382362.08623333328</v>
      </c>
      <c r="F424" s="8">
        <v>184668.11603333332</v>
      </c>
      <c r="G424" s="8">
        <v>29.350999999999999</v>
      </c>
      <c r="J424">
        <v>382362.10840000003</v>
      </c>
      <c r="K424">
        <v>184668.14360000001</v>
      </c>
      <c r="L424">
        <v>29.3629</v>
      </c>
      <c r="M424" s="3">
        <f t="shared" si="50"/>
        <v>2.2166666749399155E-2</v>
      </c>
      <c r="N424" s="3">
        <f t="shared" si="51"/>
        <v>2.7566666685743257E-2</v>
      </c>
      <c r="O424" s="3">
        <f t="shared" si="52"/>
        <v>1.1900000000000688E-2</v>
      </c>
      <c r="P424">
        <f t="shared" si="53"/>
        <v>4.9136111477891809E-4</v>
      </c>
      <c r="Q424">
        <f t="shared" si="54"/>
        <v>7.599211121628672E-4</v>
      </c>
      <c r="R424">
        <f t="shared" si="55"/>
        <v>1.4161000000001637E-4</v>
      </c>
      <c r="S424">
        <f t="shared" si="56"/>
        <v>1.2512822269417853E-3</v>
      </c>
      <c r="T424">
        <f t="shared" si="57"/>
        <v>3.5373467838788232E-2</v>
      </c>
    </row>
    <row r="425" spans="1:20" x14ac:dyDescent="0.3">
      <c r="A425" s="2" t="s">
        <v>1168</v>
      </c>
      <c r="B425" s="6" t="s">
        <v>1062</v>
      </c>
      <c r="C425" s="2" t="s">
        <v>422</v>
      </c>
      <c r="D425" s="2" t="s">
        <v>423</v>
      </c>
      <c r="E425" s="8">
        <v>382362.07483333332</v>
      </c>
      <c r="F425" s="8">
        <v>184668.11436666665</v>
      </c>
      <c r="G425" s="8">
        <v>29.374666666666666</v>
      </c>
      <c r="J425">
        <v>382362.10840000003</v>
      </c>
      <c r="K425">
        <v>184668.14360000001</v>
      </c>
      <c r="L425">
        <v>29.3629</v>
      </c>
      <c r="M425" s="3">
        <f t="shared" si="50"/>
        <v>3.3566666708793491E-2</v>
      </c>
      <c r="N425" s="3">
        <f t="shared" si="51"/>
        <v>2.9233333363663405E-2</v>
      </c>
      <c r="O425" s="3">
        <f t="shared" si="52"/>
        <v>1.1766666666666481E-2</v>
      </c>
      <c r="P425">
        <f t="shared" si="53"/>
        <v>1.1267211139392253E-3</v>
      </c>
      <c r="Q425">
        <f t="shared" si="54"/>
        <v>8.54587779551076E-4</v>
      </c>
      <c r="R425">
        <f t="shared" si="55"/>
        <v>1.3845444444444009E-4</v>
      </c>
      <c r="S425">
        <f t="shared" si="56"/>
        <v>1.981308893490301E-3</v>
      </c>
      <c r="T425">
        <f t="shared" si="57"/>
        <v>4.4511896089588242E-2</v>
      </c>
    </row>
    <row r="426" spans="1:20" x14ac:dyDescent="0.3">
      <c r="A426" s="2" t="s">
        <v>1168</v>
      </c>
      <c r="B426" s="6" t="s">
        <v>1063</v>
      </c>
      <c r="C426" s="2" t="s">
        <v>20</v>
      </c>
      <c r="D426" s="2" t="s">
        <v>30</v>
      </c>
      <c r="E426" s="8">
        <v>406199.93900000001</v>
      </c>
      <c r="F426" s="8">
        <v>183285.24143333334</v>
      </c>
      <c r="G426" s="8">
        <v>38.973333333333329</v>
      </c>
      <c r="J426">
        <v>406199.924</v>
      </c>
      <c r="K426">
        <v>183285.23809999999</v>
      </c>
      <c r="L426">
        <v>38.968200000000003</v>
      </c>
      <c r="M426" s="3">
        <f t="shared" si="50"/>
        <v>-1.5000000013969839E-2</v>
      </c>
      <c r="N426" s="3">
        <f t="shared" si="51"/>
        <v>-3.3333333558402956E-3</v>
      </c>
      <c r="O426" s="3">
        <f t="shared" si="52"/>
        <v>5.1333333333261066E-3</v>
      </c>
      <c r="P426">
        <f t="shared" si="53"/>
        <v>2.2500000041909515E-4</v>
      </c>
      <c r="Q426">
        <f t="shared" si="54"/>
        <v>1.1111111261157526E-5</v>
      </c>
      <c r="R426">
        <f t="shared" si="55"/>
        <v>2.6351111111036918E-5</v>
      </c>
      <c r="S426">
        <f t="shared" si="56"/>
        <v>2.3611111168025267E-4</v>
      </c>
      <c r="T426">
        <f t="shared" si="57"/>
        <v>1.53659074473411E-2</v>
      </c>
    </row>
    <row r="427" spans="1:20" x14ac:dyDescent="0.3">
      <c r="A427" s="2" t="s">
        <v>1168</v>
      </c>
      <c r="B427" s="6" t="s">
        <v>1063</v>
      </c>
      <c r="C427" s="2" t="s">
        <v>20</v>
      </c>
      <c r="D427" s="2" t="s">
        <v>21</v>
      </c>
      <c r="E427" s="8">
        <v>406199.92669999995</v>
      </c>
      <c r="F427" s="8">
        <v>183285.23733333335</v>
      </c>
      <c r="G427" s="8">
        <v>38.99</v>
      </c>
      <c r="J427">
        <v>406199.924</v>
      </c>
      <c r="K427">
        <v>183285.23809999999</v>
      </c>
      <c r="L427">
        <v>38.968200000000003</v>
      </c>
      <c r="M427" s="3">
        <f t="shared" si="50"/>
        <v>-2.6999999536201358E-3</v>
      </c>
      <c r="N427" s="3">
        <f t="shared" si="51"/>
        <v>7.666666351724416E-4</v>
      </c>
      <c r="O427" s="3">
        <f t="shared" si="52"/>
        <v>2.1799999999998931E-2</v>
      </c>
      <c r="P427">
        <f t="shared" si="53"/>
        <v>7.2899997495487354E-6</v>
      </c>
      <c r="Q427">
        <f t="shared" si="54"/>
        <v>5.8777772948663367E-7</v>
      </c>
      <c r="R427">
        <f t="shared" si="55"/>
        <v>4.7523999999995342E-4</v>
      </c>
      <c r="S427">
        <f t="shared" si="56"/>
        <v>7.8777774790353682E-6</v>
      </c>
      <c r="T427">
        <f t="shared" si="57"/>
        <v>2.8067378714506574E-3</v>
      </c>
    </row>
    <row r="428" spans="1:20" x14ac:dyDescent="0.3">
      <c r="A428" s="2" t="s">
        <v>1168</v>
      </c>
      <c r="B428" s="6" t="s">
        <v>1064</v>
      </c>
      <c r="C428" s="2" t="s">
        <v>20</v>
      </c>
      <c r="D428" s="2" t="s">
        <v>110</v>
      </c>
      <c r="E428" s="8">
        <v>406199.93236666668</v>
      </c>
      <c r="F428" s="8">
        <v>183285.23816666668</v>
      </c>
      <c r="G428" s="8">
        <v>38.976999999999997</v>
      </c>
      <c r="J428">
        <v>406199.924</v>
      </c>
      <c r="K428">
        <v>183285.23809999999</v>
      </c>
      <c r="L428">
        <v>38.968200000000003</v>
      </c>
      <c r="M428" s="3">
        <f t="shared" si="50"/>
        <v>-8.3666666760109365E-3</v>
      </c>
      <c r="N428" s="3">
        <f t="shared" si="51"/>
        <v>-6.6666689235717058E-5</v>
      </c>
      <c r="O428" s="3">
        <f t="shared" si="52"/>
        <v>8.7999999999937017E-3</v>
      </c>
      <c r="P428">
        <f t="shared" si="53"/>
        <v>7.000111126747189E-5</v>
      </c>
      <c r="Q428">
        <f t="shared" si="54"/>
        <v>4.4444474536516727E-9</v>
      </c>
      <c r="R428">
        <f t="shared" si="55"/>
        <v>7.7439999999889144E-5</v>
      </c>
      <c r="S428">
        <f t="shared" si="56"/>
        <v>7.0005555714925538E-5</v>
      </c>
      <c r="T428">
        <f t="shared" si="57"/>
        <v>8.3669322762243946E-3</v>
      </c>
    </row>
    <row r="429" spans="1:20" x14ac:dyDescent="0.3">
      <c r="A429" s="2" t="s">
        <v>1168</v>
      </c>
      <c r="B429" s="6" t="s">
        <v>1064</v>
      </c>
      <c r="C429" s="2" t="s">
        <v>20</v>
      </c>
      <c r="D429" s="2" t="s">
        <v>37</v>
      </c>
      <c r="E429" s="8">
        <v>406199.93950000004</v>
      </c>
      <c r="F429" s="8">
        <v>183285.23849999998</v>
      </c>
      <c r="G429" s="8">
        <v>38.985999999999997</v>
      </c>
      <c r="J429">
        <v>406199.924</v>
      </c>
      <c r="K429">
        <v>183285.23809999999</v>
      </c>
      <c r="L429">
        <v>38.968200000000003</v>
      </c>
      <c r="M429" s="3">
        <f t="shared" si="50"/>
        <v>-1.5500000037718564E-2</v>
      </c>
      <c r="N429" s="3">
        <f t="shared" si="51"/>
        <v>-3.9999998989515007E-4</v>
      </c>
      <c r="O429" s="3">
        <f t="shared" si="52"/>
        <v>1.7799999999994043E-2</v>
      </c>
      <c r="P429">
        <f t="shared" si="53"/>
        <v>2.4025000116927549E-4</v>
      </c>
      <c r="Q429">
        <f t="shared" si="54"/>
        <v>1.5999999191612015E-7</v>
      </c>
      <c r="R429">
        <f t="shared" si="55"/>
        <v>3.1683999999978791E-4</v>
      </c>
      <c r="S429">
        <f t="shared" si="56"/>
        <v>2.4041000116119162E-4</v>
      </c>
      <c r="T429">
        <f t="shared" si="57"/>
        <v>1.5505160468734002E-2</v>
      </c>
    </row>
    <row r="430" spans="1:20" x14ac:dyDescent="0.3">
      <c r="A430" s="2" t="s">
        <v>1168</v>
      </c>
      <c r="B430" s="6" t="s">
        <v>1064</v>
      </c>
      <c r="C430" s="2" t="s">
        <v>20</v>
      </c>
      <c r="D430" s="2" t="s">
        <v>46</v>
      </c>
      <c r="E430" s="8">
        <v>406199.93526666664</v>
      </c>
      <c r="F430" s="8">
        <v>183285.24176666667</v>
      </c>
      <c r="G430" s="8">
        <v>38.983666666666664</v>
      </c>
      <c r="J430">
        <v>406199.924</v>
      </c>
      <c r="K430">
        <v>183285.23809999999</v>
      </c>
      <c r="L430">
        <v>38.968200000000003</v>
      </c>
      <c r="M430" s="3">
        <f t="shared" si="50"/>
        <v>-1.1266666639130563E-2</v>
      </c>
      <c r="N430" s="3">
        <f t="shared" si="51"/>
        <v>-3.666666685603559E-3</v>
      </c>
      <c r="O430" s="3">
        <f t="shared" si="52"/>
        <v>1.5466666666661411E-2</v>
      </c>
      <c r="P430">
        <f t="shared" si="53"/>
        <v>1.2693777715729756E-4</v>
      </c>
      <c r="Q430">
        <f t="shared" si="54"/>
        <v>1.3444444583314989E-5</v>
      </c>
      <c r="R430">
        <f t="shared" si="55"/>
        <v>2.3921777777761519E-4</v>
      </c>
      <c r="S430">
        <f t="shared" si="56"/>
        <v>1.4038222174061256E-4</v>
      </c>
      <c r="T430">
        <f t="shared" si="57"/>
        <v>1.1848300373497144E-2</v>
      </c>
    </row>
    <row r="431" spans="1:20" x14ac:dyDescent="0.3">
      <c r="A431" s="2" t="s">
        <v>1168</v>
      </c>
      <c r="B431" s="6" t="s">
        <v>1064</v>
      </c>
      <c r="C431" s="2" t="s">
        <v>51</v>
      </c>
      <c r="D431" s="2" t="s">
        <v>63</v>
      </c>
      <c r="E431" s="8">
        <v>406199.80470000004</v>
      </c>
      <c r="F431" s="8">
        <v>183285.20360000001</v>
      </c>
      <c r="G431" s="8">
        <v>38.928000000000004</v>
      </c>
      <c r="J431">
        <v>406199.924</v>
      </c>
      <c r="K431">
        <v>183285.23809999999</v>
      </c>
      <c r="L431">
        <v>38.968200000000003</v>
      </c>
      <c r="M431" s="3">
        <f t="shared" si="50"/>
        <v>0.11929999996209517</v>
      </c>
      <c r="N431" s="3">
        <f t="shared" si="51"/>
        <v>3.4499999979743734E-2</v>
      </c>
      <c r="O431" s="3">
        <f t="shared" si="52"/>
        <v>4.0199999999998681E-2</v>
      </c>
      <c r="P431">
        <f t="shared" si="53"/>
        <v>1.4232489990955909E-2</v>
      </c>
      <c r="Q431">
        <f t="shared" si="54"/>
        <v>1.1902499986023176E-3</v>
      </c>
      <c r="R431">
        <f t="shared" si="55"/>
        <v>1.616039999999894E-3</v>
      </c>
      <c r="S431">
        <f t="shared" si="56"/>
        <v>1.5422739989558227E-2</v>
      </c>
      <c r="T431">
        <f t="shared" si="57"/>
        <v>0.12418832469100397</v>
      </c>
    </row>
    <row r="432" spans="1:20" x14ac:dyDescent="0.3">
      <c r="A432" s="2" t="s">
        <v>1168</v>
      </c>
      <c r="B432" s="6" t="s">
        <v>1064</v>
      </c>
      <c r="C432" s="2" t="s">
        <v>51</v>
      </c>
      <c r="D432" s="2" t="s">
        <v>30</v>
      </c>
      <c r="E432" s="8">
        <v>406199.91766666668</v>
      </c>
      <c r="F432" s="8">
        <v>183285.23523333334</v>
      </c>
      <c r="G432" s="8">
        <v>38.914999999999999</v>
      </c>
      <c r="J432">
        <v>406199.924</v>
      </c>
      <c r="K432">
        <v>183285.23809999999</v>
      </c>
      <c r="L432">
        <v>38.968200000000003</v>
      </c>
      <c r="M432" s="3">
        <f t="shared" si="50"/>
        <v>6.3333333237096667E-3</v>
      </c>
      <c r="N432" s="3">
        <f t="shared" si="51"/>
        <v>2.866666647605598E-3</v>
      </c>
      <c r="O432" s="3">
        <f t="shared" si="52"/>
        <v>5.3200000000003911E-2</v>
      </c>
      <c r="P432">
        <f t="shared" si="53"/>
        <v>4.0111110989211334E-5</v>
      </c>
      <c r="Q432">
        <f t="shared" si="54"/>
        <v>8.2177776684943176E-6</v>
      </c>
      <c r="R432">
        <f t="shared" si="55"/>
        <v>2.8302400000004163E-3</v>
      </c>
      <c r="S432">
        <f t="shared" si="56"/>
        <v>4.8328888657705652E-5</v>
      </c>
      <c r="T432">
        <f t="shared" si="57"/>
        <v>6.9518982053612989E-3</v>
      </c>
    </row>
    <row r="433" spans="1:20" x14ac:dyDescent="0.3">
      <c r="A433" s="2" t="s">
        <v>1168</v>
      </c>
      <c r="B433" s="6" t="s">
        <v>1064</v>
      </c>
      <c r="C433" s="2" t="s">
        <v>51</v>
      </c>
      <c r="D433" s="2" t="s">
        <v>52</v>
      </c>
      <c r="E433" s="8">
        <v>406199.92843333335</v>
      </c>
      <c r="F433" s="8">
        <v>183285.23449999999</v>
      </c>
      <c r="G433" s="8">
        <v>38.891333333333336</v>
      </c>
      <c r="J433">
        <v>406199.924</v>
      </c>
      <c r="K433">
        <v>183285.23809999999</v>
      </c>
      <c r="L433">
        <v>38.968200000000003</v>
      </c>
      <c r="M433" s="3">
        <f t="shared" si="50"/>
        <v>-4.4333333498798311E-3</v>
      </c>
      <c r="N433" s="3">
        <f t="shared" si="51"/>
        <v>3.599999996367842E-3</v>
      </c>
      <c r="O433" s="3">
        <f t="shared" si="52"/>
        <v>7.6866666666667527E-2</v>
      </c>
      <c r="P433">
        <f t="shared" si="53"/>
        <v>1.9654444591156725E-5</v>
      </c>
      <c r="Q433">
        <f t="shared" si="54"/>
        <v>1.2959999973848462E-5</v>
      </c>
      <c r="R433">
        <f t="shared" si="55"/>
        <v>5.9084844444445769E-3</v>
      </c>
      <c r="S433">
        <f t="shared" si="56"/>
        <v>3.2614444565005187E-5</v>
      </c>
      <c r="T433">
        <f t="shared" si="57"/>
        <v>5.7109057569710592E-3</v>
      </c>
    </row>
    <row r="434" spans="1:20" x14ac:dyDescent="0.3">
      <c r="A434" s="2" t="s">
        <v>1168</v>
      </c>
      <c r="B434" s="6" t="s">
        <v>1065</v>
      </c>
      <c r="C434" s="2" t="s">
        <v>20</v>
      </c>
      <c r="D434" s="2" t="s">
        <v>30</v>
      </c>
      <c r="E434" s="8">
        <v>408620.66400000005</v>
      </c>
      <c r="F434" s="8">
        <v>192578.1777</v>
      </c>
      <c r="G434" s="8">
        <v>41.444333333333333</v>
      </c>
      <c r="J434">
        <v>408620.61119999998</v>
      </c>
      <c r="K434">
        <v>192578.1575</v>
      </c>
      <c r="L434">
        <v>41.438200000000002</v>
      </c>
      <c r="M434" s="3">
        <f t="shared" si="50"/>
        <v>-5.2800000063143671E-2</v>
      </c>
      <c r="N434" s="3">
        <f t="shared" si="51"/>
        <v>-2.0199999999022111E-2</v>
      </c>
      <c r="O434" s="3">
        <f t="shared" si="52"/>
        <v>6.1333333333308815E-3</v>
      </c>
      <c r="P434">
        <f t="shared" si="53"/>
        <v>2.7878400066679715E-3</v>
      </c>
      <c r="Q434">
        <f t="shared" si="54"/>
        <v>4.0803999996049328E-4</v>
      </c>
      <c r="R434">
        <f t="shared" si="55"/>
        <v>3.76177777777477E-5</v>
      </c>
      <c r="S434">
        <f t="shared" si="56"/>
        <v>3.1958800066284646E-3</v>
      </c>
      <c r="T434">
        <f t="shared" si="57"/>
        <v>5.6532114825366866E-2</v>
      </c>
    </row>
    <row r="435" spans="1:20" x14ac:dyDescent="0.3">
      <c r="A435" s="2" t="s">
        <v>1168</v>
      </c>
      <c r="B435" s="6" t="s">
        <v>1065</v>
      </c>
      <c r="C435" s="2" t="s">
        <v>20</v>
      </c>
      <c r="D435" s="2" t="s">
        <v>21</v>
      </c>
      <c r="E435" s="8">
        <v>408620.66073333332</v>
      </c>
      <c r="F435" s="8">
        <v>192578.17610000001</v>
      </c>
      <c r="G435" s="8">
        <v>41.45</v>
      </c>
      <c r="J435">
        <v>408620.61119999998</v>
      </c>
      <c r="K435">
        <v>192578.1575</v>
      </c>
      <c r="L435">
        <v>41.438200000000002</v>
      </c>
      <c r="M435" s="3">
        <f t="shared" si="50"/>
        <v>-4.9533333338331431E-2</v>
      </c>
      <c r="N435" s="3">
        <f t="shared" si="51"/>
        <v>-1.8600000010337681E-2</v>
      </c>
      <c r="O435" s="3">
        <f t="shared" si="52"/>
        <v>1.1800000000000921E-2</v>
      </c>
      <c r="P435">
        <f t="shared" si="53"/>
        <v>2.4535511116062559E-3</v>
      </c>
      <c r="Q435">
        <f t="shared" si="54"/>
        <v>3.4596000038456171E-4</v>
      </c>
      <c r="R435">
        <f t="shared" si="55"/>
        <v>1.3924000000002174E-4</v>
      </c>
      <c r="S435">
        <f t="shared" si="56"/>
        <v>2.7995111119908178E-3</v>
      </c>
      <c r="T435">
        <f t="shared" si="57"/>
        <v>5.2910406462158444E-2</v>
      </c>
    </row>
    <row r="436" spans="1:20" x14ac:dyDescent="0.3">
      <c r="A436" s="2" t="s">
        <v>1168</v>
      </c>
      <c r="B436" s="6" t="s">
        <v>1066</v>
      </c>
      <c r="C436" s="2" t="s">
        <v>20</v>
      </c>
      <c r="D436" s="2" t="s">
        <v>110</v>
      </c>
      <c r="E436" s="8">
        <v>408620.67723333329</v>
      </c>
      <c r="F436" s="8">
        <v>192578.19326666664</v>
      </c>
      <c r="G436" s="8">
        <v>41.45933333333334</v>
      </c>
      <c r="J436">
        <v>408620.61119999998</v>
      </c>
      <c r="K436">
        <v>192578.1575</v>
      </c>
      <c r="L436">
        <v>41.438200000000002</v>
      </c>
      <c r="M436" s="3">
        <f t="shared" si="50"/>
        <v>-6.6033333307132125E-2</v>
      </c>
      <c r="N436" s="3">
        <f t="shared" si="51"/>
        <v>-3.5766666638664901E-2</v>
      </c>
      <c r="O436" s="3">
        <f t="shared" si="52"/>
        <v>2.1133333333338555E-2</v>
      </c>
      <c r="P436">
        <f t="shared" si="53"/>
        <v>4.3604011076508048E-3</v>
      </c>
      <c r="Q436">
        <f t="shared" si="54"/>
        <v>1.2792544424413848E-3</v>
      </c>
      <c r="R436">
        <f t="shared" si="55"/>
        <v>4.4661777777799848E-4</v>
      </c>
      <c r="S436">
        <f t="shared" si="56"/>
        <v>5.6396555500921892E-3</v>
      </c>
      <c r="T436">
        <f t="shared" si="57"/>
        <v>7.5097640110007385E-2</v>
      </c>
    </row>
    <row r="437" spans="1:20" x14ac:dyDescent="0.3">
      <c r="A437" s="2" t="s">
        <v>1168</v>
      </c>
      <c r="B437" s="6" t="s">
        <v>1066</v>
      </c>
      <c r="C437" s="2" t="s">
        <v>20</v>
      </c>
      <c r="D437" s="2" t="s">
        <v>37</v>
      </c>
      <c r="E437" s="8">
        <v>408620.65539999999</v>
      </c>
      <c r="F437" s="8">
        <v>192578.17703333334</v>
      </c>
      <c r="G437" s="8">
        <v>41.43566666666667</v>
      </c>
      <c r="J437">
        <v>408620.61119999998</v>
      </c>
      <c r="K437">
        <v>192578.1575</v>
      </c>
      <c r="L437">
        <v>41.438200000000002</v>
      </c>
      <c r="M437" s="3">
        <f t="shared" si="50"/>
        <v>-4.4200000003911555E-2</v>
      </c>
      <c r="N437" s="3">
        <f t="shared" si="51"/>
        <v>-1.9533333339495584E-2</v>
      </c>
      <c r="O437" s="3">
        <f t="shared" si="52"/>
        <v>2.5333333333321661E-3</v>
      </c>
      <c r="P437">
        <f t="shared" si="53"/>
        <v>1.9536400003457815E-3</v>
      </c>
      <c r="Q437">
        <f t="shared" si="54"/>
        <v>3.8155111135184972E-4</v>
      </c>
      <c r="R437">
        <f t="shared" si="55"/>
        <v>6.4177777777718638E-6</v>
      </c>
      <c r="S437">
        <f t="shared" si="56"/>
        <v>2.3351911116976311E-3</v>
      </c>
      <c r="T437">
        <f t="shared" si="57"/>
        <v>4.8323815160825526E-2</v>
      </c>
    </row>
    <row r="438" spans="1:20" x14ac:dyDescent="0.3">
      <c r="A438" s="2" t="s">
        <v>1168</v>
      </c>
      <c r="B438" s="6" t="s">
        <v>1066</v>
      </c>
      <c r="C438" s="2" t="s">
        <v>20</v>
      </c>
      <c r="D438" s="2" t="s">
        <v>46</v>
      </c>
      <c r="E438" s="8">
        <v>408620.65539999999</v>
      </c>
      <c r="F438" s="8">
        <v>192578.17246666667</v>
      </c>
      <c r="G438" s="8">
        <v>41.425999999999995</v>
      </c>
      <c r="J438">
        <v>408620.61119999998</v>
      </c>
      <c r="K438">
        <v>192578.1575</v>
      </c>
      <c r="L438">
        <v>41.438200000000002</v>
      </c>
      <c r="M438" s="3">
        <f t="shared" si="50"/>
        <v>-4.4200000003911555E-2</v>
      </c>
      <c r="N438" s="3">
        <f t="shared" si="51"/>
        <v>-1.496666666935198E-2</v>
      </c>
      <c r="O438" s="3">
        <f t="shared" si="52"/>
        <v>1.2200000000007094E-2</v>
      </c>
      <c r="P438">
        <f t="shared" si="53"/>
        <v>1.9536400003457815E-3</v>
      </c>
      <c r="Q438">
        <f t="shared" si="54"/>
        <v>2.2400111119149149E-4</v>
      </c>
      <c r="R438">
        <f t="shared" si="55"/>
        <v>1.4884000000017308E-4</v>
      </c>
      <c r="S438">
        <f t="shared" si="56"/>
        <v>2.177641111537273E-3</v>
      </c>
      <c r="T438">
        <f t="shared" si="57"/>
        <v>4.6665202362544976E-2</v>
      </c>
    </row>
    <row r="439" spans="1:20" x14ac:dyDescent="0.3">
      <c r="A439" s="2" t="s">
        <v>1168</v>
      </c>
      <c r="B439" s="6" t="s">
        <v>1066</v>
      </c>
      <c r="C439" s="2" t="s">
        <v>51</v>
      </c>
      <c r="D439" s="2" t="s">
        <v>63</v>
      </c>
      <c r="E439" s="8">
        <v>408620.62370000005</v>
      </c>
      <c r="F439" s="8">
        <v>192578.16613333335</v>
      </c>
      <c r="G439" s="8">
        <v>41.422333333333334</v>
      </c>
      <c r="J439">
        <v>408620.61119999998</v>
      </c>
      <c r="K439">
        <v>192578.1575</v>
      </c>
      <c r="L439">
        <v>41.438200000000002</v>
      </c>
      <c r="M439" s="3">
        <f t="shared" si="50"/>
        <v>-1.2500000069849193E-2</v>
      </c>
      <c r="N439" s="3">
        <f t="shared" si="51"/>
        <v>-8.6333333456423134E-3</v>
      </c>
      <c r="O439" s="3">
        <f t="shared" si="52"/>
        <v>1.5866666666667584E-2</v>
      </c>
      <c r="P439">
        <f t="shared" si="53"/>
        <v>1.5625000174622982E-4</v>
      </c>
      <c r="Q439">
        <f t="shared" si="54"/>
        <v>7.4534444656979506E-5</v>
      </c>
      <c r="R439">
        <f t="shared" si="55"/>
        <v>2.5175111111114024E-4</v>
      </c>
      <c r="S439">
        <f t="shared" si="56"/>
        <v>2.3078444640320931E-4</v>
      </c>
      <c r="T439">
        <f t="shared" si="57"/>
        <v>1.5191591305824722E-2</v>
      </c>
    </row>
    <row r="440" spans="1:20" x14ac:dyDescent="0.3">
      <c r="A440" s="2" t="s">
        <v>1168</v>
      </c>
      <c r="B440" s="6" t="s">
        <v>1066</v>
      </c>
      <c r="C440" s="2" t="s">
        <v>51</v>
      </c>
      <c r="D440" s="2" t="s">
        <v>30</v>
      </c>
      <c r="E440" s="8">
        <v>408620.63993333332</v>
      </c>
      <c r="F440" s="8">
        <v>192578.16760000002</v>
      </c>
      <c r="G440" s="8">
        <v>41.436</v>
      </c>
      <c r="J440">
        <v>408620.61119999998</v>
      </c>
      <c r="K440">
        <v>192578.1575</v>
      </c>
      <c r="L440">
        <v>41.438200000000002</v>
      </c>
      <c r="M440" s="3">
        <f t="shared" si="50"/>
        <v>-2.873333333991468E-2</v>
      </c>
      <c r="N440" s="3">
        <f t="shared" si="51"/>
        <v>-1.0100000014062971E-2</v>
      </c>
      <c r="O440" s="3">
        <f t="shared" si="52"/>
        <v>2.2000000000019782E-3</v>
      </c>
      <c r="P440">
        <f t="shared" si="53"/>
        <v>8.2560444482265242E-4</v>
      </c>
      <c r="Q440">
        <f t="shared" si="54"/>
        <v>1.0201000028407201E-4</v>
      </c>
      <c r="R440">
        <f t="shared" si="55"/>
        <v>4.8400000000087035E-6</v>
      </c>
      <c r="S440">
        <f t="shared" si="56"/>
        <v>9.2761444510672448E-4</v>
      </c>
      <c r="T440">
        <f t="shared" si="57"/>
        <v>3.0456763536310362E-2</v>
      </c>
    </row>
    <row r="441" spans="1:20" x14ac:dyDescent="0.3">
      <c r="A441" s="2" t="s">
        <v>1168</v>
      </c>
      <c r="B441" s="6" t="s">
        <v>1066</v>
      </c>
      <c r="C441" s="2" t="s">
        <v>51</v>
      </c>
      <c r="D441" s="2" t="s">
        <v>52</v>
      </c>
      <c r="E441" s="8">
        <v>408620.64963333332</v>
      </c>
      <c r="F441" s="8">
        <v>192578.18523333335</v>
      </c>
      <c r="G441" s="8">
        <v>41.529333333333334</v>
      </c>
      <c r="J441">
        <v>408620.61119999998</v>
      </c>
      <c r="K441">
        <v>192578.1575</v>
      </c>
      <c r="L441">
        <v>41.438200000000002</v>
      </c>
      <c r="M441" s="3">
        <f t="shared" si="50"/>
        <v>-3.843333333497867E-2</v>
      </c>
      <c r="N441" s="3">
        <f t="shared" si="51"/>
        <v>-2.7733333350624889E-2</v>
      </c>
      <c r="O441" s="3">
        <f t="shared" si="52"/>
        <v>9.1133333333331734E-2</v>
      </c>
      <c r="P441">
        <f t="shared" si="53"/>
        <v>1.4771211112375826E-3</v>
      </c>
      <c r="Q441">
        <f t="shared" si="54"/>
        <v>7.6913777873688274E-4</v>
      </c>
      <c r="R441">
        <f t="shared" si="55"/>
        <v>8.3052844444441529E-3</v>
      </c>
      <c r="S441">
        <f t="shared" si="56"/>
        <v>2.2462588899744653E-3</v>
      </c>
      <c r="T441">
        <f t="shared" si="57"/>
        <v>4.7394713734492215E-2</v>
      </c>
    </row>
    <row r="442" spans="1:20" x14ac:dyDescent="0.3">
      <c r="A442" s="2" t="s">
        <v>1168</v>
      </c>
      <c r="B442" s="6" t="s">
        <v>1066</v>
      </c>
      <c r="C442" s="2" t="s">
        <v>422</v>
      </c>
      <c r="D442" s="2" t="s">
        <v>423</v>
      </c>
      <c r="E442" s="8">
        <v>408620.60719999997</v>
      </c>
      <c r="F442" s="8">
        <v>192578.04216666668</v>
      </c>
      <c r="G442" s="8">
        <v>41.284333333333336</v>
      </c>
      <c r="J442">
        <v>408620.61119999998</v>
      </c>
      <c r="K442">
        <v>192578.1575</v>
      </c>
      <c r="L442">
        <v>41.438200000000002</v>
      </c>
      <c r="M442" s="3">
        <f t="shared" si="50"/>
        <v>4.0000000153668225E-3</v>
      </c>
      <c r="N442" s="3">
        <f t="shared" si="51"/>
        <v>0.11533333332045004</v>
      </c>
      <c r="O442" s="3">
        <f t="shared" si="52"/>
        <v>0.15386666666666571</v>
      </c>
      <c r="P442">
        <f t="shared" si="53"/>
        <v>1.600000012293458E-5</v>
      </c>
      <c r="Q442">
        <f t="shared" si="54"/>
        <v>1.3301777774806031E-2</v>
      </c>
      <c r="R442">
        <f t="shared" si="55"/>
        <v>2.3674951111110815E-2</v>
      </c>
      <c r="S442">
        <f t="shared" si="56"/>
        <v>1.3317777774928966E-2</v>
      </c>
      <c r="T442">
        <f t="shared" si="57"/>
        <v>0.11540267663676163</v>
      </c>
    </row>
    <row r="443" spans="1:20" x14ac:dyDescent="0.3">
      <c r="A443" s="2" t="s">
        <v>1168</v>
      </c>
      <c r="B443" s="6" t="s">
        <v>1067</v>
      </c>
      <c r="C443" s="2" t="s">
        <v>20</v>
      </c>
      <c r="D443" s="2" t="s">
        <v>30</v>
      </c>
      <c r="E443" s="8">
        <v>432692.07406666671</v>
      </c>
      <c r="F443" s="8">
        <v>194608.79236666669</v>
      </c>
      <c r="G443" s="8">
        <v>89.199666666666687</v>
      </c>
      <c r="J443">
        <v>432692.09159999999</v>
      </c>
      <c r="K443">
        <v>194608.7898</v>
      </c>
      <c r="L443">
        <v>89.228300000000004</v>
      </c>
      <c r="M443" s="3">
        <f t="shared" si="50"/>
        <v>1.7533333273604512E-2</v>
      </c>
      <c r="N443" s="3">
        <f t="shared" si="51"/>
        <v>-2.5666666915640235E-3</v>
      </c>
      <c r="O443" s="3">
        <f t="shared" si="52"/>
        <v>2.8633333333317523E-2</v>
      </c>
      <c r="P443">
        <f t="shared" si="53"/>
        <v>3.0741777568328712E-4</v>
      </c>
      <c r="Q443">
        <f t="shared" si="54"/>
        <v>6.5877779055842101E-6</v>
      </c>
      <c r="R443">
        <f t="shared" si="55"/>
        <v>8.1986777777687237E-4</v>
      </c>
      <c r="S443">
        <f t="shared" si="56"/>
        <v>3.1400555358887132E-4</v>
      </c>
      <c r="T443">
        <f t="shared" si="57"/>
        <v>1.7720201849552145E-2</v>
      </c>
    </row>
    <row r="444" spans="1:20" x14ac:dyDescent="0.3">
      <c r="A444" s="2" t="s">
        <v>1168</v>
      </c>
      <c r="B444" s="6" t="s">
        <v>1067</v>
      </c>
      <c r="C444" s="2" t="s">
        <v>20</v>
      </c>
      <c r="D444" s="2" t="s">
        <v>21</v>
      </c>
      <c r="E444" s="8">
        <v>432692.08030000003</v>
      </c>
      <c r="F444" s="8">
        <v>194608.78506666666</v>
      </c>
      <c r="G444" s="8">
        <v>89.203333333333333</v>
      </c>
      <c r="J444">
        <v>432692.09159999999</v>
      </c>
      <c r="K444">
        <v>194608.7898</v>
      </c>
      <c r="L444">
        <v>89.228300000000004</v>
      </c>
      <c r="M444" s="3">
        <f t="shared" si="50"/>
        <v>1.1299999954644591E-2</v>
      </c>
      <c r="N444" s="3">
        <f t="shared" si="51"/>
        <v>4.733333335025236E-3</v>
      </c>
      <c r="O444" s="3">
        <f t="shared" si="52"/>
        <v>2.4966666666671244E-2</v>
      </c>
      <c r="P444">
        <f t="shared" si="53"/>
        <v>1.2768999897496775E-4</v>
      </c>
      <c r="Q444">
        <f t="shared" si="54"/>
        <v>2.2404444460461122E-5</v>
      </c>
      <c r="R444">
        <f t="shared" si="55"/>
        <v>6.2333444444467303E-4</v>
      </c>
      <c r="S444">
        <f t="shared" si="56"/>
        <v>1.5009444343542887E-4</v>
      </c>
      <c r="T444">
        <f t="shared" si="57"/>
        <v>1.2251303744313454E-2</v>
      </c>
    </row>
    <row r="445" spans="1:20" x14ac:dyDescent="0.3">
      <c r="A445" s="2" t="s">
        <v>1168</v>
      </c>
      <c r="B445" s="6" t="s">
        <v>1068</v>
      </c>
      <c r="C445" s="2" t="s">
        <v>20</v>
      </c>
      <c r="D445" s="2" t="s">
        <v>110</v>
      </c>
      <c r="E445" s="8">
        <v>432692.06700000004</v>
      </c>
      <c r="F445" s="8">
        <v>194608.77873333334</v>
      </c>
      <c r="G445" s="8">
        <v>89.179666666666662</v>
      </c>
      <c r="J445">
        <v>432692.09159999999</v>
      </c>
      <c r="K445">
        <v>194608.7898</v>
      </c>
      <c r="L445">
        <v>89.228300000000004</v>
      </c>
      <c r="M445" s="3">
        <f t="shared" si="50"/>
        <v>2.4599999946076423E-2</v>
      </c>
      <c r="N445" s="3">
        <f t="shared" si="51"/>
        <v>1.1066666658734903E-2</v>
      </c>
      <c r="O445" s="3">
        <f t="shared" si="52"/>
        <v>4.8633333333341966E-2</v>
      </c>
      <c r="P445">
        <f t="shared" si="53"/>
        <v>6.0515999734695998E-4</v>
      </c>
      <c r="Q445">
        <f t="shared" si="54"/>
        <v>1.2247111093555474E-4</v>
      </c>
      <c r="R445">
        <f t="shared" si="55"/>
        <v>2.3652011111119507E-3</v>
      </c>
      <c r="S445">
        <f t="shared" si="56"/>
        <v>7.2763110828251475E-4</v>
      </c>
      <c r="T445">
        <f t="shared" si="57"/>
        <v>2.6974638241921145E-2</v>
      </c>
    </row>
    <row r="446" spans="1:20" x14ac:dyDescent="0.3">
      <c r="A446" s="2" t="s">
        <v>1168</v>
      </c>
      <c r="B446" s="6" t="s">
        <v>1068</v>
      </c>
      <c r="C446" s="2" t="s">
        <v>20</v>
      </c>
      <c r="D446" s="2" t="s">
        <v>37</v>
      </c>
      <c r="E446" s="8">
        <v>432692.07769999997</v>
      </c>
      <c r="F446" s="8">
        <v>194608.76846666669</v>
      </c>
      <c r="G446" s="8">
        <v>89.218666666666664</v>
      </c>
      <c r="J446">
        <v>432692.09159999999</v>
      </c>
      <c r="K446">
        <v>194608.7898</v>
      </c>
      <c r="L446">
        <v>89.228300000000004</v>
      </c>
      <c r="M446" s="3">
        <f t="shared" si="50"/>
        <v>1.3900000019930303E-2</v>
      </c>
      <c r="N446" s="3">
        <f t="shared" si="51"/>
        <v>2.1333333308575675E-2</v>
      </c>
      <c r="O446" s="3">
        <f t="shared" si="52"/>
        <v>9.633333333340488E-3</v>
      </c>
      <c r="P446">
        <f t="shared" si="53"/>
        <v>1.9321000055406241E-4</v>
      </c>
      <c r="Q446">
        <f t="shared" si="54"/>
        <v>4.5511111005478436E-4</v>
      </c>
      <c r="R446">
        <f t="shared" si="55"/>
        <v>9.2801111111248953E-5</v>
      </c>
      <c r="S446">
        <f t="shared" si="56"/>
        <v>6.4832111060884683E-4</v>
      </c>
      <c r="T446">
        <f t="shared" si="57"/>
        <v>2.5462150549567623E-2</v>
      </c>
    </row>
    <row r="447" spans="1:20" x14ac:dyDescent="0.3">
      <c r="A447" s="2" t="s">
        <v>1168</v>
      </c>
      <c r="B447" s="6" t="s">
        <v>1068</v>
      </c>
      <c r="C447" s="2" t="s">
        <v>20</v>
      </c>
      <c r="D447" s="2" t="s">
        <v>46</v>
      </c>
      <c r="E447" s="8">
        <v>432692.08756666671</v>
      </c>
      <c r="F447" s="8">
        <v>194608.77029999997</v>
      </c>
      <c r="G447" s="8">
        <v>89.210666666666668</v>
      </c>
      <c r="J447">
        <v>432692.09159999999</v>
      </c>
      <c r="K447">
        <v>194608.7898</v>
      </c>
      <c r="L447">
        <v>89.228300000000004</v>
      </c>
      <c r="M447" s="3">
        <f t="shared" si="50"/>
        <v>4.0333332726731896E-3</v>
      </c>
      <c r="N447" s="3">
        <f t="shared" si="51"/>
        <v>1.9500000023981556E-2</v>
      </c>
      <c r="O447" s="3">
        <f t="shared" si="52"/>
        <v>1.7633333333336054E-2</v>
      </c>
      <c r="P447">
        <f t="shared" si="53"/>
        <v>1.6267777288452622E-5</v>
      </c>
      <c r="Q447">
        <f t="shared" si="54"/>
        <v>3.8025000093528072E-4</v>
      </c>
      <c r="R447">
        <f t="shared" si="55"/>
        <v>3.1093444444454038E-4</v>
      </c>
      <c r="S447">
        <f t="shared" si="56"/>
        <v>3.9651777822373332E-4</v>
      </c>
      <c r="T447">
        <f t="shared" si="57"/>
        <v>1.9912754159676992E-2</v>
      </c>
    </row>
    <row r="448" spans="1:20" x14ac:dyDescent="0.3">
      <c r="A448" s="2" t="s">
        <v>1168</v>
      </c>
      <c r="B448" s="6" t="s">
        <v>1068</v>
      </c>
      <c r="C448" s="2" t="s">
        <v>51</v>
      </c>
      <c r="D448" s="2" t="s">
        <v>63</v>
      </c>
      <c r="E448" s="8">
        <v>432692.08859999996</v>
      </c>
      <c r="F448" s="8">
        <v>194608.77533333332</v>
      </c>
      <c r="G448" s="8">
        <v>89.111666666666665</v>
      </c>
      <c r="J448">
        <v>432692.09159999999</v>
      </c>
      <c r="K448">
        <v>194608.7898</v>
      </c>
      <c r="L448">
        <v>89.228300000000004</v>
      </c>
      <c r="M448" s="3">
        <f t="shared" si="50"/>
        <v>3.0000000260770321E-3</v>
      </c>
      <c r="N448" s="3">
        <f t="shared" si="51"/>
        <v>1.4466666674707085E-2</v>
      </c>
      <c r="O448" s="3">
        <f t="shared" si="52"/>
        <v>0.11663333333333981</v>
      </c>
      <c r="P448">
        <f t="shared" si="53"/>
        <v>9.0000001564621932E-6</v>
      </c>
      <c r="Q448">
        <f t="shared" si="54"/>
        <v>2.0928444467708054E-4</v>
      </c>
      <c r="R448">
        <f t="shared" si="55"/>
        <v>1.3603334444445954E-2</v>
      </c>
      <c r="S448">
        <f t="shared" si="56"/>
        <v>2.1828444483354274E-4</v>
      </c>
      <c r="T448">
        <f t="shared" si="57"/>
        <v>1.4774452437689281E-2</v>
      </c>
    </row>
    <row r="449" spans="1:20" x14ac:dyDescent="0.3">
      <c r="A449" s="2" t="s">
        <v>1168</v>
      </c>
      <c r="B449" s="6" t="s">
        <v>1068</v>
      </c>
      <c r="C449" s="2" t="s">
        <v>51</v>
      </c>
      <c r="D449" s="2" t="s">
        <v>30</v>
      </c>
      <c r="E449" s="8">
        <v>432692.08633333334</v>
      </c>
      <c r="F449" s="8">
        <v>194608.77673333333</v>
      </c>
      <c r="G449" s="8">
        <v>89.109666666666669</v>
      </c>
      <c r="J449">
        <v>432692.09159999999</v>
      </c>
      <c r="K449">
        <v>194608.7898</v>
      </c>
      <c r="L449">
        <v>89.228300000000004</v>
      </c>
      <c r="M449" s="3">
        <f t="shared" si="50"/>
        <v>5.2666666451841593E-3</v>
      </c>
      <c r="N449" s="3">
        <f t="shared" si="51"/>
        <v>1.3066666666418314E-2</v>
      </c>
      <c r="O449" s="3">
        <f t="shared" si="52"/>
        <v>0.11863333333333514</v>
      </c>
      <c r="P449">
        <f t="shared" si="53"/>
        <v>2.7737777551495367E-5</v>
      </c>
      <c r="Q449">
        <f t="shared" si="54"/>
        <v>1.7073777777128749E-4</v>
      </c>
      <c r="R449">
        <f t="shared" si="55"/>
        <v>1.4073867777778207E-2</v>
      </c>
      <c r="S449">
        <f t="shared" si="56"/>
        <v>1.9847555532278286E-4</v>
      </c>
      <c r="T449">
        <f t="shared" si="57"/>
        <v>1.4088135267762829E-2</v>
      </c>
    </row>
    <row r="450" spans="1:20" x14ac:dyDescent="0.3">
      <c r="A450" s="2" t="s">
        <v>1168</v>
      </c>
      <c r="B450" s="6" t="s">
        <v>1068</v>
      </c>
      <c r="C450" s="2" t="s">
        <v>51</v>
      </c>
      <c r="D450" s="2" t="s">
        <v>52</v>
      </c>
      <c r="E450" s="8">
        <v>432692.08616666665</v>
      </c>
      <c r="F450" s="8">
        <v>194608.75976666668</v>
      </c>
      <c r="G450" s="8">
        <v>89.096999999999994</v>
      </c>
      <c r="J450">
        <v>432692.09159999999</v>
      </c>
      <c r="K450">
        <v>194608.7898</v>
      </c>
      <c r="L450">
        <v>89.228300000000004</v>
      </c>
      <c r="M450" s="3">
        <f t="shared" si="50"/>
        <v>5.4333333391696215E-3</v>
      </c>
      <c r="N450" s="3">
        <f t="shared" si="51"/>
        <v>3.0033333314349875E-2</v>
      </c>
      <c r="O450" s="3">
        <f t="shared" si="52"/>
        <v>0.13130000000001019</v>
      </c>
      <c r="P450">
        <f t="shared" si="53"/>
        <v>2.9521111174532109E-5</v>
      </c>
      <c r="Q450">
        <f t="shared" si="54"/>
        <v>9.0200110997083803E-4</v>
      </c>
      <c r="R450">
        <f t="shared" si="55"/>
        <v>1.7239690000002673E-2</v>
      </c>
      <c r="S450">
        <f t="shared" si="56"/>
        <v>9.3152222114537019E-4</v>
      </c>
      <c r="T450">
        <f t="shared" si="57"/>
        <v>3.0520848958463954E-2</v>
      </c>
    </row>
    <row r="451" spans="1:20" x14ac:dyDescent="0.3">
      <c r="A451" s="2" t="s">
        <v>1168</v>
      </c>
      <c r="B451" s="6" t="s">
        <v>1068</v>
      </c>
      <c r="C451" s="2" t="s">
        <v>422</v>
      </c>
      <c r="D451" s="2" t="s">
        <v>423</v>
      </c>
      <c r="E451" s="8">
        <v>432692.07336666668</v>
      </c>
      <c r="F451" s="8">
        <v>194608.74766666666</v>
      </c>
      <c r="G451" s="8">
        <v>89.287666666666667</v>
      </c>
      <c r="J451">
        <v>432692.09159999999</v>
      </c>
      <c r="K451">
        <v>194608.7898</v>
      </c>
      <c r="L451">
        <v>89.228300000000004</v>
      </c>
      <c r="M451" s="3">
        <f t="shared" ref="M451:M514" si="58">J451-E451</f>
        <v>1.8233333306852728E-2</v>
      </c>
      <c r="N451" s="3">
        <f t="shared" ref="N451:N514" si="59">K451-F451</f>
        <v>4.2133333336096257E-2</v>
      </c>
      <c r="O451" s="3">
        <f t="shared" ref="O451:O514" si="60">ABS(L451-G451)</f>
        <v>5.9366666666662127E-2</v>
      </c>
      <c r="P451">
        <f t="shared" ref="P451:P514" si="61">POWER(M451,2)</f>
        <v>3.3245444347878504E-4</v>
      </c>
      <c r="Q451">
        <f t="shared" ref="Q451:Q514" si="62">POWER(N451,2)</f>
        <v>1.7752177780106001E-3</v>
      </c>
      <c r="R451">
        <f t="shared" ref="R451:R514" si="63">POWER(O451,2)</f>
        <v>3.5244011111105721E-3</v>
      </c>
      <c r="S451">
        <f t="shared" ref="S451:S514" si="64">P451+Q451</f>
        <v>2.1076722214893851E-3</v>
      </c>
      <c r="T451">
        <f t="shared" ref="T451:T514" si="65">SQRT(S451)</f>
        <v>4.5909391430178914E-2</v>
      </c>
    </row>
    <row r="452" spans="1:20" x14ac:dyDescent="0.3">
      <c r="A452" s="2" t="s">
        <v>1168</v>
      </c>
      <c r="B452" s="6" t="s">
        <v>1069</v>
      </c>
      <c r="C452" s="2" t="s">
        <v>20</v>
      </c>
      <c r="D452" s="2" t="s">
        <v>30</v>
      </c>
      <c r="E452" s="8">
        <v>453515.71093333332</v>
      </c>
      <c r="F452" s="8">
        <v>199183.73750000002</v>
      </c>
      <c r="G452" s="8">
        <v>123.613</v>
      </c>
      <c r="J452">
        <v>453515.71549999999</v>
      </c>
      <c r="K452">
        <v>199183.68109999999</v>
      </c>
      <c r="L452">
        <v>123.6305</v>
      </c>
      <c r="M452" s="3">
        <f t="shared" si="58"/>
        <v>4.5666666701436043E-3</v>
      </c>
      <c r="N452" s="3">
        <f t="shared" si="59"/>
        <v>-5.6400000030407682E-2</v>
      </c>
      <c r="O452" s="3">
        <f t="shared" si="60"/>
        <v>1.7499999999998295E-2</v>
      </c>
      <c r="P452">
        <f t="shared" si="61"/>
        <v>2.0854444476200475E-5</v>
      </c>
      <c r="Q452">
        <f t="shared" si="62"/>
        <v>3.1809600034299864E-3</v>
      </c>
      <c r="R452">
        <f t="shared" si="63"/>
        <v>3.062499999999403E-4</v>
      </c>
      <c r="S452">
        <f t="shared" si="64"/>
        <v>3.2018144479061868E-3</v>
      </c>
      <c r="T452">
        <f t="shared" si="65"/>
        <v>5.6584577827409714E-2</v>
      </c>
    </row>
    <row r="453" spans="1:20" x14ac:dyDescent="0.3">
      <c r="A453" s="2" t="s">
        <v>1168</v>
      </c>
      <c r="B453" s="6" t="s">
        <v>1069</v>
      </c>
      <c r="C453" s="2" t="s">
        <v>45</v>
      </c>
      <c r="D453" s="2" t="s">
        <v>21</v>
      </c>
      <c r="E453" s="8">
        <v>453515.72056666669</v>
      </c>
      <c r="F453" s="8">
        <v>199183.73596666669</v>
      </c>
      <c r="G453" s="8">
        <v>123.63633333333333</v>
      </c>
      <c r="J453">
        <v>453515.71549999999</v>
      </c>
      <c r="K453">
        <v>199183.68109999999</v>
      </c>
      <c r="L453">
        <v>123.6305</v>
      </c>
      <c r="M453" s="3">
        <f t="shared" si="58"/>
        <v>-5.0666666938923299E-3</v>
      </c>
      <c r="N453" s="3">
        <f t="shared" si="59"/>
        <v>-5.4866666701855138E-2</v>
      </c>
      <c r="O453" s="3">
        <f t="shared" si="60"/>
        <v>5.8333333333280279E-3</v>
      </c>
      <c r="P453">
        <f t="shared" si="61"/>
        <v>2.5671111386997833E-5</v>
      </c>
      <c r="Q453">
        <f t="shared" si="62"/>
        <v>3.0103511149724592E-3</v>
      </c>
      <c r="R453">
        <f t="shared" si="63"/>
        <v>3.4027777777715881E-5</v>
      </c>
      <c r="S453">
        <f t="shared" si="64"/>
        <v>3.036022226359457E-3</v>
      </c>
      <c r="T453">
        <f t="shared" si="65"/>
        <v>5.5100110946888818E-2</v>
      </c>
    </row>
    <row r="454" spans="1:20" x14ac:dyDescent="0.3">
      <c r="A454" s="2" t="s">
        <v>1168</v>
      </c>
      <c r="B454" s="6" t="s">
        <v>1070</v>
      </c>
      <c r="C454" s="2" t="s">
        <v>20</v>
      </c>
      <c r="D454" s="2" t="s">
        <v>37</v>
      </c>
      <c r="E454" s="8">
        <v>453515.70076666662</v>
      </c>
      <c r="F454" s="8">
        <v>199183.73156666665</v>
      </c>
      <c r="G454" s="8">
        <v>123.61966666666667</v>
      </c>
      <c r="J454">
        <v>453515.71549999999</v>
      </c>
      <c r="K454">
        <v>199183.68109999999</v>
      </c>
      <c r="L454">
        <v>123.6305</v>
      </c>
      <c r="M454" s="3">
        <f t="shared" si="58"/>
        <v>1.4733333373442292E-2</v>
      </c>
      <c r="N454" s="3">
        <f t="shared" si="59"/>
        <v>-5.0466666667489335E-2</v>
      </c>
      <c r="O454" s="3">
        <f t="shared" si="60"/>
        <v>1.083333333332348E-2</v>
      </c>
      <c r="P454">
        <f t="shared" si="61"/>
        <v>2.1707111229298843E-4</v>
      </c>
      <c r="Q454">
        <f t="shared" si="62"/>
        <v>2.5468844445274792E-3</v>
      </c>
      <c r="R454">
        <f t="shared" si="63"/>
        <v>1.1736111111089763E-4</v>
      </c>
      <c r="S454">
        <f t="shared" si="64"/>
        <v>2.7639555568204676E-3</v>
      </c>
      <c r="T454">
        <f t="shared" si="65"/>
        <v>5.2573335036123277E-2</v>
      </c>
    </row>
    <row r="455" spans="1:20" x14ac:dyDescent="0.3">
      <c r="A455" s="2" t="s">
        <v>1168</v>
      </c>
      <c r="B455" s="6" t="s">
        <v>1070</v>
      </c>
      <c r="C455" s="2" t="s">
        <v>20</v>
      </c>
      <c r="D455" s="2" t="s">
        <v>46</v>
      </c>
      <c r="E455" s="8">
        <v>453515.69113333331</v>
      </c>
      <c r="F455" s="8">
        <v>199183.72726666662</v>
      </c>
      <c r="G455" s="8">
        <v>123.61399999999999</v>
      </c>
      <c r="J455">
        <v>453515.71549999999</v>
      </c>
      <c r="K455">
        <v>199183.68109999999</v>
      </c>
      <c r="L455">
        <v>123.6305</v>
      </c>
      <c r="M455" s="3">
        <f t="shared" si="58"/>
        <v>2.4366666679270566E-2</v>
      </c>
      <c r="N455" s="3">
        <f t="shared" si="59"/>
        <v>-4.6166666637873277E-2</v>
      </c>
      <c r="O455" s="3">
        <f t="shared" si="60"/>
        <v>1.6500000000007731E-2</v>
      </c>
      <c r="P455">
        <f t="shared" si="61"/>
        <v>5.9373444505867443E-4</v>
      </c>
      <c r="Q455">
        <f t="shared" si="62"/>
        <v>2.1313611084525213E-3</v>
      </c>
      <c r="R455">
        <f t="shared" si="63"/>
        <v>2.7225000000025509E-4</v>
      </c>
      <c r="S455">
        <f t="shared" si="64"/>
        <v>2.7250955535111955E-3</v>
      </c>
      <c r="T455">
        <f t="shared" si="65"/>
        <v>5.2202447773176265E-2</v>
      </c>
    </row>
    <row r="456" spans="1:20" x14ac:dyDescent="0.3">
      <c r="A456" s="2" t="s">
        <v>1168</v>
      </c>
      <c r="B456" s="6" t="s">
        <v>1070</v>
      </c>
      <c r="C456" s="2" t="s">
        <v>51</v>
      </c>
      <c r="D456" s="2" t="s">
        <v>30</v>
      </c>
      <c r="E456" s="8">
        <v>453515.70066666667</v>
      </c>
      <c r="F456" s="8">
        <v>199183.73353333338</v>
      </c>
      <c r="G456" s="8">
        <v>123.61233333333332</v>
      </c>
      <c r="J456">
        <v>453515.71549999999</v>
      </c>
      <c r="K456">
        <v>199183.68109999999</v>
      </c>
      <c r="L456">
        <v>123.6305</v>
      </c>
      <c r="M456" s="3">
        <f t="shared" si="58"/>
        <v>1.4833333319984376E-2</v>
      </c>
      <c r="N456" s="3">
        <f t="shared" si="59"/>
        <v>-5.2433333388762549E-2</v>
      </c>
      <c r="O456" s="3">
        <f t="shared" si="60"/>
        <v>1.8166666666672882E-2</v>
      </c>
      <c r="P456">
        <f t="shared" si="61"/>
        <v>2.2002777738175871E-4</v>
      </c>
      <c r="Q456">
        <f t="shared" si="62"/>
        <v>2.7492544502571215E-3</v>
      </c>
      <c r="R456">
        <f t="shared" si="63"/>
        <v>3.3002777777800356E-4</v>
      </c>
      <c r="S456">
        <f t="shared" si="64"/>
        <v>2.9692822276388801E-3</v>
      </c>
      <c r="T456">
        <f t="shared" si="65"/>
        <v>5.4491120631153113E-2</v>
      </c>
    </row>
    <row r="457" spans="1:20" x14ac:dyDescent="0.3">
      <c r="A457" s="2" t="s">
        <v>1168</v>
      </c>
      <c r="B457" s="6" t="s">
        <v>1070</v>
      </c>
      <c r="C457" s="2" t="s">
        <v>51</v>
      </c>
      <c r="D457" s="2" t="s">
        <v>52</v>
      </c>
      <c r="E457" s="8">
        <v>453515.69116666663</v>
      </c>
      <c r="F457" s="8">
        <v>199183.73109999998</v>
      </c>
      <c r="G457" s="8">
        <v>123.60266666666666</v>
      </c>
      <c r="J457">
        <v>453515.71549999999</v>
      </c>
      <c r="K457">
        <v>199183.68109999999</v>
      </c>
      <c r="L457">
        <v>123.6305</v>
      </c>
      <c r="M457" s="3">
        <f t="shared" si="58"/>
        <v>2.4333333363756537E-2</v>
      </c>
      <c r="N457" s="3">
        <f t="shared" si="59"/>
        <v>-4.9999999988358468E-2</v>
      </c>
      <c r="O457" s="3">
        <f t="shared" si="60"/>
        <v>2.7833333333333599E-2</v>
      </c>
      <c r="P457">
        <f t="shared" si="61"/>
        <v>5.9211111259170699E-4</v>
      </c>
      <c r="Q457">
        <f t="shared" si="62"/>
        <v>2.4999999988358466E-3</v>
      </c>
      <c r="R457">
        <f t="shared" si="63"/>
        <v>7.7469444444445924E-4</v>
      </c>
      <c r="S457">
        <f t="shared" si="64"/>
        <v>3.0921111114275536E-3</v>
      </c>
      <c r="T457">
        <f t="shared" si="65"/>
        <v>5.5606754188925231E-2</v>
      </c>
    </row>
    <row r="458" spans="1:20" x14ac:dyDescent="0.3">
      <c r="A458" s="2" t="s">
        <v>1168</v>
      </c>
      <c r="B458" s="6" t="s">
        <v>1071</v>
      </c>
      <c r="C458" s="2" t="s">
        <v>20</v>
      </c>
      <c r="D458" s="2" t="s">
        <v>30</v>
      </c>
      <c r="E458" s="8">
        <v>427884.1225</v>
      </c>
      <c r="F458" s="8">
        <v>180956.51813333333</v>
      </c>
      <c r="G458" s="8">
        <v>117.87166666666667</v>
      </c>
      <c r="J458">
        <v>427884.14250000002</v>
      </c>
      <c r="K458">
        <v>180956.5238</v>
      </c>
      <c r="L458">
        <v>117.84780000000001</v>
      </c>
      <c r="M458" s="3">
        <f t="shared" si="58"/>
        <v>2.0000000018626451E-2</v>
      </c>
      <c r="N458" s="3">
        <f t="shared" si="59"/>
        <v>5.6666666641831398E-3</v>
      </c>
      <c r="O458" s="3">
        <f t="shared" si="60"/>
        <v>2.386666666666315E-2</v>
      </c>
      <c r="P458">
        <f t="shared" si="61"/>
        <v>4.0000000074505806E-4</v>
      </c>
      <c r="Q458">
        <f t="shared" si="62"/>
        <v>3.2111111082964473E-5</v>
      </c>
      <c r="R458">
        <f t="shared" si="63"/>
        <v>5.6961777777760991E-4</v>
      </c>
      <c r="S458">
        <f t="shared" si="64"/>
        <v>4.3211111182802253E-4</v>
      </c>
      <c r="T458">
        <f t="shared" si="65"/>
        <v>2.0787282454135809E-2</v>
      </c>
    </row>
    <row r="459" spans="1:20" x14ac:dyDescent="0.3">
      <c r="A459" s="2" t="s">
        <v>1168</v>
      </c>
      <c r="B459" s="6" t="s">
        <v>1071</v>
      </c>
      <c r="C459" s="2" t="s">
        <v>20</v>
      </c>
      <c r="D459" s="2" t="s">
        <v>21</v>
      </c>
      <c r="E459" s="8">
        <v>427884.12176666665</v>
      </c>
      <c r="F459" s="8">
        <v>180956.51983333332</v>
      </c>
      <c r="G459" s="8">
        <v>117.88</v>
      </c>
      <c r="J459">
        <v>427884.14250000002</v>
      </c>
      <c r="K459">
        <v>180956.5238</v>
      </c>
      <c r="L459">
        <v>117.84780000000001</v>
      </c>
      <c r="M459" s="3">
        <f t="shared" si="58"/>
        <v>2.0733333367388695E-2</v>
      </c>
      <c r="N459" s="3">
        <f t="shared" si="59"/>
        <v>3.966666670748964E-3</v>
      </c>
      <c r="O459" s="3">
        <f t="shared" si="60"/>
        <v>3.2199999999988904E-2</v>
      </c>
      <c r="P459">
        <f t="shared" si="61"/>
        <v>4.2987111252327349E-4</v>
      </c>
      <c r="Q459">
        <f t="shared" si="62"/>
        <v>1.5734444476830669E-5</v>
      </c>
      <c r="R459">
        <f t="shared" si="63"/>
        <v>1.0368399999992853E-3</v>
      </c>
      <c r="S459">
        <f t="shared" si="64"/>
        <v>4.4560555700010415E-4</v>
      </c>
      <c r="T459">
        <f t="shared" si="65"/>
        <v>2.1109371307552107E-2</v>
      </c>
    </row>
    <row r="460" spans="1:20" x14ac:dyDescent="0.3">
      <c r="A460" s="2" t="s">
        <v>1168</v>
      </c>
      <c r="B460" s="6" t="s">
        <v>1072</v>
      </c>
      <c r="C460" s="2" t="s">
        <v>20</v>
      </c>
      <c r="D460" s="2" t="s">
        <v>110</v>
      </c>
      <c r="E460" s="8">
        <v>427884.12013333337</v>
      </c>
      <c r="F460" s="8">
        <v>180956.52226666667</v>
      </c>
      <c r="G460" s="8">
        <v>117.88100000000001</v>
      </c>
      <c r="J460">
        <v>427884.14250000002</v>
      </c>
      <c r="K460">
        <v>180956.5238</v>
      </c>
      <c r="L460">
        <v>117.84780000000001</v>
      </c>
      <c r="M460" s="3">
        <f t="shared" si="58"/>
        <v>2.2366666642483324E-2</v>
      </c>
      <c r="N460" s="3">
        <f t="shared" si="59"/>
        <v>1.5333333285525441E-3</v>
      </c>
      <c r="O460" s="3">
        <f t="shared" si="60"/>
        <v>3.320000000000789E-2</v>
      </c>
      <c r="P460">
        <f t="shared" si="61"/>
        <v>5.0026777669597629E-4</v>
      </c>
      <c r="Q460">
        <f t="shared" si="62"/>
        <v>2.3511110964500242E-6</v>
      </c>
      <c r="R460">
        <f t="shared" si="63"/>
        <v>1.1022400000005239E-3</v>
      </c>
      <c r="S460">
        <f t="shared" si="64"/>
        <v>5.026188877924263E-4</v>
      </c>
      <c r="T460">
        <f t="shared" si="65"/>
        <v>2.2419163405275101E-2</v>
      </c>
    </row>
    <row r="461" spans="1:20" x14ac:dyDescent="0.3">
      <c r="A461" s="2" t="s">
        <v>1168</v>
      </c>
      <c r="B461" s="6" t="s">
        <v>1072</v>
      </c>
      <c r="C461" s="2" t="s">
        <v>20</v>
      </c>
      <c r="D461" s="2" t="s">
        <v>37</v>
      </c>
      <c r="E461" s="8">
        <v>427884.12276666664</v>
      </c>
      <c r="F461" s="8">
        <v>180956.52293333333</v>
      </c>
      <c r="G461" s="8">
        <v>117.87533333333333</v>
      </c>
      <c r="J461">
        <v>427884.14250000002</v>
      </c>
      <c r="K461">
        <v>180956.5238</v>
      </c>
      <c r="L461">
        <v>117.84780000000001</v>
      </c>
      <c r="M461" s="3">
        <f t="shared" si="58"/>
        <v>1.9733333378098905E-2</v>
      </c>
      <c r="N461" s="3">
        <f t="shared" si="59"/>
        <v>8.6666666902601719E-4</v>
      </c>
      <c r="O461" s="3">
        <f t="shared" si="60"/>
        <v>2.753333333332364E-2</v>
      </c>
      <c r="P461">
        <f t="shared" si="61"/>
        <v>3.8940444621119233E-4</v>
      </c>
      <c r="Q461">
        <f t="shared" si="62"/>
        <v>7.5111111520065202E-7</v>
      </c>
      <c r="R461">
        <f t="shared" si="63"/>
        <v>7.5808444444391062E-4</v>
      </c>
      <c r="S461">
        <f t="shared" si="64"/>
        <v>3.9015555732639298E-4</v>
      </c>
      <c r="T461">
        <f t="shared" si="65"/>
        <v>1.9752355741186747E-2</v>
      </c>
    </row>
    <row r="462" spans="1:20" x14ac:dyDescent="0.3">
      <c r="A462" s="2" t="s">
        <v>1168</v>
      </c>
      <c r="B462" s="6" t="s">
        <v>1072</v>
      </c>
      <c r="C462" s="2" t="s">
        <v>20</v>
      </c>
      <c r="D462" s="2" t="s">
        <v>46</v>
      </c>
      <c r="E462" s="8">
        <v>427884.12533333339</v>
      </c>
      <c r="F462" s="8">
        <v>180956.52300000002</v>
      </c>
      <c r="G462" s="8">
        <v>117.87700000000001</v>
      </c>
      <c r="J462">
        <v>427884.14250000002</v>
      </c>
      <c r="K462">
        <v>180956.5238</v>
      </c>
      <c r="L462">
        <v>117.84780000000001</v>
      </c>
      <c r="M462" s="3">
        <f t="shared" si="58"/>
        <v>1.7166666628327221E-2</v>
      </c>
      <c r="N462" s="3">
        <f t="shared" si="59"/>
        <v>7.9999997979030013E-4</v>
      </c>
      <c r="O462" s="3">
        <f t="shared" si="60"/>
        <v>2.9200000000003001E-2</v>
      </c>
      <c r="P462">
        <f t="shared" si="61"/>
        <v>2.9469444312812346E-4</v>
      </c>
      <c r="Q462">
        <f t="shared" si="62"/>
        <v>6.3999996766448062E-7</v>
      </c>
      <c r="R462">
        <f t="shared" si="63"/>
        <v>8.5264000000017531E-4</v>
      </c>
      <c r="S462">
        <f t="shared" si="64"/>
        <v>2.9533444309578794E-4</v>
      </c>
      <c r="T462">
        <f t="shared" si="65"/>
        <v>1.7185297294367297E-2</v>
      </c>
    </row>
    <row r="463" spans="1:20" x14ac:dyDescent="0.3">
      <c r="A463" s="2" t="s">
        <v>1168</v>
      </c>
      <c r="B463" s="6" t="s">
        <v>1072</v>
      </c>
      <c r="C463" s="2" t="s">
        <v>51</v>
      </c>
      <c r="D463" s="2" t="s">
        <v>63</v>
      </c>
      <c r="E463" s="8">
        <v>427884.12443333335</v>
      </c>
      <c r="F463" s="8">
        <v>180956.52196666668</v>
      </c>
      <c r="G463" s="8">
        <v>117.79266666666668</v>
      </c>
      <c r="J463">
        <v>427884.14250000002</v>
      </c>
      <c r="K463">
        <v>180956.5238</v>
      </c>
      <c r="L463">
        <v>117.84780000000001</v>
      </c>
      <c r="M463" s="3">
        <f t="shared" si="58"/>
        <v>1.8066666671074927E-2</v>
      </c>
      <c r="N463" s="3">
        <f t="shared" si="59"/>
        <v>1.8333333136979491E-3</v>
      </c>
      <c r="O463" s="3">
        <f t="shared" si="60"/>
        <v>5.513333333333037E-2</v>
      </c>
      <c r="P463">
        <f t="shared" si="61"/>
        <v>3.2640444460372957E-4</v>
      </c>
      <c r="Q463">
        <f t="shared" si="62"/>
        <v>3.3611110391147025E-6</v>
      </c>
      <c r="R463">
        <f t="shared" si="63"/>
        <v>3.0396844444441178E-3</v>
      </c>
      <c r="S463">
        <f t="shared" si="64"/>
        <v>3.2976555564284427E-4</v>
      </c>
      <c r="T463">
        <f t="shared" si="65"/>
        <v>1.8159448109533623E-2</v>
      </c>
    </row>
    <row r="464" spans="1:20" x14ac:dyDescent="0.3">
      <c r="A464" s="2" t="s">
        <v>1168</v>
      </c>
      <c r="B464" s="6" t="s">
        <v>1072</v>
      </c>
      <c r="C464" s="2" t="s">
        <v>51</v>
      </c>
      <c r="D464" s="2" t="s">
        <v>30</v>
      </c>
      <c r="E464" s="8">
        <v>427884.12690000003</v>
      </c>
      <c r="F464" s="8">
        <v>180956.5233</v>
      </c>
      <c r="G464" s="8">
        <v>117.78766666666667</v>
      </c>
      <c r="J464">
        <v>427884.14250000002</v>
      </c>
      <c r="K464">
        <v>180956.5238</v>
      </c>
      <c r="L464">
        <v>117.84780000000001</v>
      </c>
      <c r="M464" s="3">
        <f t="shared" si="58"/>
        <v>1.5599999984260648E-2</v>
      </c>
      <c r="N464" s="3">
        <f t="shared" si="59"/>
        <v>4.999999946448952E-4</v>
      </c>
      <c r="O464" s="3">
        <f t="shared" si="60"/>
        <v>6.0133333333340033E-2</v>
      </c>
      <c r="P464">
        <f t="shared" si="61"/>
        <v>2.4335999950893223E-4</v>
      </c>
      <c r="Q464">
        <f t="shared" si="62"/>
        <v>2.4999999464489522E-7</v>
      </c>
      <c r="R464">
        <f t="shared" si="63"/>
        <v>3.6160177777785837E-3</v>
      </c>
      <c r="S464">
        <f t="shared" si="64"/>
        <v>2.4360999950357712E-4</v>
      </c>
      <c r="T464">
        <f t="shared" si="65"/>
        <v>1.5608010747804383E-2</v>
      </c>
    </row>
    <row r="465" spans="1:20" x14ac:dyDescent="0.3">
      <c r="A465" s="2" t="s">
        <v>1168</v>
      </c>
      <c r="B465" s="6" t="s">
        <v>1072</v>
      </c>
      <c r="C465" s="2" t="s">
        <v>51</v>
      </c>
      <c r="D465" s="2" t="s">
        <v>52</v>
      </c>
      <c r="E465" s="8">
        <v>427884.12643333332</v>
      </c>
      <c r="F465" s="8">
        <v>180956.52063333336</v>
      </c>
      <c r="G465" s="8">
        <v>117.78399999999999</v>
      </c>
      <c r="J465">
        <v>427884.14250000002</v>
      </c>
      <c r="K465">
        <v>180956.5238</v>
      </c>
      <c r="L465">
        <v>117.84780000000001</v>
      </c>
      <c r="M465" s="3">
        <f t="shared" si="58"/>
        <v>1.6066666692495346E-2</v>
      </c>
      <c r="N465" s="3">
        <f t="shared" si="59"/>
        <v>3.1666666327510029E-3</v>
      </c>
      <c r="O465" s="3">
        <f t="shared" si="60"/>
        <v>6.3800000000014734E-2</v>
      </c>
      <c r="P465">
        <f t="shared" si="61"/>
        <v>2.5813777860773934E-4</v>
      </c>
      <c r="Q465">
        <f t="shared" si="62"/>
        <v>1.0027777562978574E-5</v>
      </c>
      <c r="R465">
        <f t="shared" si="63"/>
        <v>4.0704400000018803E-3</v>
      </c>
      <c r="S465">
        <f t="shared" si="64"/>
        <v>2.6816555617071794E-4</v>
      </c>
      <c r="T465">
        <f t="shared" si="65"/>
        <v>1.6375761239426946E-2</v>
      </c>
    </row>
    <row r="466" spans="1:20" x14ac:dyDescent="0.3">
      <c r="A466" s="2" t="s">
        <v>1168</v>
      </c>
      <c r="B466" s="6" t="s">
        <v>1072</v>
      </c>
      <c r="C466" s="2" t="s">
        <v>422</v>
      </c>
      <c r="D466" s="2" t="s">
        <v>423</v>
      </c>
      <c r="E466" s="8">
        <v>427884.12280000001</v>
      </c>
      <c r="F466" s="8">
        <v>180956.5165</v>
      </c>
      <c r="G466" s="8">
        <v>117.97533333333335</v>
      </c>
      <c r="J466">
        <v>427884.14250000002</v>
      </c>
      <c r="K466">
        <v>180956.5238</v>
      </c>
      <c r="L466">
        <v>117.84780000000001</v>
      </c>
      <c r="M466" s="3">
        <f t="shared" si="58"/>
        <v>1.9700000004377216E-2</v>
      </c>
      <c r="N466" s="3">
        <f t="shared" si="59"/>
        <v>7.299999997485429E-3</v>
      </c>
      <c r="O466" s="3">
        <f t="shared" si="60"/>
        <v>0.12753333333334638</v>
      </c>
      <c r="P466">
        <f t="shared" si="61"/>
        <v>3.8809000017246231E-4</v>
      </c>
      <c r="Q466">
        <f t="shared" si="62"/>
        <v>5.3289999963287261E-5</v>
      </c>
      <c r="R466">
        <f t="shared" si="63"/>
        <v>1.6264751111114438E-2</v>
      </c>
      <c r="S466">
        <f t="shared" si="64"/>
        <v>4.413800001357496E-4</v>
      </c>
      <c r="T466">
        <f t="shared" si="65"/>
        <v>2.1009045674084046E-2</v>
      </c>
    </row>
    <row r="467" spans="1:20" x14ac:dyDescent="0.3">
      <c r="A467" s="2" t="s">
        <v>1168</v>
      </c>
      <c r="B467" s="6" t="s">
        <v>1073</v>
      </c>
      <c r="C467" s="2" t="s">
        <v>20</v>
      </c>
      <c r="D467" s="2" t="s">
        <v>30</v>
      </c>
      <c r="E467" s="8">
        <v>438845.51719999994</v>
      </c>
      <c r="F467" s="8">
        <v>179637.17763333334</v>
      </c>
      <c r="G467" s="8">
        <v>70.367999999999995</v>
      </c>
      <c r="J467">
        <v>438845.5269</v>
      </c>
      <c r="K467">
        <v>179637.18150000001</v>
      </c>
      <c r="L467">
        <v>70.384399999999999</v>
      </c>
      <c r="M467" s="3">
        <f t="shared" si="58"/>
        <v>9.7000000532716513E-3</v>
      </c>
      <c r="N467" s="3">
        <f t="shared" si="59"/>
        <v>3.8666666659992188E-3</v>
      </c>
      <c r="O467" s="3">
        <f t="shared" si="60"/>
        <v>1.6400000000004411E-2</v>
      </c>
      <c r="P467">
        <f t="shared" si="61"/>
        <v>9.4090001033470037E-5</v>
      </c>
      <c r="Q467">
        <f t="shared" si="62"/>
        <v>1.4951111105949514E-5</v>
      </c>
      <c r="R467">
        <f t="shared" si="63"/>
        <v>2.6896000000014469E-4</v>
      </c>
      <c r="S467">
        <f t="shared" si="64"/>
        <v>1.0904111213941955E-4</v>
      </c>
      <c r="T467">
        <f t="shared" si="65"/>
        <v>1.0442275237677828E-2</v>
      </c>
    </row>
    <row r="468" spans="1:20" x14ac:dyDescent="0.3">
      <c r="A468" s="2" t="s">
        <v>1168</v>
      </c>
      <c r="B468" s="6" t="s">
        <v>1073</v>
      </c>
      <c r="C468" s="2" t="s">
        <v>20</v>
      </c>
      <c r="D468" s="2" t="s">
        <v>21</v>
      </c>
      <c r="E468" s="8">
        <v>438845.51843333332</v>
      </c>
      <c r="F468" s="8">
        <v>179637.16899999999</v>
      </c>
      <c r="G468" s="8">
        <v>70.357000000000014</v>
      </c>
      <c r="J468">
        <v>438845.5269</v>
      </c>
      <c r="K468">
        <v>179637.18150000001</v>
      </c>
      <c r="L468">
        <v>70.384399999999999</v>
      </c>
      <c r="M468" s="3">
        <f t="shared" si="58"/>
        <v>8.4666666807606816E-3</v>
      </c>
      <c r="N468" s="3">
        <f t="shared" si="59"/>
        <v>1.2500000011641532E-2</v>
      </c>
      <c r="O468" s="3">
        <f t="shared" si="60"/>
        <v>2.739999999998588E-2</v>
      </c>
      <c r="P468">
        <f t="shared" si="61"/>
        <v>7.1684444683103098E-5</v>
      </c>
      <c r="Q468">
        <f t="shared" si="62"/>
        <v>1.562500002910383E-4</v>
      </c>
      <c r="R468">
        <f t="shared" si="63"/>
        <v>7.5075999999922626E-4</v>
      </c>
      <c r="S468">
        <f t="shared" si="64"/>
        <v>2.2793444497414141E-4</v>
      </c>
      <c r="T468">
        <f t="shared" si="65"/>
        <v>1.5097497970661941E-2</v>
      </c>
    </row>
    <row r="469" spans="1:20" x14ac:dyDescent="0.3">
      <c r="A469" s="2" t="s">
        <v>1168</v>
      </c>
      <c r="B469" s="6" t="s">
        <v>1074</v>
      </c>
      <c r="C469" s="2" t="s">
        <v>20</v>
      </c>
      <c r="D469" s="2" t="s">
        <v>37</v>
      </c>
      <c r="E469" s="8">
        <v>438845.51610000007</v>
      </c>
      <c r="F469" s="8">
        <v>179637.16810000001</v>
      </c>
      <c r="G469" s="8">
        <v>70.366</v>
      </c>
      <c r="J469">
        <v>438845.5269</v>
      </c>
      <c r="K469">
        <v>179637.18150000001</v>
      </c>
      <c r="L469">
        <v>70.384399999999999</v>
      </c>
      <c r="M469" s="3">
        <f t="shared" si="58"/>
        <v>1.0799999930895865E-2</v>
      </c>
      <c r="N469" s="3">
        <f t="shared" si="59"/>
        <v>1.3399999996181577E-2</v>
      </c>
      <c r="O469" s="3">
        <f t="shared" si="60"/>
        <v>1.839999999999975E-2</v>
      </c>
      <c r="P469">
        <f t="shared" si="61"/>
        <v>1.1663999850735069E-4</v>
      </c>
      <c r="Q469">
        <f t="shared" si="62"/>
        <v>1.7955999989766627E-4</v>
      </c>
      <c r="R469">
        <f t="shared" si="63"/>
        <v>3.385599999999908E-4</v>
      </c>
      <c r="S469">
        <f t="shared" si="64"/>
        <v>2.9619999840501695E-4</v>
      </c>
      <c r="T469">
        <f t="shared" si="65"/>
        <v>1.7210461888195125E-2</v>
      </c>
    </row>
    <row r="470" spans="1:20" x14ac:dyDescent="0.3">
      <c r="A470" s="2" t="s">
        <v>1168</v>
      </c>
      <c r="B470" s="6" t="s">
        <v>1074</v>
      </c>
      <c r="C470" s="2" t="s">
        <v>20</v>
      </c>
      <c r="D470" s="2" t="s">
        <v>46</v>
      </c>
      <c r="E470" s="8">
        <v>438845.52743333328</v>
      </c>
      <c r="F470" s="8">
        <v>179637.16620000001</v>
      </c>
      <c r="G470" s="8">
        <v>70.326666666666668</v>
      </c>
      <c r="J470">
        <v>438845.5269</v>
      </c>
      <c r="K470">
        <v>179637.18150000001</v>
      </c>
      <c r="L470">
        <v>70.384399999999999</v>
      </c>
      <c r="M470" s="3">
        <f t="shared" si="58"/>
        <v>-5.3333328105509281E-4</v>
      </c>
      <c r="N470" s="3">
        <f t="shared" si="59"/>
        <v>1.5299999999115244E-2</v>
      </c>
      <c r="O470" s="3">
        <f t="shared" si="60"/>
        <v>5.7733333333331416E-2</v>
      </c>
      <c r="P470">
        <f t="shared" si="61"/>
        <v>2.8444438868099062E-7</v>
      </c>
      <c r="Q470">
        <f t="shared" si="62"/>
        <v>2.3408999997292645E-4</v>
      </c>
      <c r="R470">
        <f t="shared" si="63"/>
        <v>3.3331377777775562E-3</v>
      </c>
      <c r="S470">
        <f t="shared" si="64"/>
        <v>2.3437444436160744E-4</v>
      </c>
      <c r="T470">
        <f t="shared" si="65"/>
        <v>1.5309292745310198E-2</v>
      </c>
    </row>
    <row r="471" spans="1:20" x14ac:dyDescent="0.3">
      <c r="A471" s="2" t="s">
        <v>1168</v>
      </c>
      <c r="B471" s="6" t="s">
        <v>1074</v>
      </c>
      <c r="C471" s="2" t="s">
        <v>51</v>
      </c>
      <c r="D471" s="2" t="s">
        <v>63</v>
      </c>
      <c r="E471" s="8">
        <v>438845.52753333328</v>
      </c>
      <c r="F471" s="8">
        <v>179637.15386666669</v>
      </c>
      <c r="G471" s="8">
        <v>70.265000000000001</v>
      </c>
      <c r="J471">
        <v>438845.5269</v>
      </c>
      <c r="K471">
        <v>179637.18150000001</v>
      </c>
      <c r="L471">
        <v>70.384399999999999</v>
      </c>
      <c r="M471" s="3">
        <f t="shared" si="58"/>
        <v>-6.3333328580483794E-4</v>
      </c>
      <c r="N471" s="3">
        <f t="shared" si="59"/>
        <v>2.7633333316771314E-2</v>
      </c>
      <c r="O471" s="3">
        <f t="shared" si="60"/>
        <v>0.11939999999999884</v>
      </c>
      <c r="P471">
        <f t="shared" si="61"/>
        <v>4.0111105090835254E-7</v>
      </c>
      <c r="Q471">
        <f t="shared" si="62"/>
        <v>7.6360111019578352E-4</v>
      </c>
      <c r="R471">
        <f t="shared" si="63"/>
        <v>1.4256359999999723E-2</v>
      </c>
      <c r="S471">
        <f t="shared" si="64"/>
        <v>7.6400222124669193E-4</v>
      </c>
      <c r="T471">
        <f t="shared" si="65"/>
        <v>2.764059010308376E-2</v>
      </c>
    </row>
    <row r="472" spans="1:20" x14ac:dyDescent="0.3">
      <c r="A472" s="2" t="s">
        <v>1168</v>
      </c>
      <c r="B472" s="6" t="s">
        <v>1074</v>
      </c>
      <c r="C472" s="2" t="s">
        <v>51</v>
      </c>
      <c r="D472" s="2" t="s">
        <v>30</v>
      </c>
      <c r="E472" s="8">
        <v>438845.54729999998</v>
      </c>
      <c r="F472" s="8">
        <v>179637.15103333336</v>
      </c>
      <c r="G472" s="8">
        <v>70.25833333333334</v>
      </c>
      <c r="J472">
        <v>438845.5269</v>
      </c>
      <c r="K472">
        <v>179637.18150000001</v>
      </c>
      <c r="L472">
        <v>70.384399999999999</v>
      </c>
      <c r="M472" s="3">
        <f t="shared" si="58"/>
        <v>-2.0399999979417771E-2</v>
      </c>
      <c r="N472" s="3">
        <f t="shared" si="59"/>
        <v>3.0466666648862883E-2</v>
      </c>
      <c r="O472" s="3">
        <f t="shared" si="60"/>
        <v>0.12606666666665944</v>
      </c>
      <c r="P472">
        <f t="shared" si="61"/>
        <v>4.1615999916024509E-4</v>
      </c>
      <c r="Q472">
        <f t="shared" si="62"/>
        <v>9.2821777669293388E-4</v>
      </c>
      <c r="R472">
        <f t="shared" si="63"/>
        <v>1.5892804444442625E-2</v>
      </c>
      <c r="S472">
        <f t="shared" si="64"/>
        <v>1.3443777758531789E-3</v>
      </c>
      <c r="T472">
        <f t="shared" si="65"/>
        <v>3.6665757538242395E-2</v>
      </c>
    </row>
    <row r="473" spans="1:20" x14ac:dyDescent="0.3">
      <c r="A473" s="2" t="s">
        <v>1168</v>
      </c>
      <c r="B473" s="6" t="s">
        <v>1074</v>
      </c>
      <c r="C473" s="2" t="s">
        <v>51</v>
      </c>
      <c r="D473" s="2" t="s">
        <v>52</v>
      </c>
      <c r="E473" s="8">
        <v>438845.53243333334</v>
      </c>
      <c r="F473" s="8">
        <v>179637.15923333334</v>
      </c>
      <c r="G473" s="8">
        <v>70.193333333333328</v>
      </c>
      <c r="J473">
        <v>438845.5269</v>
      </c>
      <c r="K473">
        <v>179637.18150000001</v>
      </c>
      <c r="L473">
        <v>70.384399999999999</v>
      </c>
      <c r="M473" s="3">
        <f t="shared" si="58"/>
        <v>-5.5333333439193666E-3</v>
      </c>
      <c r="N473" s="3">
        <f t="shared" si="59"/>
        <v>2.2266666666837409E-2</v>
      </c>
      <c r="O473" s="3">
        <f t="shared" si="60"/>
        <v>0.19106666666667138</v>
      </c>
      <c r="P473">
        <f t="shared" si="61"/>
        <v>3.0617777894929876E-5</v>
      </c>
      <c r="Q473">
        <f t="shared" si="62"/>
        <v>4.9580444445204816E-4</v>
      </c>
      <c r="R473">
        <f t="shared" si="63"/>
        <v>3.6506471111112909E-2</v>
      </c>
      <c r="S473">
        <f t="shared" si="64"/>
        <v>5.2642222234697798E-4</v>
      </c>
      <c r="T473">
        <f t="shared" si="65"/>
        <v>2.2943892920491458E-2</v>
      </c>
    </row>
    <row r="474" spans="1:20" x14ac:dyDescent="0.3">
      <c r="A474" s="2" t="s">
        <v>1168</v>
      </c>
      <c r="B474" s="6" t="s">
        <v>1074</v>
      </c>
      <c r="C474" s="2" t="s">
        <v>422</v>
      </c>
      <c r="D474" s="2" t="s">
        <v>423</v>
      </c>
      <c r="E474" s="8">
        <v>438845.55253333336</v>
      </c>
      <c r="F474" s="8">
        <v>179637.17539999998</v>
      </c>
      <c r="G474" s="8">
        <v>70.303999999999988</v>
      </c>
      <c r="J474">
        <v>438845.5269</v>
      </c>
      <c r="K474">
        <v>179637.18150000001</v>
      </c>
      <c r="L474">
        <v>70.384399999999999</v>
      </c>
      <c r="M474" s="3">
        <f t="shared" si="58"/>
        <v>-2.5633333367295563E-2</v>
      </c>
      <c r="N474" s="3">
        <f t="shared" si="59"/>
        <v>6.1000000277999789E-3</v>
      </c>
      <c r="O474" s="3">
        <f t="shared" si="60"/>
        <v>8.0400000000011573E-2</v>
      </c>
      <c r="P474">
        <f t="shared" si="61"/>
        <v>6.5706777951890808E-4</v>
      </c>
      <c r="Q474">
        <f t="shared" si="62"/>
        <v>3.7210000339159742E-5</v>
      </c>
      <c r="R474">
        <f t="shared" si="63"/>
        <v>6.4641600000018614E-3</v>
      </c>
      <c r="S474">
        <f t="shared" si="64"/>
        <v>6.9427777985806786E-4</v>
      </c>
      <c r="T474">
        <f t="shared" si="65"/>
        <v>2.6349151406792361E-2</v>
      </c>
    </row>
    <row r="475" spans="1:20" x14ac:dyDescent="0.3">
      <c r="A475" s="2" t="s">
        <v>1168</v>
      </c>
      <c r="B475" s="6" t="s">
        <v>1074</v>
      </c>
      <c r="C475" s="2" t="s">
        <v>20</v>
      </c>
      <c r="D475" s="2" t="s">
        <v>110</v>
      </c>
      <c r="E475" s="8">
        <v>438845.55036666663</v>
      </c>
      <c r="F475" s="8">
        <v>179637.19173333331</v>
      </c>
      <c r="G475" s="8">
        <v>70.33</v>
      </c>
      <c r="J475">
        <v>438845.5269</v>
      </c>
      <c r="K475">
        <v>179637.18150000001</v>
      </c>
      <c r="L475">
        <v>70.384399999999999</v>
      </c>
      <c r="M475" s="3">
        <f t="shared" si="58"/>
        <v>-2.3466666636522859E-2</v>
      </c>
      <c r="N475" s="3">
        <f t="shared" si="59"/>
        <v>-1.0233333305222914E-2</v>
      </c>
      <c r="O475" s="3">
        <f t="shared" si="60"/>
        <v>5.4400000000001114E-2</v>
      </c>
      <c r="P475">
        <f t="shared" si="61"/>
        <v>5.5068444302969514E-4</v>
      </c>
      <c r="Q475">
        <f t="shared" si="62"/>
        <v>1.0472111053578452E-4</v>
      </c>
      <c r="R475">
        <f t="shared" si="63"/>
        <v>2.9593600000001213E-3</v>
      </c>
      <c r="S475">
        <f t="shared" si="64"/>
        <v>6.5540555356547966E-4</v>
      </c>
      <c r="T475">
        <f t="shared" si="65"/>
        <v>2.5600889702615408E-2</v>
      </c>
    </row>
    <row r="476" spans="1:20" x14ac:dyDescent="0.3">
      <c r="A476" s="2" t="s">
        <v>1168</v>
      </c>
      <c r="B476" s="6" t="s">
        <v>1075</v>
      </c>
      <c r="C476" s="2" t="s">
        <v>20</v>
      </c>
      <c r="D476" s="2" t="s">
        <v>30</v>
      </c>
      <c r="E476" s="8">
        <v>442058.06630000001</v>
      </c>
      <c r="F476" s="8">
        <v>169095.63283333334</v>
      </c>
      <c r="G476" s="8">
        <v>105.82</v>
      </c>
      <c r="J476">
        <v>442058.05820000003</v>
      </c>
      <c r="K476">
        <v>169095.60699999999</v>
      </c>
      <c r="L476">
        <v>105.8759</v>
      </c>
      <c r="M476" s="3">
        <f t="shared" si="58"/>
        <v>-8.0999999772757292E-3</v>
      </c>
      <c r="N476" s="3">
        <f t="shared" si="59"/>
        <v>-2.5833333347691223E-2</v>
      </c>
      <c r="O476" s="3">
        <f t="shared" si="60"/>
        <v>5.5900000000008276E-2</v>
      </c>
      <c r="P476">
        <f t="shared" si="61"/>
        <v>6.5609999631866813E-5</v>
      </c>
      <c r="Q476">
        <f t="shared" si="62"/>
        <v>6.6736111185293544E-4</v>
      </c>
      <c r="R476">
        <f t="shared" si="63"/>
        <v>3.1248100000009255E-3</v>
      </c>
      <c r="S476">
        <f t="shared" si="64"/>
        <v>7.3297111148480231E-4</v>
      </c>
      <c r="T476">
        <f t="shared" si="65"/>
        <v>2.7073439225277648E-2</v>
      </c>
    </row>
    <row r="477" spans="1:20" x14ac:dyDescent="0.3">
      <c r="A477" s="2" t="s">
        <v>1168</v>
      </c>
      <c r="B477" s="6" t="s">
        <v>1075</v>
      </c>
      <c r="C477" s="2" t="s">
        <v>20</v>
      </c>
      <c r="D477" s="2" t="s">
        <v>21</v>
      </c>
      <c r="E477" s="8">
        <v>442058.07686666661</v>
      </c>
      <c r="F477" s="8">
        <v>169095.62210000001</v>
      </c>
      <c r="G477" s="8">
        <v>105.79966666666667</v>
      </c>
      <c r="J477">
        <v>442058.05820000003</v>
      </c>
      <c r="K477">
        <v>169095.60699999999</v>
      </c>
      <c r="L477">
        <v>105.8759</v>
      </c>
      <c r="M477" s="3">
        <f t="shared" si="58"/>
        <v>-1.8666666583158076E-2</v>
      </c>
      <c r="N477" s="3">
        <f t="shared" si="59"/>
        <v>-1.5100000018719584E-2</v>
      </c>
      <c r="O477" s="3">
        <f t="shared" si="60"/>
        <v>7.6233333333334485E-2</v>
      </c>
      <c r="P477">
        <f t="shared" si="61"/>
        <v>3.4844444132679038E-4</v>
      </c>
      <c r="Q477">
        <f t="shared" si="62"/>
        <v>2.2801000056533143E-4</v>
      </c>
      <c r="R477">
        <f t="shared" si="63"/>
        <v>5.8115211111112869E-3</v>
      </c>
      <c r="S477">
        <f t="shared" si="64"/>
        <v>5.7645444189212175E-4</v>
      </c>
      <c r="T477">
        <f t="shared" si="65"/>
        <v>2.4009465672774181E-2</v>
      </c>
    </row>
    <row r="478" spans="1:20" x14ac:dyDescent="0.3">
      <c r="A478" s="2" t="s">
        <v>1168</v>
      </c>
      <c r="B478" s="6" t="s">
        <v>1076</v>
      </c>
      <c r="C478" s="2" t="s">
        <v>20</v>
      </c>
      <c r="D478" s="2" t="s">
        <v>110</v>
      </c>
      <c r="E478" s="8">
        <v>442058.04019999999</v>
      </c>
      <c r="F478" s="8">
        <v>169095.61936666668</v>
      </c>
      <c r="G478" s="8">
        <v>105.79066666666667</v>
      </c>
      <c r="J478">
        <v>442058.05820000003</v>
      </c>
      <c r="K478">
        <v>169095.60699999999</v>
      </c>
      <c r="L478">
        <v>105.8759</v>
      </c>
      <c r="M478" s="3">
        <f t="shared" si="58"/>
        <v>1.8000000040046871E-2</v>
      </c>
      <c r="N478" s="3">
        <f t="shared" si="59"/>
        <v>-1.2366666691377759E-2</v>
      </c>
      <c r="O478" s="3">
        <f t="shared" si="60"/>
        <v>8.5233333333334826E-2</v>
      </c>
      <c r="P478">
        <f t="shared" si="61"/>
        <v>3.2400000144168733E-4</v>
      </c>
      <c r="Q478">
        <f t="shared" si="62"/>
        <v>1.5293444505563213E-4</v>
      </c>
      <c r="R478">
        <f t="shared" si="63"/>
        <v>7.2647211111113658E-3</v>
      </c>
      <c r="S478">
        <f t="shared" si="64"/>
        <v>4.7693444649731946E-4</v>
      </c>
      <c r="T478">
        <f t="shared" si="65"/>
        <v>2.1838828871927164E-2</v>
      </c>
    </row>
    <row r="479" spans="1:20" x14ac:dyDescent="0.3">
      <c r="A479" s="2" t="s">
        <v>1168</v>
      </c>
      <c r="B479" s="6" t="s">
        <v>1076</v>
      </c>
      <c r="C479" s="2" t="s">
        <v>20</v>
      </c>
      <c r="D479" s="2" t="s">
        <v>37</v>
      </c>
      <c r="E479" s="8">
        <v>442058.08653333335</v>
      </c>
      <c r="F479" s="8">
        <v>169095.54920000001</v>
      </c>
      <c r="G479" s="8">
        <v>105.92200000000001</v>
      </c>
      <c r="J479">
        <v>442058.05820000003</v>
      </c>
      <c r="K479">
        <v>169095.60699999999</v>
      </c>
      <c r="L479">
        <v>105.8759</v>
      </c>
      <c r="M479" s="3">
        <f t="shared" si="58"/>
        <v>-2.8333333320915699E-2</v>
      </c>
      <c r="N479" s="3">
        <f t="shared" si="59"/>
        <v>5.7799999980488792E-2</v>
      </c>
      <c r="O479" s="3">
        <f t="shared" si="60"/>
        <v>4.61000000000098E-2</v>
      </c>
      <c r="P479">
        <f t="shared" si="61"/>
        <v>8.0277777707411183E-4</v>
      </c>
      <c r="Q479">
        <f t="shared" si="62"/>
        <v>3.3408399977445042E-3</v>
      </c>
      <c r="R479">
        <f t="shared" si="63"/>
        <v>2.1252100000009036E-3</v>
      </c>
      <c r="S479">
        <f t="shared" si="64"/>
        <v>4.143617774818616E-3</v>
      </c>
      <c r="T479">
        <f t="shared" si="65"/>
        <v>6.4370938899620034E-2</v>
      </c>
    </row>
    <row r="480" spans="1:20" x14ac:dyDescent="0.3">
      <c r="A480" s="2" t="s">
        <v>1168</v>
      </c>
      <c r="B480" s="6" t="s">
        <v>1076</v>
      </c>
      <c r="C480" s="2" t="s">
        <v>20</v>
      </c>
      <c r="D480" s="2" t="s">
        <v>46</v>
      </c>
      <c r="E480" s="8">
        <v>442058.09446666669</v>
      </c>
      <c r="F480" s="8">
        <v>169095.50486666666</v>
      </c>
      <c r="G480" s="8">
        <v>106.01400000000001</v>
      </c>
      <c r="J480">
        <v>442058.05820000003</v>
      </c>
      <c r="K480">
        <v>169095.60699999999</v>
      </c>
      <c r="L480">
        <v>105.8759</v>
      </c>
      <c r="M480" s="3">
        <f t="shared" si="58"/>
        <v>-3.6266666662413627E-2</v>
      </c>
      <c r="N480" s="3">
        <f t="shared" si="59"/>
        <v>0.10213333333376795</v>
      </c>
      <c r="O480" s="3">
        <f t="shared" si="60"/>
        <v>0.13810000000000855</v>
      </c>
      <c r="P480">
        <f t="shared" si="61"/>
        <v>1.315271110802624E-3</v>
      </c>
      <c r="Q480">
        <f t="shared" si="62"/>
        <v>1.0431217777866555E-2</v>
      </c>
      <c r="R480">
        <f t="shared" si="63"/>
        <v>1.9071610000002362E-2</v>
      </c>
      <c r="S480">
        <f t="shared" si="64"/>
        <v>1.1746488888669179E-2</v>
      </c>
      <c r="T480">
        <f t="shared" si="65"/>
        <v>0.10838122018444514</v>
      </c>
    </row>
    <row r="481" spans="1:20" x14ac:dyDescent="0.3">
      <c r="A481" s="2" t="s">
        <v>1168</v>
      </c>
      <c r="B481" s="6" t="s">
        <v>1076</v>
      </c>
      <c r="C481" s="2" t="s">
        <v>51</v>
      </c>
      <c r="D481" s="2" t="s">
        <v>52</v>
      </c>
      <c r="E481" s="8">
        <v>442058.07609999995</v>
      </c>
      <c r="F481" s="8">
        <v>169095.60889999999</v>
      </c>
      <c r="G481" s="8">
        <v>105.735</v>
      </c>
      <c r="J481">
        <v>442058.05820000003</v>
      </c>
      <c r="K481">
        <v>169095.60699999999</v>
      </c>
      <c r="L481">
        <v>105.8759</v>
      </c>
      <c r="M481" s="3">
        <f t="shared" si="58"/>
        <v>-1.7899999918881804E-2</v>
      </c>
      <c r="N481" s="3">
        <f t="shared" si="59"/>
        <v>-1.9000000029336661E-3</v>
      </c>
      <c r="O481" s="3">
        <f t="shared" si="60"/>
        <v>0.14090000000000202</v>
      </c>
      <c r="P481">
        <f t="shared" si="61"/>
        <v>3.2040999709596858E-4</v>
      </c>
      <c r="Q481">
        <f t="shared" si="62"/>
        <v>3.6100000111479312E-6</v>
      </c>
      <c r="R481">
        <f t="shared" si="63"/>
        <v>1.9852810000000571E-2</v>
      </c>
      <c r="S481">
        <f t="shared" si="64"/>
        <v>3.2401999710711653E-4</v>
      </c>
      <c r="T481">
        <f t="shared" si="65"/>
        <v>1.8000555466627037E-2</v>
      </c>
    </row>
    <row r="482" spans="1:20" x14ac:dyDescent="0.3">
      <c r="A482" s="2" t="s">
        <v>1168</v>
      </c>
      <c r="B482" s="6" t="s">
        <v>1076</v>
      </c>
      <c r="C482" s="2" t="s">
        <v>422</v>
      </c>
      <c r="D482" s="2" t="s">
        <v>423</v>
      </c>
      <c r="E482" s="8">
        <v>442058.07326666667</v>
      </c>
      <c r="F482" s="8">
        <v>169095.54723333335</v>
      </c>
      <c r="G482" s="8">
        <v>106.03366666666666</v>
      </c>
      <c r="J482">
        <v>442058.05820000003</v>
      </c>
      <c r="K482">
        <v>169095.60699999999</v>
      </c>
      <c r="L482">
        <v>105.8759</v>
      </c>
      <c r="M482" s="3">
        <f t="shared" si="58"/>
        <v>-1.5066666644997895E-2</v>
      </c>
      <c r="N482" s="3">
        <f t="shared" si="59"/>
        <v>5.9766666643554345E-2</v>
      </c>
      <c r="O482" s="3">
        <f t="shared" si="60"/>
        <v>0.15776666666666017</v>
      </c>
      <c r="P482">
        <f t="shared" si="61"/>
        <v>2.270044437914921E-4</v>
      </c>
      <c r="Q482">
        <f t="shared" si="62"/>
        <v>3.5720544416817514E-3</v>
      </c>
      <c r="R482">
        <f t="shared" si="63"/>
        <v>2.4890321111109063E-2</v>
      </c>
      <c r="S482">
        <f t="shared" si="64"/>
        <v>3.7990588854732435E-3</v>
      </c>
      <c r="T482">
        <f t="shared" si="65"/>
        <v>6.1636506110204228E-2</v>
      </c>
    </row>
    <row r="483" spans="1:20" x14ac:dyDescent="0.3">
      <c r="A483" s="2" t="s">
        <v>1168</v>
      </c>
      <c r="B483" s="6" t="s">
        <v>1077</v>
      </c>
      <c r="C483" s="2" t="s">
        <v>20</v>
      </c>
      <c r="D483" s="2" t="s">
        <v>30</v>
      </c>
      <c r="E483" s="8">
        <v>447293.55326666665</v>
      </c>
      <c r="F483" s="8">
        <v>138391.09106666668</v>
      </c>
      <c r="G483" s="8">
        <v>38.905999999999999</v>
      </c>
      <c r="J483">
        <v>447293.56</v>
      </c>
      <c r="K483">
        <v>138391.0827</v>
      </c>
      <c r="L483">
        <v>39.093699999999998</v>
      </c>
      <c r="M483" s="3">
        <f t="shared" si="58"/>
        <v>6.7333333427086473E-3</v>
      </c>
      <c r="N483" s="3">
        <f t="shared" si="59"/>
        <v>-8.3666666760109365E-3</v>
      </c>
      <c r="O483" s="3">
        <f t="shared" si="60"/>
        <v>0.18769999999999953</v>
      </c>
      <c r="P483">
        <f t="shared" si="61"/>
        <v>4.5337777904032005E-5</v>
      </c>
      <c r="Q483">
        <f t="shared" si="62"/>
        <v>7.000111126747189E-5</v>
      </c>
      <c r="R483">
        <f t="shared" si="63"/>
        <v>3.5231289999999825E-2</v>
      </c>
      <c r="S483">
        <f t="shared" si="64"/>
        <v>1.1533888917150389E-4</v>
      </c>
      <c r="T483">
        <f t="shared" si="65"/>
        <v>1.0739594460290569E-2</v>
      </c>
    </row>
    <row r="484" spans="1:20" x14ac:dyDescent="0.3">
      <c r="A484" s="2" t="s">
        <v>1168</v>
      </c>
      <c r="B484" s="6" t="s">
        <v>1077</v>
      </c>
      <c r="C484" s="2" t="s">
        <v>20</v>
      </c>
      <c r="D484" s="2" t="s">
        <v>21</v>
      </c>
      <c r="E484" s="8">
        <v>447293.54340000002</v>
      </c>
      <c r="F484" s="8">
        <v>138391.08943333334</v>
      </c>
      <c r="G484" s="8">
        <v>38.914666666666669</v>
      </c>
      <c r="J484">
        <v>447293.56</v>
      </c>
      <c r="K484">
        <v>138391.0827</v>
      </c>
      <c r="L484">
        <v>39.093699999999998</v>
      </c>
      <c r="M484" s="3">
        <f t="shared" si="58"/>
        <v>1.6599999973550439E-2</v>
      </c>
      <c r="N484" s="3">
        <f t="shared" si="59"/>
        <v>-6.7333333427086473E-3</v>
      </c>
      <c r="O484" s="3">
        <f t="shared" si="60"/>
        <v>0.17903333333332938</v>
      </c>
      <c r="P484">
        <f t="shared" si="61"/>
        <v>2.7555999912187457E-4</v>
      </c>
      <c r="Q484">
        <f t="shared" si="62"/>
        <v>4.5337777904032005E-5</v>
      </c>
      <c r="R484">
        <f t="shared" si="63"/>
        <v>3.2052934444443029E-2</v>
      </c>
      <c r="S484">
        <f t="shared" si="64"/>
        <v>3.2089777702590656E-4</v>
      </c>
      <c r="T484">
        <f t="shared" si="65"/>
        <v>1.7913619874997531E-2</v>
      </c>
    </row>
    <row r="485" spans="1:20" x14ac:dyDescent="0.3">
      <c r="A485" s="2" t="s">
        <v>1168</v>
      </c>
      <c r="B485" s="6" t="s">
        <v>1077</v>
      </c>
      <c r="C485" s="2" t="s">
        <v>20</v>
      </c>
      <c r="D485" s="2" t="s">
        <v>110</v>
      </c>
      <c r="E485" s="8">
        <v>447293.54583333334</v>
      </c>
      <c r="F485" s="8">
        <v>138391.08293333332</v>
      </c>
      <c r="G485" s="8">
        <v>38.915666666666674</v>
      </c>
      <c r="J485">
        <v>447293.56</v>
      </c>
      <c r="K485">
        <v>138391.0827</v>
      </c>
      <c r="L485">
        <v>39.093699999999998</v>
      </c>
      <c r="M485" s="3">
        <f t="shared" si="58"/>
        <v>1.416666666045785E-2</v>
      </c>
      <c r="N485" s="3">
        <f t="shared" si="59"/>
        <v>-2.3333332501351833E-4</v>
      </c>
      <c r="O485" s="3">
        <f t="shared" si="60"/>
        <v>0.17803333333332461</v>
      </c>
      <c r="P485">
        <f t="shared" si="61"/>
        <v>2.0069444426852796E-4</v>
      </c>
      <c r="Q485">
        <f t="shared" si="62"/>
        <v>5.444444056186418E-8</v>
      </c>
      <c r="R485">
        <f t="shared" si="63"/>
        <v>3.1695867777774674E-2</v>
      </c>
      <c r="S485">
        <f t="shared" si="64"/>
        <v>2.0074888870908982E-4</v>
      </c>
      <c r="T485">
        <f t="shared" si="65"/>
        <v>1.4168588098645886E-2</v>
      </c>
    </row>
    <row r="486" spans="1:20" x14ac:dyDescent="0.3">
      <c r="A486" s="2" t="s">
        <v>1168</v>
      </c>
      <c r="B486" s="6" t="s">
        <v>1078</v>
      </c>
      <c r="C486" s="2" t="s">
        <v>20</v>
      </c>
      <c r="D486" s="2" t="s">
        <v>37</v>
      </c>
      <c r="E486" s="8">
        <v>447293.5456666667</v>
      </c>
      <c r="F486" s="8">
        <v>138391.08243333333</v>
      </c>
      <c r="G486" s="8">
        <v>38.904000000000003</v>
      </c>
      <c r="J486">
        <v>447293.56</v>
      </c>
      <c r="K486">
        <v>138391.0827</v>
      </c>
      <c r="L486">
        <v>39.093699999999998</v>
      </c>
      <c r="M486" s="3">
        <f t="shared" si="58"/>
        <v>1.4333333296235651E-2</v>
      </c>
      <c r="N486" s="3">
        <f t="shared" si="59"/>
        <v>2.6666666963137686E-4</v>
      </c>
      <c r="O486" s="3">
        <f t="shared" si="60"/>
        <v>0.18969999999999487</v>
      </c>
      <c r="P486">
        <f t="shared" si="61"/>
        <v>2.0544444338097754E-4</v>
      </c>
      <c r="Q486">
        <f t="shared" si="62"/>
        <v>7.1111112692289891E-8</v>
      </c>
      <c r="R486">
        <f t="shared" si="63"/>
        <v>3.5986089999998055E-2</v>
      </c>
      <c r="S486">
        <f t="shared" si="64"/>
        <v>2.0551555449366984E-4</v>
      </c>
      <c r="T486">
        <f t="shared" si="65"/>
        <v>1.4335813701833245E-2</v>
      </c>
    </row>
    <row r="487" spans="1:20" x14ac:dyDescent="0.3">
      <c r="A487" s="2" t="s">
        <v>1168</v>
      </c>
      <c r="B487" s="6" t="s">
        <v>1078</v>
      </c>
      <c r="C487" s="2" t="s">
        <v>20</v>
      </c>
      <c r="D487" s="2" t="s">
        <v>46</v>
      </c>
      <c r="E487" s="8">
        <v>447293.53740000003</v>
      </c>
      <c r="F487" s="8">
        <v>138391.08379999999</v>
      </c>
      <c r="G487" s="8">
        <v>38.94466666666667</v>
      </c>
      <c r="J487">
        <v>447293.56</v>
      </c>
      <c r="K487">
        <v>138391.0827</v>
      </c>
      <c r="L487">
        <v>39.093699999999998</v>
      </c>
      <c r="M487" s="3">
        <f t="shared" si="58"/>
        <v>2.2599999967496842E-2</v>
      </c>
      <c r="N487" s="3">
        <f t="shared" si="59"/>
        <v>-1.0999999940395355E-3</v>
      </c>
      <c r="O487" s="3">
        <f t="shared" si="60"/>
        <v>0.14903333333332824</v>
      </c>
      <c r="P487">
        <f t="shared" si="61"/>
        <v>5.1075999853085724E-4</v>
      </c>
      <c r="Q487">
        <f t="shared" si="62"/>
        <v>1.2099999868869782E-6</v>
      </c>
      <c r="R487">
        <f t="shared" si="63"/>
        <v>2.2210934444442929E-2</v>
      </c>
      <c r="S487">
        <f t="shared" si="64"/>
        <v>5.1196999851774421E-4</v>
      </c>
      <c r="T487">
        <f t="shared" si="65"/>
        <v>2.2626754042896744E-2</v>
      </c>
    </row>
    <row r="488" spans="1:20" x14ac:dyDescent="0.3">
      <c r="A488" s="2" t="s">
        <v>1168</v>
      </c>
      <c r="B488" s="6" t="s">
        <v>1078</v>
      </c>
      <c r="C488" s="2" t="s">
        <v>51</v>
      </c>
      <c r="D488" s="2" t="s">
        <v>63</v>
      </c>
      <c r="E488" s="8">
        <v>447293.56046666665</v>
      </c>
      <c r="F488" s="8">
        <v>138391.07956666665</v>
      </c>
      <c r="G488" s="8">
        <v>39.094999999999999</v>
      </c>
      <c r="J488">
        <v>447293.56</v>
      </c>
      <c r="K488">
        <v>138391.0827</v>
      </c>
      <c r="L488">
        <v>39.093699999999998</v>
      </c>
      <c r="M488" s="3">
        <f t="shared" si="58"/>
        <v>-4.6666665002703667E-4</v>
      </c>
      <c r="N488" s="3">
        <f t="shared" si="59"/>
        <v>3.1333333463408053E-3</v>
      </c>
      <c r="O488" s="3">
        <f t="shared" si="60"/>
        <v>1.300000000000523E-3</v>
      </c>
      <c r="P488">
        <f t="shared" si="61"/>
        <v>2.1777776224745672E-7</v>
      </c>
      <c r="Q488">
        <f t="shared" si="62"/>
        <v>9.8177778592912689E-6</v>
      </c>
      <c r="R488">
        <f t="shared" si="63"/>
        <v>1.6900000000013596E-6</v>
      </c>
      <c r="S488">
        <f t="shared" si="64"/>
        <v>1.0035555621538726E-5</v>
      </c>
      <c r="T488">
        <f t="shared" si="65"/>
        <v>3.1678945092188165E-3</v>
      </c>
    </row>
    <row r="489" spans="1:20" x14ac:dyDescent="0.3">
      <c r="A489" s="2" t="s">
        <v>1168</v>
      </c>
      <c r="B489" s="6" t="s">
        <v>1078</v>
      </c>
      <c r="C489" s="2" t="s">
        <v>51</v>
      </c>
      <c r="D489" s="2" t="s">
        <v>30</v>
      </c>
      <c r="E489" s="8">
        <v>447293.5627666667</v>
      </c>
      <c r="F489" s="8">
        <v>138391.08249999999</v>
      </c>
      <c r="G489" s="8">
        <v>39.128999999999998</v>
      </c>
      <c r="J489">
        <v>447293.56</v>
      </c>
      <c r="K489">
        <v>138391.0827</v>
      </c>
      <c r="L489">
        <v>39.093699999999998</v>
      </c>
      <c r="M489" s="3">
        <f t="shared" si="58"/>
        <v>-2.7666667010635138E-3</v>
      </c>
      <c r="N489" s="3">
        <f t="shared" si="59"/>
        <v>2.0000000949949026E-4</v>
      </c>
      <c r="O489" s="3">
        <f t="shared" si="60"/>
        <v>3.5299999999999443E-2</v>
      </c>
      <c r="P489">
        <f t="shared" si="61"/>
        <v>7.6544446347736662E-6</v>
      </c>
      <c r="Q489">
        <f t="shared" si="62"/>
        <v>4.0000003799796195E-8</v>
      </c>
      <c r="R489">
        <f t="shared" si="63"/>
        <v>1.2460899999999606E-3</v>
      </c>
      <c r="S489">
        <f t="shared" si="64"/>
        <v>7.6944446385734624E-6</v>
      </c>
      <c r="T489">
        <f t="shared" si="65"/>
        <v>2.7738861978411195E-3</v>
      </c>
    </row>
    <row r="490" spans="1:20" x14ac:dyDescent="0.3">
      <c r="A490" s="2" t="s">
        <v>1168</v>
      </c>
      <c r="B490" s="6" t="s">
        <v>1078</v>
      </c>
      <c r="C490" s="2" t="s">
        <v>51</v>
      </c>
      <c r="D490" s="2" t="s">
        <v>52</v>
      </c>
      <c r="E490" s="8">
        <v>447293.56083333335</v>
      </c>
      <c r="F490" s="8">
        <v>138391.08166666667</v>
      </c>
      <c r="G490" s="8">
        <v>39.111333333333334</v>
      </c>
      <c r="J490">
        <v>447293.56</v>
      </c>
      <c r="K490">
        <v>138391.0827</v>
      </c>
      <c r="L490">
        <v>39.093699999999998</v>
      </c>
      <c r="M490" s="3">
        <f t="shared" si="58"/>
        <v>-8.3333335351198912E-4</v>
      </c>
      <c r="N490" s="3">
        <f t="shared" si="59"/>
        <v>1.0333333339076489E-3</v>
      </c>
      <c r="O490" s="3">
        <f t="shared" si="60"/>
        <v>1.7633333333336054E-2</v>
      </c>
      <c r="P490">
        <f t="shared" si="61"/>
        <v>6.9444447807553782E-7</v>
      </c>
      <c r="Q490">
        <f t="shared" si="62"/>
        <v>1.0677777789646967E-6</v>
      </c>
      <c r="R490">
        <f t="shared" si="63"/>
        <v>3.1093444444454038E-4</v>
      </c>
      <c r="S490">
        <f t="shared" si="64"/>
        <v>1.7622222570402345E-6</v>
      </c>
      <c r="T490">
        <f t="shared" si="65"/>
        <v>1.3274871965635805E-3</v>
      </c>
    </row>
    <row r="491" spans="1:20" x14ac:dyDescent="0.3">
      <c r="A491" s="2" t="s">
        <v>1168</v>
      </c>
      <c r="B491" s="6" t="s">
        <v>1078</v>
      </c>
      <c r="C491" s="2" t="s">
        <v>422</v>
      </c>
      <c r="D491" s="2" t="s">
        <v>423</v>
      </c>
      <c r="E491" s="8">
        <v>447293.56550000003</v>
      </c>
      <c r="F491" s="8">
        <v>138391.09420000002</v>
      </c>
      <c r="G491" s="8">
        <v>39.151666666666671</v>
      </c>
      <c r="J491">
        <v>447293.56</v>
      </c>
      <c r="K491">
        <v>138391.0827</v>
      </c>
      <c r="L491">
        <v>39.093699999999998</v>
      </c>
      <c r="M491" s="3">
        <f t="shared" si="58"/>
        <v>-5.5000000284053385E-3</v>
      </c>
      <c r="N491" s="3">
        <f t="shared" si="59"/>
        <v>-1.1500000022351742E-2</v>
      </c>
      <c r="O491" s="3">
        <f t="shared" si="60"/>
        <v>5.7966666666672495E-2</v>
      </c>
      <c r="P491">
        <f t="shared" si="61"/>
        <v>3.0250000312458725E-5</v>
      </c>
      <c r="Q491">
        <f t="shared" si="62"/>
        <v>1.3225000051409006E-4</v>
      </c>
      <c r="R491">
        <f t="shared" si="63"/>
        <v>3.3601344444451203E-3</v>
      </c>
      <c r="S491">
        <f t="shared" si="64"/>
        <v>1.6250000082654878E-4</v>
      </c>
      <c r="T491">
        <f t="shared" si="65"/>
        <v>1.2747548816401872E-2</v>
      </c>
    </row>
    <row r="492" spans="1:20" x14ac:dyDescent="0.3">
      <c r="A492" s="2" t="s">
        <v>1166</v>
      </c>
      <c r="B492" s="4" t="s">
        <v>1079</v>
      </c>
      <c r="C492" t="s">
        <v>20</v>
      </c>
      <c r="D492" t="s">
        <v>30</v>
      </c>
      <c r="E492">
        <v>437413.08953333338</v>
      </c>
      <c r="F492">
        <v>116871.54763333332</v>
      </c>
      <c r="G492">
        <v>144.39700000000002</v>
      </c>
      <c r="J492" t="s">
        <v>1087</v>
      </c>
      <c r="K492" t="s">
        <v>1088</v>
      </c>
      <c r="L492" t="s">
        <v>1086</v>
      </c>
      <c r="M492" s="3">
        <f t="shared" si="58"/>
        <v>-2.5033333397004753E-2</v>
      </c>
      <c r="N492" s="3">
        <f t="shared" si="59"/>
        <v>5.46666668378748E-3</v>
      </c>
      <c r="O492" s="3">
        <f t="shared" si="60"/>
        <v>1.5900000000016234E-2</v>
      </c>
      <c r="P492">
        <f t="shared" si="61"/>
        <v>6.2666778096559354E-4</v>
      </c>
      <c r="Q492">
        <f t="shared" si="62"/>
        <v>2.9884444631632003E-5</v>
      </c>
      <c r="R492">
        <f t="shared" si="63"/>
        <v>2.5281000000051626E-4</v>
      </c>
      <c r="S492">
        <f t="shared" si="64"/>
        <v>6.565522255972255E-4</v>
      </c>
      <c r="T492">
        <f t="shared" si="65"/>
        <v>2.5623275075548509E-2</v>
      </c>
    </row>
    <row r="493" spans="1:20" x14ac:dyDescent="0.3">
      <c r="A493" s="2" t="s">
        <v>1166</v>
      </c>
      <c r="B493" s="4" t="s">
        <v>1079</v>
      </c>
      <c r="C493" t="s">
        <v>20</v>
      </c>
      <c r="D493" t="s">
        <v>21</v>
      </c>
      <c r="E493">
        <v>437413.09333333327</v>
      </c>
      <c r="F493">
        <v>116871.53423333332</v>
      </c>
      <c r="G493">
        <v>144.43533333333332</v>
      </c>
      <c r="J493" t="s">
        <v>1087</v>
      </c>
      <c r="K493" t="s">
        <v>1088</v>
      </c>
      <c r="L493" t="s">
        <v>1086</v>
      </c>
      <c r="M493" s="3">
        <f t="shared" si="58"/>
        <v>-2.8833333286456764E-2</v>
      </c>
      <c r="N493" s="3">
        <f t="shared" si="59"/>
        <v>1.8866666679969057E-2</v>
      </c>
      <c r="O493" s="3">
        <f t="shared" si="60"/>
        <v>5.4233333333314704E-2</v>
      </c>
      <c r="P493">
        <f t="shared" si="61"/>
        <v>8.3136110840789559E-4</v>
      </c>
      <c r="Q493">
        <f t="shared" si="62"/>
        <v>3.5595111161305465E-4</v>
      </c>
      <c r="R493">
        <f t="shared" si="63"/>
        <v>2.9412544444424238E-3</v>
      </c>
      <c r="S493">
        <f t="shared" si="64"/>
        <v>1.1873122200209503E-3</v>
      </c>
      <c r="T493">
        <f t="shared" si="65"/>
        <v>3.4457397174205574E-2</v>
      </c>
    </row>
    <row r="494" spans="1:20" x14ac:dyDescent="0.3">
      <c r="A494" s="2" t="s">
        <v>1166</v>
      </c>
      <c r="B494" s="4" t="s">
        <v>1167</v>
      </c>
      <c r="C494" t="s">
        <v>20</v>
      </c>
      <c r="D494" t="s">
        <v>110</v>
      </c>
      <c r="E494">
        <v>437413.08140000002</v>
      </c>
      <c r="F494">
        <v>116871.5414</v>
      </c>
      <c r="G494">
        <v>144.39866666666668</v>
      </c>
      <c r="J494" t="s">
        <v>1087</v>
      </c>
      <c r="K494" t="s">
        <v>1088</v>
      </c>
      <c r="L494" t="s">
        <v>1086</v>
      </c>
      <c r="M494" s="3">
        <f t="shared" si="58"/>
        <v>-1.6900000046007335E-2</v>
      </c>
      <c r="N494" s="3">
        <f t="shared" si="59"/>
        <v>1.1700000002747402E-2</v>
      </c>
      <c r="O494" s="3">
        <f t="shared" si="60"/>
        <v>1.7566666666681385E-2</v>
      </c>
      <c r="P494">
        <f t="shared" si="61"/>
        <v>2.8561000155504792E-4</v>
      </c>
      <c r="Q494">
        <f t="shared" si="62"/>
        <v>1.368900000642892E-4</v>
      </c>
      <c r="R494">
        <f t="shared" si="63"/>
        <v>3.0858777777829487E-4</v>
      </c>
      <c r="S494">
        <f t="shared" si="64"/>
        <v>4.2250000161933712E-4</v>
      </c>
      <c r="T494">
        <f t="shared" si="65"/>
        <v>2.0554804830485187E-2</v>
      </c>
    </row>
    <row r="495" spans="1:20" x14ac:dyDescent="0.3">
      <c r="A495" s="2" t="s">
        <v>1166</v>
      </c>
      <c r="B495" s="4" t="s">
        <v>1079</v>
      </c>
      <c r="C495" t="s">
        <v>51</v>
      </c>
      <c r="D495" t="s">
        <v>30</v>
      </c>
      <c r="E495">
        <v>437413.07723333337</v>
      </c>
      <c r="F495">
        <v>116871.54310000001</v>
      </c>
      <c r="G495">
        <v>144.41333333333333</v>
      </c>
      <c r="J495" t="s">
        <v>1087</v>
      </c>
      <c r="K495" t="s">
        <v>1088</v>
      </c>
      <c r="L495" t="s">
        <v>1086</v>
      </c>
      <c r="M495" s="3">
        <f t="shared" si="58"/>
        <v>-1.2733333394862711E-2</v>
      </c>
      <c r="N495" s="3">
        <f t="shared" si="59"/>
        <v>9.9999999947613105E-3</v>
      </c>
      <c r="O495" s="3">
        <f t="shared" si="60"/>
        <v>3.2233333333323344E-2</v>
      </c>
      <c r="P495">
        <f t="shared" si="61"/>
        <v>1.6213777934472593E-4</v>
      </c>
      <c r="Q495">
        <f t="shared" si="62"/>
        <v>9.9999999895226217E-5</v>
      </c>
      <c r="R495">
        <f t="shared" si="63"/>
        <v>1.0389877777771338E-3</v>
      </c>
      <c r="S495">
        <f t="shared" si="64"/>
        <v>2.6213777923995215E-4</v>
      </c>
      <c r="T495">
        <f t="shared" si="65"/>
        <v>1.6190669511788328E-2</v>
      </c>
    </row>
    <row r="496" spans="1:20" x14ac:dyDescent="0.3">
      <c r="A496" s="2" t="s">
        <v>1166</v>
      </c>
      <c r="B496" s="4" t="s">
        <v>1079</v>
      </c>
      <c r="C496" t="s">
        <v>51</v>
      </c>
      <c r="D496" t="s">
        <v>63</v>
      </c>
      <c r="E496">
        <v>437413.07523333334</v>
      </c>
      <c r="F496">
        <v>116871.53966666666</v>
      </c>
      <c r="G496">
        <v>144.39633333333333</v>
      </c>
      <c r="J496" t="s">
        <v>1087</v>
      </c>
      <c r="K496" t="s">
        <v>1088</v>
      </c>
      <c r="L496" t="s">
        <v>1086</v>
      </c>
      <c r="M496" s="3">
        <f t="shared" si="58"/>
        <v>-1.073333335807547E-2</v>
      </c>
      <c r="N496" s="3">
        <f t="shared" si="59"/>
        <v>1.3433333340799436E-2</v>
      </c>
      <c r="O496" s="3">
        <f t="shared" si="60"/>
        <v>1.5233333333327437E-2</v>
      </c>
      <c r="P496">
        <f t="shared" si="61"/>
        <v>1.1520444497557564E-4</v>
      </c>
      <c r="Q496">
        <f t="shared" si="62"/>
        <v>1.8045444464503374E-4</v>
      </c>
      <c r="R496">
        <f t="shared" si="63"/>
        <v>2.320544444442648E-4</v>
      </c>
      <c r="S496">
        <f t="shared" si="64"/>
        <v>2.9565888962060935E-4</v>
      </c>
      <c r="T496">
        <f t="shared" si="65"/>
        <v>1.719473435737259E-2</v>
      </c>
    </row>
    <row r="497" spans="1:20" x14ac:dyDescent="0.3">
      <c r="A497" s="2" t="s">
        <v>1166</v>
      </c>
      <c r="B497" s="4" t="s">
        <v>1080</v>
      </c>
      <c r="C497" t="s">
        <v>45</v>
      </c>
      <c r="D497" t="s">
        <v>30</v>
      </c>
      <c r="E497">
        <v>416556.16886666667</v>
      </c>
      <c r="F497">
        <v>117433.60243333333</v>
      </c>
      <c r="G497">
        <v>119.25699999999999</v>
      </c>
      <c r="J497" t="s">
        <v>1090</v>
      </c>
      <c r="K497" t="s">
        <v>1091</v>
      </c>
      <c r="L497" t="s">
        <v>1089</v>
      </c>
      <c r="M497" s="3">
        <f t="shared" si="58"/>
        <v>1.2733333336655051E-2</v>
      </c>
      <c r="N497" s="3">
        <f t="shared" si="59"/>
        <v>-1.1433333333116025E-2</v>
      </c>
      <c r="O497" s="3">
        <f t="shared" si="60"/>
        <v>4.2200000000008231E-2</v>
      </c>
      <c r="P497">
        <f t="shared" si="61"/>
        <v>1.6213777786237084E-4</v>
      </c>
      <c r="Q497">
        <f t="shared" si="62"/>
        <v>1.3072111110614198E-4</v>
      </c>
      <c r="R497">
        <f t="shared" si="63"/>
        <v>1.7808400000006947E-3</v>
      </c>
      <c r="S497">
        <f t="shared" si="64"/>
        <v>2.9285888896851285E-4</v>
      </c>
      <c r="T497">
        <f t="shared" si="65"/>
        <v>1.7113120374978752E-2</v>
      </c>
    </row>
    <row r="498" spans="1:20" x14ac:dyDescent="0.3">
      <c r="A498" s="2" t="s">
        <v>1166</v>
      </c>
      <c r="B498" s="4" t="s">
        <v>1080</v>
      </c>
      <c r="C498" t="s">
        <v>45</v>
      </c>
      <c r="D498" t="s">
        <v>21</v>
      </c>
      <c r="E498">
        <v>416556.17350000003</v>
      </c>
      <c r="F498">
        <v>117433.60129999999</v>
      </c>
      <c r="G498">
        <v>119.26066666666667</v>
      </c>
      <c r="J498" t="s">
        <v>1090</v>
      </c>
      <c r="K498" t="s">
        <v>1091</v>
      </c>
      <c r="L498" t="s">
        <v>1089</v>
      </c>
      <c r="M498" s="3">
        <f t="shared" si="58"/>
        <v>8.0999999772757292E-3</v>
      </c>
      <c r="N498" s="3">
        <f t="shared" si="59"/>
        <v>-1.0299999994458631E-2</v>
      </c>
      <c r="O498" s="3">
        <f t="shared" si="60"/>
        <v>3.853333333333353E-2</v>
      </c>
      <c r="P498">
        <f t="shared" si="61"/>
        <v>6.5609999631866813E-5</v>
      </c>
      <c r="Q498">
        <f t="shared" si="62"/>
        <v>1.0608999988584779E-4</v>
      </c>
      <c r="R498">
        <f t="shared" si="63"/>
        <v>1.4848177777777929E-3</v>
      </c>
      <c r="S498">
        <f t="shared" si="64"/>
        <v>1.7169999951771462E-4</v>
      </c>
      <c r="T498">
        <f t="shared" si="65"/>
        <v>1.3103434645836741E-2</v>
      </c>
    </row>
    <row r="499" spans="1:20" x14ac:dyDescent="0.3">
      <c r="A499" s="2" t="s">
        <v>1166</v>
      </c>
      <c r="B499" s="4" t="s">
        <v>1080</v>
      </c>
      <c r="C499" t="s">
        <v>45</v>
      </c>
      <c r="D499" t="s">
        <v>110</v>
      </c>
      <c r="E499">
        <v>416556.1783333334</v>
      </c>
      <c r="F499">
        <v>117433.6004</v>
      </c>
      <c r="G499">
        <v>119.28633333333335</v>
      </c>
      <c r="J499" t="s">
        <v>1090</v>
      </c>
      <c r="K499" t="s">
        <v>1091</v>
      </c>
      <c r="L499" t="s">
        <v>1089</v>
      </c>
      <c r="M499" s="3">
        <f t="shared" si="58"/>
        <v>3.2666666083969176E-3</v>
      </c>
      <c r="N499" s="3">
        <f t="shared" si="59"/>
        <v>-9.3999999953666702E-3</v>
      </c>
      <c r="O499" s="3">
        <f t="shared" si="60"/>
        <v>1.2866666666653259E-2</v>
      </c>
      <c r="P499">
        <f t="shared" si="61"/>
        <v>1.067111073041542E-5</v>
      </c>
      <c r="Q499">
        <f t="shared" si="62"/>
        <v>8.8359999912893396E-5</v>
      </c>
      <c r="R499">
        <f t="shared" si="63"/>
        <v>1.655511111107661E-4</v>
      </c>
      <c r="S499">
        <f t="shared" si="64"/>
        <v>9.9031110643308813E-5</v>
      </c>
      <c r="T499">
        <f t="shared" si="65"/>
        <v>9.9514376169128858E-3</v>
      </c>
    </row>
    <row r="500" spans="1:20" x14ac:dyDescent="0.3">
      <c r="A500" s="2" t="s">
        <v>1166</v>
      </c>
      <c r="B500" s="4" t="s">
        <v>1080</v>
      </c>
      <c r="C500" t="s">
        <v>51</v>
      </c>
      <c r="D500" t="s">
        <v>30</v>
      </c>
      <c r="E500">
        <v>416556.17070000008</v>
      </c>
      <c r="F500">
        <v>117433.59926666667</v>
      </c>
      <c r="G500">
        <v>119.26633333333332</v>
      </c>
      <c r="J500" t="s">
        <v>1090</v>
      </c>
      <c r="K500" t="s">
        <v>1091</v>
      </c>
      <c r="L500" t="s">
        <v>1089</v>
      </c>
      <c r="M500" s="3">
        <f t="shared" si="58"/>
        <v>1.089999993564561E-2</v>
      </c>
      <c r="N500" s="3">
        <f t="shared" si="59"/>
        <v>-8.2666666712611914E-3</v>
      </c>
      <c r="O500" s="3">
        <f t="shared" si="60"/>
        <v>3.2866666666677702E-2</v>
      </c>
      <c r="P500">
        <f t="shared" si="61"/>
        <v>1.188099985970743E-4</v>
      </c>
      <c r="Q500">
        <f t="shared" si="62"/>
        <v>6.8337777853740586E-5</v>
      </c>
      <c r="R500">
        <f t="shared" si="63"/>
        <v>1.0802177777785031E-3</v>
      </c>
      <c r="S500">
        <f t="shared" si="64"/>
        <v>1.8714777645081489E-4</v>
      </c>
      <c r="T500">
        <f t="shared" si="65"/>
        <v>1.3680196506293865E-2</v>
      </c>
    </row>
    <row r="501" spans="1:20" x14ac:dyDescent="0.3">
      <c r="A501" s="2" t="s">
        <v>1166</v>
      </c>
      <c r="B501" s="4" t="s">
        <v>1080</v>
      </c>
      <c r="C501" t="s">
        <v>51</v>
      </c>
      <c r="D501" t="s">
        <v>63</v>
      </c>
      <c r="E501">
        <v>416556.17643333337</v>
      </c>
      <c r="F501">
        <v>117433.60649999999</v>
      </c>
      <c r="G501">
        <v>119.25033333333333</v>
      </c>
      <c r="J501" t="s">
        <v>1090</v>
      </c>
      <c r="K501" t="s">
        <v>1091</v>
      </c>
      <c r="L501" t="s">
        <v>1089</v>
      </c>
      <c r="M501" s="3">
        <f t="shared" si="58"/>
        <v>5.1666666404344141E-3</v>
      </c>
      <c r="N501" s="3">
        <f t="shared" si="59"/>
        <v>-1.5499999994062819E-2</v>
      </c>
      <c r="O501" s="3">
        <f t="shared" si="60"/>
        <v>4.8866666666668834E-2</v>
      </c>
      <c r="P501">
        <f t="shared" si="61"/>
        <v>2.6694444173377836E-5</v>
      </c>
      <c r="Q501">
        <f t="shared" si="62"/>
        <v>2.4024999981594737E-4</v>
      </c>
      <c r="R501">
        <f t="shared" si="63"/>
        <v>2.387951111111323E-3</v>
      </c>
      <c r="S501">
        <f t="shared" si="64"/>
        <v>2.669444439893252E-4</v>
      </c>
      <c r="T501">
        <f t="shared" si="65"/>
        <v>1.6338434563608756E-2</v>
      </c>
    </row>
    <row r="502" spans="1:20" x14ac:dyDescent="0.3">
      <c r="A502" s="2" t="s">
        <v>1166</v>
      </c>
      <c r="B502" s="4" t="s">
        <v>1081</v>
      </c>
      <c r="C502" t="s">
        <v>20</v>
      </c>
      <c r="D502" t="s">
        <v>30</v>
      </c>
      <c r="E502">
        <v>409770.45870000002</v>
      </c>
      <c r="F502">
        <v>116793.06929999999</v>
      </c>
      <c r="G502">
        <v>118.21866666666666</v>
      </c>
      <c r="J502" t="s">
        <v>1093</v>
      </c>
      <c r="K502" t="s">
        <v>1094</v>
      </c>
      <c r="L502" t="s">
        <v>1092</v>
      </c>
      <c r="M502" s="3">
        <f t="shared" si="58"/>
        <v>-2.3300000000745058E-2</v>
      </c>
      <c r="N502" s="3">
        <f t="shared" si="59"/>
        <v>3.9000000106170774E-3</v>
      </c>
      <c r="O502" s="3">
        <f t="shared" si="60"/>
        <v>2.6666666666699257E-3</v>
      </c>
      <c r="P502">
        <f t="shared" si="61"/>
        <v>5.4289000003471971E-4</v>
      </c>
      <c r="Q502">
        <f t="shared" si="62"/>
        <v>1.5210000082813203E-5</v>
      </c>
      <c r="R502">
        <f t="shared" si="63"/>
        <v>7.1111111111284929E-6</v>
      </c>
      <c r="S502">
        <f t="shared" si="64"/>
        <v>5.581000001175329E-4</v>
      </c>
      <c r="T502">
        <f t="shared" si="65"/>
        <v>2.3624140198481993E-2</v>
      </c>
    </row>
    <row r="503" spans="1:20" x14ac:dyDescent="0.3">
      <c r="A503" s="2" t="s">
        <v>1166</v>
      </c>
      <c r="B503" s="4" t="s">
        <v>1081</v>
      </c>
      <c r="C503" t="s">
        <v>20</v>
      </c>
      <c r="D503" t="s">
        <v>21</v>
      </c>
      <c r="E503">
        <v>409770.45193333336</v>
      </c>
      <c r="F503">
        <v>116793.06549999998</v>
      </c>
      <c r="G503">
        <v>118.19266666666665</v>
      </c>
      <c r="J503" t="s">
        <v>1093</v>
      </c>
      <c r="K503" t="s">
        <v>1094</v>
      </c>
      <c r="L503" t="s">
        <v>1092</v>
      </c>
      <c r="M503" s="3">
        <f t="shared" si="58"/>
        <v>-1.6533333342522383E-2</v>
      </c>
      <c r="N503" s="3">
        <f t="shared" si="59"/>
        <v>7.7000000164844096E-3</v>
      </c>
      <c r="O503" s="3">
        <f t="shared" si="60"/>
        <v>2.3333333333340533E-2</v>
      </c>
      <c r="P503">
        <f t="shared" si="61"/>
        <v>2.7335111141496234E-4</v>
      </c>
      <c r="Q503">
        <f t="shared" si="62"/>
        <v>5.9290000253859904E-5</v>
      </c>
      <c r="R503">
        <f t="shared" si="63"/>
        <v>5.4444444444478051E-4</v>
      </c>
      <c r="S503">
        <f t="shared" si="64"/>
        <v>3.3264111166882225E-4</v>
      </c>
      <c r="T503">
        <f t="shared" si="65"/>
        <v>1.8238451460275411E-2</v>
      </c>
    </row>
    <row r="504" spans="1:20" x14ac:dyDescent="0.3">
      <c r="A504" s="2" t="s">
        <v>1166</v>
      </c>
      <c r="B504" s="4" t="s">
        <v>1081</v>
      </c>
      <c r="C504" t="s">
        <v>20</v>
      </c>
      <c r="D504" t="s">
        <v>110</v>
      </c>
      <c r="E504">
        <v>409770.46686666668</v>
      </c>
      <c r="F504">
        <v>116793.06603333332</v>
      </c>
      <c r="G504">
        <v>118.19433333333332</v>
      </c>
      <c r="J504" t="s">
        <v>1093</v>
      </c>
      <c r="K504" t="s">
        <v>1094</v>
      </c>
      <c r="L504" t="s">
        <v>1092</v>
      </c>
      <c r="M504" s="3">
        <f t="shared" si="58"/>
        <v>-3.1466666667256504E-2</v>
      </c>
      <c r="N504" s="3">
        <f t="shared" si="59"/>
        <v>7.1666666772216558E-3</v>
      </c>
      <c r="O504" s="3">
        <f t="shared" si="60"/>
        <v>2.1666666666675383E-2</v>
      </c>
      <c r="P504">
        <f t="shared" si="61"/>
        <v>9.9015111114823156E-4</v>
      </c>
      <c r="Q504">
        <f t="shared" si="62"/>
        <v>5.1361111262399289E-5</v>
      </c>
      <c r="R504">
        <f t="shared" si="63"/>
        <v>4.6944444444482216E-4</v>
      </c>
      <c r="S504">
        <f t="shared" si="64"/>
        <v>1.0415122224106308E-3</v>
      </c>
      <c r="T504">
        <f t="shared" si="65"/>
        <v>3.2272468489575303E-2</v>
      </c>
    </row>
    <row r="505" spans="1:20" x14ac:dyDescent="0.3">
      <c r="A505" s="2" t="s">
        <v>1166</v>
      </c>
      <c r="B505" s="4" t="s">
        <v>1081</v>
      </c>
      <c r="C505" t="s">
        <v>51</v>
      </c>
      <c r="D505" t="s">
        <v>30</v>
      </c>
      <c r="E505">
        <v>409770.4523</v>
      </c>
      <c r="F505">
        <v>116793.0707</v>
      </c>
      <c r="G505">
        <v>118.19466666666666</v>
      </c>
      <c r="J505" t="s">
        <v>1093</v>
      </c>
      <c r="K505" t="s">
        <v>1094</v>
      </c>
      <c r="L505" t="s">
        <v>1092</v>
      </c>
      <c r="M505" s="3">
        <f t="shared" si="58"/>
        <v>-1.6899999987799674E-2</v>
      </c>
      <c r="N505" s="3">
        <f t="shared" si="59"/>
        <v>2.5000000023283064E-3</v>
      </c>
      <c r="O505" s="3">
        <f t="shared" si="60"/>
        <v>2.1333333333330984E-2</v>
      </c>
      <c r="P505">
        <f t="shared" si="61"/>
        <v>2.8560999958762901E-4</v>
      </c>
      <c r="Q505">
        <f t="shared" si="62"/>
        <v>6.2500000116415322E-6</v>
      </c>
      <c r="R505">
        <f t="shared" si="63"/>
        <v>4.5511111111101087E-4</v>
      </c>
      <c r="S505">
        <f t="shared" si="64"/>
        <v>2.9185999959927054E-4</v>
      </c>
      <c r="T505">
        <f t="shared" si="65"/>
        <v>1.7083910547625522E-2</v>
      </c>
    </row>
    <row r="506" spans="1:20" x14ac:dyDescent="0.3">
      <c r="A506" s="2" t="s">
        <v>1166</v>
      </c>
      <c r="B506" s="4" t="s">
        <v>1081</v>
      </c>
      <c r="C506" t="s">
        <v>51</v>
      </c>
      <c r="D506" t="s">
        <v>63</v>
      </c>
      <c r="E506">
        <v>409770.47673333337</v>
      </c>
      <c r="F506">
        <v>116793.07373333334</v>
      </c>
      <c r="G506">
        <v>118.18566666666668</v>
      </c>
      <c r="J506" t="s">
        <v>1093</v>
      </c>
      <c r="K506" t="s">
        <v>1094</v>
      </c>
      <c r="L506" t="s">
        <v>1092</v>
      </c>
      <c r="M506" s="3">
        <f t="shared" si="58"/>
        <v>-4.1333333356305957E-2</v>
      </c>
      <c r="N506" s="3">
        <f t="shared" si="59"/>
        <v>-5.3333333926275373E-4</v>
      </c>
      <c r="O506" s="3">
        <f t="shared" si="60"/>
        <v>3.0333333333317114E-2</v>
      </c>
      <c r="P506">
        <f t="shared" si="61"/>
        <v>1.7084444463435146E-3</v>
      </c>
      <c r="Q506">
        <f t="shared" si="62"/>
        <v>2.8444445076915956E-7</v>
      </c>
      <c r="R506">
        <f t="shared" si="63"/>
        <v>9.2011111111012711E-4</v>
      </c>
      <c r="S506">
        <f t="shared" si="64"/>
        <v>1.7087288907942837E-3</v>
      </c>
      <c r="T506">
        <f t="shared" si="65"/>
        <v>4.1336774073387532E-2</v>
      </c>
    </row>
    <row r="507" spans="1:20" x14ac:dyDescent="0.3">
      <c r="A507" s="2" t="s">
        <v>1166</v>
      </c>
      <c r="B507" s="4" t="s">
        <v>1082</v>
      </c>
      <c r="C507" t="s">
        <v>20</v>
      </c>
      <c r="D507" t="s">
        <v>30</v>
      </c>
      <c r="E507">
        <v>425144.35223333334</v>
      </c>
      <c r="F507">
        <v>126800.91109999998</v>
      </c>
      <c r="G507">
        <v>81.072666666666677</v>
      </c>
      <c r="J507" t="s">
        <v>1096</v>
      </c>
      <c r="K507" t="s">
        <v>1097</v>
      </c>
      <c r="L507" t="s">
        <v>1095</v>
      </c>
      <c r="M507" s="3">
        <f t="shared" si="58"/>
        <v>7.966666657011956E-3</v>
      </c>
      <c r="N507" s="3">
        <f t="shared" si="59"/>
        <v>-5.8999999891966581E-3</v>
      </c>
      <c r="O507" s="3">
        <f t="shared" si="60"/>
        <v>6.7333333333294831E-3</v>
      </c>
      <c r="P507">
        <f t="shared" si="61"/>
        <v>6.3467777623946051E-5</v>
      </c>
      <c r="Q507">
        <f t="shared" si="62"/>
        <v>3.4809999872520566E-5</v>
      </c>
      <c r="R507">
        <f t="shared" si="63"/>
        <v>4.5337777777725928E-5</v>
      </c>
      <c r="S507">
        <f t="shared" si="64"/>
        <v>9.8277777496466617E-5</v>
      </c>
      <c r="T507">
        <f t="shared" si="65"/>
        <v>9.9135148911204361E-3</v>
      </c>
    </row>
    <row r="508" spans="1:20" x14ac:dyDescent="0.3">
      <c r="A508" s="2" t="s">
        <v>1166</v>
      </c>
      <c r="B508" s="4" t="s">
        <v>1082</v>
      </c>
      <c r="C508" t="s">
        <v>20</v>
      </c>
      <c r="D508" t="s">
        <v>21</v>
      </c>
      <c r="E508">
        <v>425144.35933333333</v>
      </c>
      <c r="F508">
        <v>126800.92096666667</v>
      </c>
      <c r="G508">
        <v>81.038666666666657</v>
      </c>
      <c r="J508" t="s">
        <v>1096</v>
      </c>
      <c r="K508" t="s">
        <v>1097</v>
      </c>
      <c r="L508" t="s">
        <v>1095</v>
      </c>
      <c r="M508" s="3">
        <f t="shared" si="58"/>
        <v>8.6666666902601719E-4</v>
      </c>
      <c r="N508" s="3">
        <f t="shared" si="59"/>
        <v>-1.5766666678246111E-2</v>
      </c>
      <c r="O508" s="3">
        <f t="shared" si="60"/>
        <v>4.0733333333349719E-2</v>
      </c>
      <c r="P508">
        <f t="shared" si="61"/>
        <v>7.5111111520065202E-7</v>
      </c>
      <c r="Q508">
        <f t="shared" si="62"/>
        <v>2.4858777814291624E-4</v>
      </c>
      <c r="R508">
        <f t="shared" si="63"/>
        <v>1.6592044444457793E-3</v>
      </c>
      <c r="S508">
        <f t="shared" si="64"/>
        <v>2.4933888925811689E-4</v>
      </c>
      <c r="T508">
        <f t="shared" si="65"/>
        <v>1.5790468303952133E-2</v>
      </c>
    </row>
    <row r="509" spans="1:20" x14ac:dyDescent="0.3">
      <c r="A509" s="2" t="s">
        <v>1166</v>
      </c>
      <c r="B509" s="4" t="s">
        <v>1082</v>
      </c>
      <c r="C509" t="s">
        <v>20</v>
      </c>
      <c r="D509" t="s">
        <v>110</v>
      </c>
      <c r="E509">
        <v>425144.34463333338</v>
      </c>
      <c r="F509">
        <v>126800.91173333333</v>
      </c>
      <c r="G509">
        <v>81.072666666666677</v>
      </c>
      <c r="J509" t="s">
        <v>1096</v>
      </c>
      <c r="K509" t="s">
        <v>1097</v>
      </c>
      <c r="L509" t="s">
        <v>1095</v>
      </c>
      <c r="M509" s="3">
        <f t="shared" si="58"/>
        <v>1.556666661053896E-2</v>
      </c>
      <c r="N509" s="3">
        <f t="shared" si="59"/>
        <v>-6.533333333209157E-3</v>
      </c>
      <c r="O509" s="3">
        <f t="shared" si="60"/>
        <v>6.7333333333294831E-3</v>
      </c>
      <c r="P509">
        <f t="shared" si="61"/>
        <v>2.423211093636685E-4</v>
      </c>
      <c r="Q509">
        <f t="shared" si="62"/>
        <v>4.2684444442821874E-5</v>
      </c>
      <c r="R509">
        <f t="shared" si="63"/>
        <v>4.5337777777725928E-5</v>
      </c>
      <c r="S509">
        <f t="shared" si="64"/>
        <v>2.8500555380649037E-4</v>
      </c>
      <c r="T509">
        <f t="shared" si="65"/>
        <v>1.6882107504884881E-2</v>
      </c>
    </row>
    <row r="510" spans="1:20" x14ac:dyDescent="0.3">
      <c r="A510" s="2" t="s">
        <v>1166</v>
      </c>
      <c r="B510" s="4" t="s">
        <v>1082</v>
      </c>
      <c r="C510" t="s">
        <v>51</v>
      </c>
      <c r="D510" t="s">
        <v>30</v>
      </c>
      <c r="E510">
        <v>425144.3523666666</v>
      </c>
      <c r="F510">
        <v>126800.90869999999</v>
      </c>
      <c r="G510">
        <v>81.067333333333337</v>
      </c>
      <c r="J510" t="s">
        <v>1096</v>
      </c>
      <c r="K510" t="s">
        <v>1097</v>
      </c>
      <c r="L510" t="s">
        <v>1095</v>
      </c>
      <c r="M510" s="3">
        <f t="shared" si="58"/>
        <v>7.8333333949558437E-3</v>
      </c>
      <c r="N510" s="3">
        <f t="shared" si="59"/>
        <v>-3.4999999916180968E-3</v>
      </c>
      <c r="O510" s="3">
        <f t="shared" si="60"/>
        <v>1.2066666666669335E-2</v>
      </c>
      <c r="P510">
        <f t="shared" si="61"/>
        <v>6.136111207653044E-5</v>
      </c>
      <c r="Q510">
        <f t="shared" si="62"/>
        <v>1.2249999941326678E-5</v>
      </c>
      <c r="R510">
        <f t="shared" si="63"/>
        <v>1.4560444444450884E-4</v>
      </c>
      <c r="S510">
        <f t="shared" si="64"/>
        <v>7.3611112017857118E-5</v>
      </c>
      <c r="T510">
        <f t="shared" si="65"/>
        <v>8.5796918369984085E-3</v>
      </c>
    </row>
    <row r="511" spans="1:20" x14ac:dyDescent="0.3">
      <c r="A511" s="2" t="s">
        <v>1166</v>
      </c>
      <c r="B511" s="4" t="s">
        <v>1082</v>
      </c>
      <c r="C511" t="s">
        <v>51</v>
      </c>
      <c r="D511" t="s">
        <v>63</v>
      </c>
      <c r="E511">
        <v>425144.34523333336</v>
      </c>
      <c r="F511">
        <v>126800.89716666668</v>
      </c>
      <c r="G511">
        <v>81.078333333333333</v>
      </c>
      <c r="J511" t="s">
        <v>1096</v>
      </c>
      <c r="K511" t="s">
        <v>1097</v>
      </c>
      <c r="L511" t="s">
        <v>1095</v>
      </c>
      <c r="M511" s="3">
        <f t="shared" si="58"/>
        <v>1.496666664024815E-2</v>
      </c>
      <c r="N511" s="3">
        <f t="shared" si="59"/>
        <v>8.0333333171438426E-3</v>
      </c>
      <c r="O511" s="3">
        <f t="shared" si="60"/>
        <v>1.0666666666736546E-3</v>
      </c>
      <c r="P511">
        <f t="shared" si="61"/>
        <v>2.2400111032031683E-4</v>
      </c>
      <c r="Q511">
        <f t="shared" si="62"/>
        <v>6.4534444184333292E-5</v>
      </c>
      <c r="R511">
        <f t="shared" si="63"/>
        <v>1.1377777777926855E-6</v>
      </c>
      <c r="S511">
        <f t="shared" si="64"/>
        <v>2.8853555450465012E-4</v>
      </c>
      <c r="T511">
        <f t="shared" si="65"/>
        <v>1.698633434572186E-2</v>
      </c>
    </row>
    <row r="512" spans="1:20" x14ac:dyDescent="0.3">
      <c r="A512" s="2" t="s">
        <v>1166</v>
      </c>
      <c r="B512" s="4" t="s">
        <v>1083</v>
      </c>
      <c r="C512" t="s">
        <v>20</v>
      </c>
      <c r="D512" t="s">
        <v>30</v>
      </c>
      <c r="E512">
        <v>436447.59176666668</v>
      </c>
      <c r="F512">
        <v>134010.08376666668</v>
      </c>
      <c r="G512">
        <v>86.254333333333349</v>
      </c>
      <c r="J512" t="s">
        <v>1099</v>
      </c>
      <c r="K512" t="s">
        <v>1100</v>
      </c>
      <c r="L512" t="s">
        <v>1098</v>
      </c>
      <c r="M512" s="3">
        <f t="shared" si="58"/>
        <v>-1.9966666703112423E-2</v>
      </c>
      <c r="N512" s="3">
        <f t="shared" si="59"/>
        <v>-1.7166666686534882E-2</v>
      </c>
      <c r="O512" s="3">
        <f t="shared" si="60"/>
        <v>0.11296666666665089</v>
      </c>
      <c r="P512">
        <f t="shared" si="61"/>
        <v>3.9866777923317832E-4</v>
      </c>
      <c r="Q512">
        <f t="shared" si="62"/>
        <v>2.9469444512658649E-4</v>
      </c>
      <c r="R512">
        <f t="shared" si="63"/>
        <v>1.2761467777774215E-2</v>
      </c>
      <c r="S512">
        <f t="shared" si="64"/>
        <v>6.9336222435976481E-4</v>
      </c>
      <c r="T512">
        <f t="shared" si="65"/>
        <v>2.6331772146207039E-2</v>
      </c>
    </row>
    <row r="513" spans="1:20" x14ac:dyDescent="0.3">
      <c r="A513" s="2" t="s">
        <v>1166</v>
      </c>
      <c r="B513" s="4" t="s">
        <v>1083</v>
      </c>
      <c r="C513" t="s">
        <v>20</v>
      </c>
      <c r="D513" t="s">
        <v>21</v>
      </c>
      <c r="E513">
        <v>436447.59213333327</v>
      </c>
      <c r="F513">
        <v>134010.0863</v>
      </c>
      <c r="G513">
        <v>86.25500000000001</v>
      </c>
      <c r="J513" t="s">
        <v>1099</v>
      </c>
      <c r="K513" t="s">
        <v>1100</v>
      </c>
      <c r="L513" t="s">
        <v>1098</v>
      </c>
      <c r="M513" s="3">
        <f t="shared" si="58"/>
        <v>-2.0333333290182054E-2</v>
      </c>
      <c r="N513" s="3">
        <f t="shared" si="59"/>
        <v>-1.9700000004377216E-2</v>
      </c>
      <c r="O513" s="3">
        <f t="shared" si="60"/>
        <v>0.11229999999999052</v>
      </c>
      <c r="P513">
        <f t="shared" si="61"/>
        <v>4.1344444268962574E-4</v>
      </c>
      <c r="Q513">
        <f t="shared" si="62"/>
        <v>3.8809000017246231E-4</v>
      </c>
      <c r="R513">
        <f t="shared" si="63"/>
        <v>1.261128999999787E-2</v>
      </c>
      <c r="S513">
        <f t="shared" si="64"/>
        <v>8.0153444286208805E-4</v>
      </c>
      <c r="T513">
        <f t="shared" si="65"/>
        <v>2.8311383626769073E-2</v>
      </c>
    </row>
    <row r="514" spans="1:20" x14ac:dyDescent="0.3">
      <c r="A514" s="2" t="s">
        <v>1166</v>
      </c>
      <c r="B514" s="4" t="s">
        <v>1083</v>
      </c>
      <c r="C514" t="s">
        <v>20</v>
      </c>
      <c r="D514" t="s">
        <v>110</v>
      </c>
      <c r="E514">
        <v>436447.59009999997</v>
      </c>
      <c r="F514">
        <v>134010.09113333334</v>
      </c>
      <c r="G514">
        <v>86.256666666666661</v>
      </c>
      <c r="J514" t="s">
        <v>1099</v>
      </c>
      <c r="K514" t="s">
        <v>1100</v>
      </c>
      <c r="L514" t="s">
        <v>1098</v>
      </c>
      <c r="M514" s="3">
        <f t="shared" si="58"/>
        <v>-1.8299999996088445E-2</v>
      </c>
      <c r="N514" s="3">
        <f t="shared" si="59"/>
        <v>-2.4533333344152197E-2</v>
      </c>
      <c r="O514" s="3">
        <f t="shared" si="60"/>
        <v>0.11063333333333958</v>
      </c>
      <c r="P514">
        <f t="shared" si="61"/>
        <v>3.3488999985683708E-4</v>
      </c>
      <c r="Q514">
        <f t="shared" si="62"/>
        <v>6.0188444497529003E-4</v>
      </c>
      <c r="R514">
        <f t="shared" si="63"/>
        <v>1.2239734444445826E-2</v>
      </c>
      <c r="S514">
        <f t="shared" si="64"/>
        <v>9.3677444483212711E-4</v>
      </c>
      <c r="T514">
        <f t="shared" si="65"/>
        <v>3.0606771225206476E-2</v>
      </c>
    </row>
    <row r="515" spans="1:20" x14ac:dyDescent="0.3">
      <c r="A515" s="2" t="s">
        <v>1166</v>
      </c>
      <c r="B515" s="4" t="s">
        <v>1083</v>
      </c>
      <c r="C515" t="s">
        <v>51</v>
      </c>
      <c r="D515" t="s">
        <v>30</v>
      </c>
      <c r="E515">
        <v>436447.59923333331</v>
      </c>
      <c r="F515">
        <v>134010.0912</v>
      </c>
      <c r="G515">
        <v>86.247333333333344</v>
      </c>
      <c r="J515" t="s">
        <v>1099</v>
      </c>
      <c r="K515" t="s">
        <v>1100</v>
      </c>
      <c r="L515" t="s">
        <v>1098</v>
      </c>
      <c r="M515" s="3">
        <f t="shared" ref="M515:M578" si="66">J515-E515</f>
        <v>-2.7433333336375654E-2</v>
      </c>
      <c r="N515" s="3">
        <f t="shared" ref="N515:N578" si="67">K515-F515</f>
        <v>-2.4600000004284084E-2</v>
      </c>
      <c r="O515" s="3">
        <f t="shared" ref="O515:O578" si="68">ABS(L515-G515)</f>
        <v>0.1199666666666559</v>
      </c>
      <c r="P515">
        <f t="shared" ref="P515:P578" si="69">POWER(M515,2)</f>
        <v>7.5258777794469974E-4</v>
      </c>
      <c r="Q515">
        <f t="shared" ref="Q515:Q578" si="70">POWER(N515,2)</f>
        <v>6.0516000021077691E-4</v>
      </c>
      <c r="R515">
        <f t="shared" ref="R515:R578" si="71">POWER(O515,2)</f>
        <v>1.4392001111108527E-2</v>
      </c>
      <c r="S515">
        <f t="shared" ref="S515:S578" si="72">P515+Q515</f>
        <v>1.3577477781554765E-3</v>
      </c>
      <c r="T515">
        <f t="shared" ref="T515:T578" si="73">SQRT(S515)</f>
        <v>3.6847629206713917E-2</v>
      </c>
    </row>
    <row r="516" spans="1:20" x14ac:dyDescent="0.3">
      <c r="A516" s="2" t="s">
        <v>1166</v>
      </c>
      <c r="B516" s="4" t="s">
        <v>1084</v>
      </c>
      <c r="C516" t="s">
        <v>20</v>
      </c>
      <c r="D516" t="s">
        <v>30</v>
      </c>
      <c r="E516">
        <v>437916.72413333337</v>
      </c>
      <c r="F516">
        <v>150120.92533333335</v>
      </c>
      <c r="G516">
        <v>95.773666666666671</v>
      </c>
      <c r="J516" t="s">
        <v>1102</v>
      </c>
      <c r="K516" t="s">
        <v>1103</v>
      </c>
      <c r="L516" t="s">
        <v>1101</v>
      </c>
      <c r="M516" s="3">
        <f t="shared" si="66"/>
        <v>-1.5433333348482847E-2</v>
      </c>
      <c r="N516" s="3">
        <f t="shared" si="67"/>
        <v>1.2466666667023674E-2</v>
      </c>
      <c r="O516" s="3">
        <f t="shared" si="68"/>
        <v>6.3033333333322616E-2</v>
      </c>
      <c r="P516">
        <f t="shared" si="69"/>
        <v>2.3818777824539277E-4</v>
      </c>
      <c r="Q516">
        <f t="shared" si="70"/>
        <v>1.5541777778667914E-4</v>
      </c>
      <c r="R516">
        <f t="shared" si="71"/>
        <v>3.9732011111097603E-3</v>
      </c>
      <c r="S516">
        <f t="shared" si="72"/>
        <v>3.9360555603207194E-4</v>
      </c>
      <c r="T516">
        <f t="shared" si="73"/>
        <v>1.9839494853248454E-2</v>
      </c>
    </row>
    <row r="517" spans="1:20" x14ac:dyDescent="0.3">
      <c r="A517" s="2" t="s">
        <v>1166</v>
      </c>
      <c r="B517" s="4" t="s">
        <v>1084</v>
      </c>
      <c r="C517" t="s">
        <v>20</v>
      </c>
      <c r="D517" t="s">
        <v>21</v>
      </c>
      <c r="E517">
        <v>437916.71949999995</v>
      </c>
      <c r="F517">
        <v>150120.92616666667</v>
      </c>
      <c r="G517">
        <v>95.75633333333333</v>
      </c>
      <c r="J517" t="s">
        <v>1102</v>
      </c>
      <c r="K517" t="s">
        <v>1103</v>
      </c>
      <c r="L517" t="s">
        <v>1101</v>
      </c>
      <c r="M517" s="3">
        <f t="shared" si="66"/>
        <v>-1.0799999930895865E-2</v>
      </c>
      <c r="N517" s="3">
        <f t="shared" si="67"/>
        <v>1.1633333342615515E-2</v>
      </c>
      <c r="O517" s="3">
        <f t="shared" si="68"/>
        <v>8.0366666666662923E-2</v>
      </c>
      <c r="P517">
        <f t="shared" si="69"/>
        <v>1.1663999850735069E-4</v>
      </c>
      <c r="Q517">
        <f t="shared" si="70"/>
        <v>1.3533444466040987E-4</v>
      </c>
      <c r="R517">
        <f t="shared" si="71"/>
        <v>6.4588011111105089E-3</v>
      </c>
      <c r="S517">
        <f t="shared" si="72"/>
        <v>2.5197444316776054E-4</v>
      </c>
      <c r="T517">
        <f t="shared" si="73"/>
        <v>1.5873702881425006E-2</v>
      </c>
    </row>
    <row r="518" spans="1:20" x14ac:dyDescent="0.3">
      <c r="A518" s="2" t="s">
        <v>1166</v>
      </c>
      <c r="B518" s="4" t="s">
        <v>1084</v>
      </c>
      <c r="C518" t="s">
        <v>20</v>
      </c>
      <c r="D518" t="s">
        <v>110</v>
      </c>
      <c r="E518">
        <v>437916.71416666667</v>
      </c>
      <c r="F518">
        <v>150120.92316666667</v>
      </c>
      <c r="G518">
        <v>95.775999999999996</v>
      </c>
      <c r="J518" t="s">
        <v>1102</v>
      </c>
      <c r="K518" t="s">
        <v>1103</v>
      </c>
      <c r="L518" t="s">
        <v>1101</v>
      </c>
      <c r="M518" s="3">
        <f t="shared" si="66"/>
        <v>-5.4666666546836495E-3</v>
      </c>
      <c r="N518" s="3">
        <f t="shared" si="67"/>
        <v>1.4633333339588717E-2</v>
      </c>
      <c r="O518" s="3">
        <f t="shared" si="68"/>
        <v>6.069999999999709E-2</v>
      </c>
      <c r="P518">
        <f t="shared" si="69"/>
        <v>2.9884444313430124E-5</v>
      </c>
      <c r="Q518">
        <f t="shared" si="70"/>
        <v>2.1413444462751866E-4</v>
      </c>
      <c r="R518">
        <f t="shared" si="71"/>
        <v>3.6844899999996469E-3</v>
      </c>
      <c r="S518">
        <f t="shared" si="72"/>
        <v>2.4401888894094877E-4</v>
      </c>
      <c r="T518">
        <f t="shared" si="73"/>
        <v>1.562110396037837E-2</v>
      </c>
    </row>
    <row r="519" spans="1:20" x14ac:dyDescent="0.3">
      <c r="A519" s="2" t="s">
        <v>1166</v>
      </c>
      <c r="B519" s="4" t="s">
        <v>1084</v>
      </c>
      <c r="C519" t="s">
        <v>51</v>
      </c>
      <c r="D519" t="s">
        <v>30</v>
      </c>
      <c r="E519">
        <v>437916.71233333327</v>
      </c>
      <c r="F519">
        <v>150120.92446666665</v>
      </c>
      <c r="G519">
        <v>95.73899999999999</v>
      </c>
      <c r="J519" t="s">
        <v>1102</v>
      </c>
      <c r="K519" t="s">
        <v>1103</v>
      </c>
      <c r="L519" t="s">
        <v>1101</v>
      </c>
      <c r="M519" s="3">
        <f t="shared" si="66"/>
        <v>-3.6333332536742091E-3</v>
      </c>
      <c r="N519" s="3">
        <f t="shared" si="67"/>
        <v>1.3333333365153521E-2</v>
      </c>
      <c r="O519" s="3">
        <f t="shared" si="68"/>
        <v>9.7700000000003229E-2</v>
      </c>
      <c r="P519">
        <f t="shared" si="69"/>
        <v>1.3201110532254815E-5</v>
      </c>
      <c r="Q519">
        <f t="shared" si="70"/>
        <v>1.7777777862631612E-4</v>
      </c>
      <c r="R519">
        <f t="shared" si="71"/>
        <v>9.5452900000006311E-3</v>
      </c>
      <c r="S519">
        <f t="shared" si="72"/>
        <v>1.9097888915857095E-4</v>
      </c>
      <c r="T519">
        <f t="shared" si="73"/>
        <v>1.3819511176542062E-2</v>
      </c>
    </row>
    <row r="520" spans="1:20" x14ac:dyDescent="0.3">
      <c r="A520" s="2" t="s">
        <v>1166</v>
      </c>
      <c r="B520" s="4" t="s">
        <v>1084</v>
      </c>
      <c r="C520" t="s">
        <v>51</v>
      </c>
      <c r="D520" t="s">
        <v>63</v>
      </c>
      <c r="E520">
        <v>437916.71390000003</v>
      </c>
      <c r="F520">
        <v>150120.92586666669</v>
      </c>
      <c r="G520">
        <v>95.733000000000004</v>
      </c>
      <c r="J520" t="s">
        <v>1102</v>
      </c>
      <c r="K520" t="s">
        <v>1103</v>
      </c>
      <c r="L520" t="s">
        <v>1101</v>
      </c>
      <c r="M520" s="3">
        <f t="shared" si="66"/>
        <v>-5.2000000141561031E-3</v>
      </c>
      <c r="N520" s="3">
        <f t="shared" si="67"/>
        <v>1.193333332776092E-2</v>
      </c>
      <c r="O520" s="3">
        <f t="shared" si="68"/>
        <v>0.10369999999998925</v>
      </c>
      <c r="P520">
        <f t="shared" si="69"/>
        <v>2.7040000147223473E-5</v>
      </c>
      <c r="Q520">
        <f t="shared" si="70"/>
        <v>1.424044443114495E-4</v>
      </c>
      <c r="R520">
        <f t="shared" si="71"/>
        <v>1.0753689999997769E-2</v>
      </c>
      <c r="S520">
        <f t="shared" si="72"/>
        <v>1.6944444445867298E-4</v>
      </c>
      <c r="T520">
        <f t="shared" si="73"/>
        <v>1.301708279372429E-2</v>
      </c>
    </row>
    <row r="521" spans="1:20" x14ac:dyDescent="0.3">
      <c r="A521" s="2" t="s">
        <v>1166</v>
      </c>
      <c r="B521" s="4" t="s">
        <v>1085</v>
      </c>
      <c r="C521" t="s">
        <v>20</v>
      </c>
      <c r="D521" t="s">
        <v>30</v>
      </c>
      <c r="E521">
        <v>442260.3236</v>
      </c>
      <c r="F521">
        <v>159681.04459999999</v>
      </c>
      <c r="G521">
        <v>107.62066666666665</v>
      </c>
      <c r="J521" t="s">
        <v>1105</v>
      </c>
      <c r="K521" t="s">
        <v>1106</v>
      </c>
      <c r="L521" t="s">
        <v>1104</v>
      </c>
      <c r="M521" s="3">
        <f t="shared" si="66"/>
        <v>-1.7099999997299165E-2</v>
      </c>
      <c r="N521" s="3">
        <f t="shared" si="67"/>
        <v>-1.4999999984866008E-2</v>
      </c>
      <c r="O521" s="3">
        <f t="shared" si="68"/>
        <v>4.9533333333343421E-2</v>
      </c>
      <c r="P521">
        <f t="shared" si="69"/>
        <v>2.9240999990763145E-4</v>
      </c>
      <c r="Q521">
        <f t="shared" si="70"/>
        <v>2.2499999954598025E-4</v>
      </c>
      <c r="R521">
        <f t="shared" si="71"/>
        <v>2.4535511111121104E-3</v>
      </c>
      <c r="S521">
        <f t="shared" si="72"/>
        <v>5.174099994536117E-4</v>
      </c>
      <c r="T521">
        <f t="shared" si="73"/>
        <v>2.2746648092710531E-2</v>
      </c>
    </row>
    <row r="522" spans="1:20" x14ac:dyDescent="0.3">
      <c r="A522" s="2" t="s">
        <v>1166</v>
      </c>
      <c r="B522" s="4" t="s">
        <v>1085</v>
      </c>
      <c r="C522" t="s">
        <v>20</v>
      </c>
      <c r="D522" t="s">
        <v>21</v>
      </c>
      <c r="E522">
        <v>442260.32503333333</v>
      </c>
      <c r="F522">
        <v>159681.04186666667</v>
      </c>
      <c r="G522">
        <v>107.62633333333333</v>
      </c>
      <c r="J522" t="s">
        <v>1105</v>
      </c>
      <c r="K522" t="s">
        <v>1106</v>
      </c>
      <c r="L522" t="s">
        <v>1104</v>
      </c>
      <c r="M522" s="3">
        <f t="shared" si="66"/>
        <v>-1.8533333321101964E-2</v>
      </c>
      <c r="N522" s="3">
        <f t="shared" si="67"/>
        <v>-1.2266666657524183E-2</v>
      </c>
      <c r="O522" s="3">
        <f t="shared" si="68"/>
        <v>4.3866666666659171E-2</v>
      </c>
      <c r="P522">
        <f t="shared" si="69"/>
        <v>3.4348444399106832E-4</v>
      </c>
      <c r="Q522">
        <f t="shared" si="70"/>
        <v>1.5047111088681552E-4</v>
      </c>
      <c r="R522">
        <f t="shared" si="71"/>
        <v>1.9242844444437867E-3</v>
      </c>
      <c r="S522">
        <f t="shared" si="72"/>
        <v>4.9395555487788379E-4</v>
      </c>
      <c r="T522">
        <f t="shared" si="73"/>
        <v>2.2225110908112109E-2</v>
      </c>
    </row>
    <row r="523" spans="1:20" x14ac:dyDescent="0.3">
      <c r="A523" s="2" t="s">
        <v>1166</v>
      </c>
      <c r="B523" s="4" t="s">
        <v>1085</v>
      </c>
      <c r="C523" t="s">
        <v>20</v>
      </c>
      <c r="D523" t="s">
        <v>110</v>
      </c>
      <c r="E523">
        <v>442260.33826666669</v>
      </c>
      <c r="F523">
        <v>159681.04606666669</v>
      </c>
      <c r="G523">
        <v>107.598</v>
      </c>
      <c r="J523" t="s">
        <v>1105</v>
      </c>
      <c r="K523" t="s">
        <v>1106</v>
      </c>
      <c r="L523" t="s">
        <v>1104</v>
      </c>
      <c r="M523" s="3">
        <f t="shared" si="66"/>
        <v>-3.176666668150574E-2</v>
      </c>
      <c r="N523" s="3">
        <f t="shared" si="67"/>
        <v>-1.6466666682390496E-2</v>
      </c>
      <c r="O523" s="3">
        <f t="shared" si="68"/>
        <v>7.2199999999995157E-2</v>
      </c>
      <c r="P523">
        <f t="shared" si="69"/>
        <v>1.009121112053887E-3</v>
      </c>
      <c r="Q523">
        <f t="shared" si="70"/>
        <v>2.7115111162894921E-4</v>
      </c>
      <c r="R523">
        <f t="shared" si="71"/>
        <v>5.2128399999993007E-3</v>
      </c>
      <c r="S523">
        <f t="shared" si="72"/>
        <v>1.2802722236828362E-3</v>
      </c>
      <c r="T523">
        <f t="shared" si="73"/>
        <v>3.5780891879365388E-2</v>
      </c>
    </row>
    <row r="524" spans="1:20" x14ac:dyDescent="0.3">
      <c r="A524" s="2" t="s">
        <v>1166</v>
      </c>
      <c r="B524" s="4" t="s">
        <v>1085</v>
      </c>
      <c r="C524" t="s">
        <v>51</v>
      </c>
      <c r="D524" t="s">
        <v>30</v>
      </c>
      <c r="E524">
        <v>442260.33269999997</v>
      </c>
      <c r="F524">
        <v>159681.04520000002</v>
      </c>
      <c r="G524">
        <v>107.56933333333332</v>
      </c>
      <c r="J524" t="s">
        <v>1105</v>
      </c>
      <c r="K524" t="s">
        <v>1106</v>
      </c>
      <c r="L524" t="s">
        <v>1104</v>
      </c>
      <c r="M524" s="3">
        <f t="shared" si="66"/>
        <v>-2.6199999963864684E-2</v>
      </c>
      <c r="N524" s="3">
        <f t="shared" si="67"/>
        <v>-1.5600000013364479E-2</v>
      </c>
      <c r="O524" s="3">
        <f t="shared" si="68"/>
        <v>0.10086666666667554</v>
      </c>
      <c r="P524">
        <f t="shared" si="69"/>
        <v>6.8643999810650939E-4</v>
      </c>
      <c r="Q524">
        <f t="shared" si="70"/>
        <v>2.4336000041697174E-4</v>
      </c>
      <c r="R524">
        <f t="shared" si="71"/>
        <v>1.0174084444446235E-2</v>
      </c>
      <c r="S524">
        <f t="shared" si="72"/>
        <v>9.2979999852348116E-4</v>
      </c>
      <c r="T524">
        <f t="shared" si="73"/>
        <v>3.0492622034247581E-2</v>
      </c>
    </row>
    <row r="525" spans="1:20" x14ac:dyDescent="0.3">
      <c r="A525" s="2" t="s">
        <v>1166</v>
      </c>
      <c r="B525" s="4" t="s">
        <v>1085</v>
      </c>
      <c r="C525" t="s">
        <v>51</v>
      </c>
      <c r="D525" t="s">
        <v>63</v>
      </c>
      <c r="E525">
        <v>442260.32123333338</v>
      </c>
      <c r="F525">
        <v>159681.05433333336</v>
      </c>
      <c r="G525">
        <v>107.52233333333334</v>
      </c>
      <c r="J525" t="s">
        <v>1105</v>
      </c>
      <c r="K525" t="s">
        <v>1106</v>
      </c>
      <c r="L525" t="s">
        <v>1104</v>
      </c>
      <c r="M525" s="3">
        <f t="shared" si="66"/>
        <v>-1.4733333373442292E-2</v>
      </c>
      <c r="N525" s="3">
        <f t="shared" si="67"/>
        <v>-2.4733333353651688E-2</v>
      </c>
      <c r="O525" s="3">
        <f t="shared" si="68"/>
        <v>0.14786666666665838</v>
      </c>
      <c r="P525">
        <f t="shared" si="69"/>
        <v>2.1707111229298843E-4</v>
      </c>
      <c r="Q525">
        <f t="shared" si="70"/>
        <v>6.1173777878285906E-4</v>
      </c>
      <c r="R525">
        <f t="shared" si="71"/>
        <v>2.186455111110866E-2</v>
      </c>
      <c r="S525">
        <f t="shared" si="72"/>
        <v>8.2880889107584755E-4</v>
      </c>
      <c r="T525">
        <f t="shared" si="73"/>
        <v>2.8789041162842633E-2</v>
      </c>
    </row>
    <row r="526" spans="1:20" x14ac:dyDescent="0.3">
      <c r="A526" s="2" t="s">
        <v>1165</v>
      </c>
      <c r="B526" s="4" t="s">
        <v>1107</v>
      </c>
      <c r="C526" s="2" t="s">
        <v>1108</v>
      </c>
      <c r="D526" s="2" t="s">
        <v>30</v>
      </c>
      <c r="E526" s="3">
        <v>519207.87043333333</v>
      </c>
      <c r="F526" s="3">
        <v>256209.77106666667</v>
      </c>
      <c r="G526" s="3">
        <v>138.76966666666669</v>
      </c>
      <c r="J526" s="5" t="s">
        <v>1109</v>
      </c>
      <c r="K526" s="5" t="s">
        <v>1110</v>
      </c>
      <c r="L526" s="5" t="s">
        <v>1111</v>
      </c>
      <c r="M526" s="3">
        <f t="shared" si="66"/>
        <v>-9.3333335826173425E-4</v>
      </c>
      <c r="N526" s="3">
        <f t="shared" si="67"/>
        <v>1.3833333330694586E-2</v>
      </c>
      <c r="O526" s="3">
        <f t="shared" si="68"/>
        <v>4.013333333330138E-2</v>
      </c>
      <c r="P526">
        <f t="shared" si="69"/>
        <v>8.7111115764412677E-7</v>
      </c>
      <c r="Q526">
        <f t="shared" si="70"/>
        <v>1.9136111103810577E-4</v>
      </c>
      <c r="R526">
        <f t="shared" si="71"/>
        <v>1.6106844444418796E-3</v>
      </c>
      <c r="S526">
        <f t="shared" si="72"/>
        <v>1.9223222219574989E-4</v>
      </c>
      <c r="T526">
        <f t="shared" si="73"/>
        <v>1.3864783525023025E-2</v>
      </c>
    </row>
    <row r="527" spans="1:20" x14ac:dyDescent="0.3">
      <c r="A527" s="2" t="s">
        <v>1165</v>
      </c>
      <c r="B527" s="4" t="s">
        <v>1107</v>
      </c>
      <c r="C527" s="2" t="s">
        <v>1108</v>
      </c>
      <c r="D527" s="2" t="s">
        <v>1112</v>
      </c>
      <c r="E527" s="3">
        <v>519207.87690000003</v>
      </c>
      <c r="F527" s="3">
        <v>256209.77186666665</v>
      </c>
      <c r="G527" s="3">
        <v>138.78266666666667</v>
      </c>
      <c r="J527" s="5" t="s">
        <v>1109</v>
      </c>
      <c r="K527" s="5" t="s">
        <v>1110</v>
      </c>
      <c r="L527" s="5" t="s">
        <v>1111</v>
      </c>
      <c r="M527" s="3">
        <f t="shared" si="66"/>
        <v>-7.4000000604428351E-3</v>
      </c>
      <c r="N527" s="3">
        <f t="shared" si="67"/>
        <v>1.3033333350904286E-2</v>
      </c>
      <c r="O527" s="3">
        <f t="shared" si="68"/>
        <v>2.7133333333324572E-2</v>
      </c>
      <c r="P527">
        <f t="shared" si="69"/>
        <v>5.476000089455396E-5</v>
      </c>
      <c r="Q527">
        <f t="shared" si="70"/>
        <v>1.6986777823579393E-4</v>
      </c>
      <c r="R527">
        <f t="shared" si="71"/>
        <v>7.3621777777730236E-4</v>
      </c>
      <c r="S527">
        <f t="shared" si="72"/>
        <v>2.2462777913034789E-4</v>
      </c>
      <c r="T527">
        <f t="shared" si="73"/>
        <v>1.498758750200805E-2</v>
      </c>
    </row>
    <row r="528" spans="1:20" x14ac:dyDescent="0.3">
      <c r="A528" s="2" t="s">
        <v>1165</v>
      </c>
      <c r="B528" s="4" t="s">
        <v>1113</v>
      </c>
      <c r="C528" s="2" t="s">
        <v>1108</v>
      </c>
      <c r="D528" s="2" t="s">
        <v>37</v>
      </c>
      <c r="E528" s="3">
        <v>519207.87403333327</v>
      </c>
      <c r="F528" s="3">
        <v>256209.7801</v>
      </c>
      <c r="G528" s="3">
        <v>138.80766666666668</v>
      </c>
      <c r="J528" s="5" t="s">
        <v>1109</v>
      </c>
      <c r="K528" s="5" t="s">
        <v>1110</v>
      </c>
      <c r="L528" s="5" t="s">
        <v>1111</v>
      </c>
      <c r="M528" s="3">
        <f t="shared" si="66"/>
        <v>-4.5333332964219153E-3</v>
      </c>
      <c r="N528" s="3">
        <f t="shared" si="67"/>
        <v>4.7999999951571226E-3</v>
      </c>
      <c r="O528" s="3">
        <f t="shared" si="68"/>
        <v>2.1333333333188875E-3</v>
      </c>
      <c r="P528">
        <f t="shared" si="69"/>
        <v>2.0551110776447589E-5</v>
      </c>
      <c r="Q528">
        <f t="shared" si="70"/>
        <v>2.3039999953508377E-5</v>
      </c>
      <c r="R528">
        <f t="shared" si="71"/>
        <v>4.5511111110494757E-6</v>
      </c>
      <c r="S528">
        <f t="shared" si="72"/>
        <v>4.3591110729955963E-5</v>
      </c>
      <c r="T528">
        <f t="shared" si="73"/>
        <v>6.6023564528095548E-3</v>
      </c>
    </row>
    <row r="529" spans="1:20" x14ac:dyDescent="0.3">
      <c r="A529" s="2" t="s">
        <v>1165</v>
      </c>
      <c r="B529" s="4" t="s">
        <v>1113</v>
      </c>
      <c r="C529" s="2" t="s">
        <v>1108</v>
      </c>
      <c r="D529" s="2" t="s">
        <v>46</v>
      </c>
      <c r="E529" s="3">
        <v>519207.8836</v>
      </c>
      <c r="F529" s="3">
        <v>256209.77256666668</v>
      </c>
      <c r="G529" s="3">
        <v>138.81833333333336</v>
      </c>
      <c r="J529" s="5" t="s">
        <v>1109</v>
      </c>
      <c r="K529" s="5" t="s">
        <v>1110</v>
      </c>
      <c r="L529" s="5" t="s">
        <v>1111</v>
      </c>
      <c r="M529" s="3">
        <f t="shared" si="66"/>
        <v>-1.4100000029429793E-2</v>
      </c>
      <c r="N529" s="3">
        <f t="shared" si="67"/>
        <v>1.233333331765607E-2</v>
      </c>
      <c r="O529" s="3">
        <f t="shared" si="68"/>
        <v>8.5333333333608152E-3</v>
      </c>
      <c r="P529">
        <f t="shared" si="69"/>
        <v>1.9881000082992017E-4</v>
      </c>
      <c r="Q529">
        <f t="shared" si="70"/>
        <v>1.5211111072440528E-4</v>
      </c>
      <c r="R529">
        <f t="shared" si="71"/>
        <v>7.2817777778246801E-5</v>
      </c>
      <c r="S529">
        <f t="shared" si="72"/>
        <v>3.5092111155432548E-4</v>
      </c>
      <c r="T529">
        <f t="shared" si="73"/>
        <v>1.8732888500023841E-2</v>
      </c>
    </row>
    <row r="530" spans="1:20" x14ac:dyDescent="0.3">
      <c r="A530" s="2" t="s">
        <v>1165</v>
      </c>
      <c r="B530" s="4" t="s">
        <v>1113</v>
      </c>
      <c r="C530" s="2" t="s">
        <v>1114</v>
      </c>
      <c r="D530" s="2" t="s">
        <v>63</v>
      </c>
      <c r="E530" s="3">
        <v>519207.86343333329</v>
      </c>
      <c r="F530" s="3">
        <v>256209.77746666665</v>
      </c>
      <c r="G530" s="3">
        <v>138.83333333333334</v>
      </c>
      <c r="J530" s="5" t="s">
        <v>1109</v>
      </c>
      <c r="K530" s="5" t="s">
        <v>1110</v>
      </c>
      <c r="L530" s="5" t="s">
        <v>1111</v>
      </c>
      <c r="M530" s="3">
        <f t="shared" si="66"/>
        <v>6.0666666831821203E-3</v>
      </c>
      <c r="N530" s="3">
        <f t="shared" si="67"/>
        <v>7.4333333468530327E-3</v>
      </c>
      <c r="O530" s="3">
        <f t="shared" si="68"/>
        <v>2.3533333333347173E-2</v>
      </c>
      <c r="P530">
        <f t="shared" si="69"/>
        <v>3.6804444644831949E-5</v>
      </c>
      <c r="Q530">
        <f t="shared" si="70"/>
        <v>5.5254444645437308E-5</v>
      </c>
      <c r="R530">
        <f t="shared" si="71"/>
        <v>5.5381777777842919E-4</v>
      </c>
      <c r="S530">
        <f t="shared" si="72"/>
        <v>9.205888929026925E-5</v>
      </c>
      <c r="T530">
        <f t="shared" si="73"/>
        <v>9.5947323719981509E-3</v>
      </c>
    </row>
    <row r="531" spans="1:20" x14ac:dyDescent="0.3">
      <c r="A531" s="2" t="s">
        <v>1165</v>
      </c>
      <c r="B531" s="4" t="s">
        <v>1113</v>
      </c>
      <c r="C531" s="2" t="s">
        <v>1114</v>
      </c>
      <c r="D531" s="2" t="s">
        <v>30</v>
      </c>
      <c r="E531" s="3">
        <v>519207.86713333335</v>
      </c>
      <c r="F531" s="3">
        <v>256209.77709999998</v>
      </c>
      <c r="G531" s="3">
        <v>138.83500000000001</v>
      </c>
      <c r="J531" s="5" t="s">
        <v>1109</v>
      </c>
      <c r="K531" s="5" t="s">
        <v>1110</v>
      </c>
      <c r="L531" s="5" t="s">
        <v>1111</v>
      </c>
      <c r="M531" s="3">
        <f t="shared" si="66"/>
        <v>2.3666666238568723E-3</v>
      </c>
      <c r="N531" s="3">
        <f t="shared" si="67"/>
        <v>7.8000000212341547E-3</v>
      </c>
      <c r="O531" s="3">
        <f t="shared" si="68"/>
        <v>2.5200000000012324E-2</v>
      </c>
      <c r="P531">
        <f t="shared" si="69"/>
        <v>5.6011109084780864E-6</v>
      </c>
      <c r="Q531">
        <f t="shared" si="70"/>
        <v>6.0840000331252814E-5</v>
      </c>
      <c r="R531">
        <f t="shared" si="71"/>
        <v>6.3504000000062116E-4</v>
      </c>
      <c r="S531">
        <f t="shared" si="72"/>
        <v>6.6441111239730897E-5</v>
      </c>
      <c r="T531">
        <f t="shared" si="73"/>
        <v>8.1511417138785472E-3</v>
      </c>
    </row>
    <row r="532" spans="1:20" x14ac:dyDescent="0.3">
      <c r="A532" s="2" t="s">
        <v>1165</v>
      </c>
      <c r="B532" s="4" t="s">
        <v>1113</v>
      </c>
      <c r="C532" s="2" t="s">
        <v>1114</v>
      </c>
      <c r="D532" s="2" t="s">
        <v>52</v>
      </c>
      <c r="E532" s="3">
        <v>519207.87319999997</v>
      </c>
      <c r="F532" s="3">
        <v>256209.77160000001</v>
      </c>
      <c r="G532" s="3">
        <v>138.81433333333334</v>
      </c>
      <c r="J532" s="5" t="s">
        <v>1109</v>
      </c>
      <c r="K532" s="5" t="s">
        <v>1110</v>
      </c>
      <c r="L532" s="5" t="s">
        <v>1111</v>
      </c>
      <c r="M532" s="3">
        <f t="shared" si="66"/>
        <v>-3.7000000011175871E-3</v>
      </c>
      <c r="N532" s="3">
        <f t="shared" si="67"/>
        <v>1.3299999991431832E-2</v>
      </c>
      <c r="O532" s="3">
        <f t="shared" si="68"/>
        <v>4.5333333333417158E-3</v>
      </c>
      <c r="P532">
        <f t="shared" si="69"/>
        <v>1.3690000008270144E-5</v>
      </c>
      <c r="Q532">
        <f t="shared" si="70"/>
        <v>1.7688999977208674E-4</v>
      </c>
      <c r="R532">
        <f t="shared" si="71"/>
        <v>2.0551111111187112E-5</v>
      </c>
      <c r="S532">
        <f t="shared" si="72"/>
        <v>1.9057999978035688E-4</v>
      </c>
      <c r="T532">
        <f t="shared" si="73"/>
        <v>1.3805071523913118E-2</v>
      </c>
    </row>
    <row r="533" spans="1:20" x14ac:dyDescent="0.3">
      <c r="A533" s="2" t="s">
        <v>1165</v>
      </c>
      <c r="B533" s="4" t="s">
        <v>1113</v>
      </c>
      <c r="C533" s="2" t="s">
        <v>1108</v>
      </c>
      <c r="D533" s="2" t="s">
        <v>110</v>
      </c>
      <c r="E533" s="3">
        <v>519207.87636666669</v>
      </c>
      <c r="F533" s="3">
        <v>256209.76850000001</v>
      </c>
      <c r="G533" s="3">
        <v>138.85800000000003</v>
      </c>
      <c r="J533" s="5" t="s">
        <v>1109</v>
      </c>
      <c r="K533" s="5" t="s">
        <v>1110</v>
      </c>
      <c r="L533" s="5" t="s">
        <v>1111</v>
      </c>
      <c r="M533" s="3">
        <f t="shared" si="66"/>
        <v>-6.8666667211800814E-3</v>
      </c>
      <c r="N533" s="3">
        <f t="shared" si="67"/>
        <v>1.6399999993154779E-2</v>
      </c>
      <c r="O533" s="3">
        <f t="shared" si="68"/>
        <v>4.820000000003688E-2</v>
      </c>
      <c r="P533">
        <f t="shared" si="69"/>
        <v>4.7151111859762009E-5</v>
      </c>
      <c r="Q533">
        <f t="shared" si="70"/>
        <v>2.6895999977547675E-4</v>
      </c>
      <c r="R533">
        <f t="shared" si="71"/>
        <v>2.3232400000035552E-3</v>
      </c>
      <c r="S533">
        <f t="shared" si="72"/>
        <v>3.1611111163523876E-4</v>
      </c>
      <c r="T533">
        <f t="shared" si="73"/>
        <v>1.7779513818865767E-2</v>
      </c>
    </row>
    <row r="534" spans="1:20" x14ac:dyDescent="0.3">
      <c r="A534" s="2" t="s">
        <v>1165</v>
      </c>
      <c r="B534" s="4" t="s">
        <v>1115</v>
      </c>
      <c r="C534" s="2" t="s">
        <v>1108</v>
      </c>
      <c r="D534" s="2" t="s">
        <v>30</v>
      </c>
      <c r="E534" s="3">
        <v>525128.42086666671</v>
      </c>
      <c r="F534" s="3">
        <v>257638.7115</v>
      </c>
      <c r="G534" s="3">
        <v>96.831666666666663</v>
      </c>
      <c r="J534" s="5" t="s">
        <v>1118</v>
      </c>
      <c r="K534" s="5" t="s">
        <v>1119</v>
      </c>
      <c r="L534" s="5" t="s">
        <v>1116</v>
      </c>
      <c r="M534" s="3">
        <f t="shared" si="66"/>
        <v>2.203333331272006E-2</v>
      </c>
      <c r="N534" s="3">
        <f t="shared" si="67"/>
        <v>2.0499999984167516E-2</v>
      </c>
      <c r="O534" s="3">
        <f t="shared" si="68"/>
        <v>1.7766666666659603E-2</v>
      </c>
      <c r="P534">
        <f t="shared" si="69"/>
        <v>4.8546777686941955E-4</v>
      </c>
      <c r="Q534">
        <f t="shared" si="70"/>
        <v>4.2024999935086815E-4</v>
      </c>
      <c r="R534">
        <f t="shared" si="71"/>
        <v>3.1565444444419343E-4</v>
      </c>
      <c r="S534">
        <f t="shared" si="72"/>
        <v>9.057177762202877E-4</v>
      </c>
      <c r="T534">
        <f t="shared" si="73"/>
        <v>3.0095145392908269E-2</v>
      </c>
    </row>
    <row r="535" spans="1:20" x14ac:dyDescent="0.3">
      <c r="A535" s="2" t="s">
        <v>1165</v>
      </c>
      <c r="B535" s="4" t="s">
        <v>1115</v>
      </c>
      <c r="C535" s="2" t="s">
        <v>1108</v>
      </c>
      <c r="D535" s="2" t="s">
        <v>1112</v>
      </c>
      <c r="E535" s="3">
        <v>525128.42423333332</v>
      </c>
      <c r="F535" s="3">
        <v>257638.71813333334</v>
      </c>
      <c r="G535" s="3">
        <v>96.838999999999999</v>
      </c>
      <c r="J535" s="5" t="s">
        <v>1118</v>
      </c>
      <c r="K535" s="5" t="s">
        <v>1119</v>
      </c>
      <c r="L535" s="5" t="s">
        <v>1116</v>
      </c>
      <c r="M535" s="3">
        <f t="shared" si="66"/>
        <v>1.8666666699573398E-2</v>
      </c>
      <c r="N535" s="3">
        <f t="shared" si="67"/>
        <v>1.3866666646208614E-2</v>
      </c>
      <c r="O535" s="3">
        <f t="shared" si="68"/>
        <v>2.5099999999994793E-2</v>
      </c>
      <c r="P535">
        <f t="shared" si="69"/>
        <v>3.484444456729624E-4</v>
      </c>
      <c r="Q535">
        <f t="shared" si="70"/>
        <v>1.9228444387707445E-4</v>
      </c>
      <c r="R535">
        <f t="shared" si="71"/>
        <v>6.3000999999973857E-4</v>
      </c>
      <c r="S535">
        <f t="shared" si="72"/>
        <v>5.407288895500368E-4</v>
      </c>
      <c r="T535">
        <f t="shared" si="73"/>
        <v>2.3253577994580464E-2</v>
      </c>
    </row>
    <row r="536" spans="1:20" x14ac:dyDescent="0.3">
      <c r="A536" s="2" t="s">
        <v>1165</v>
      </c>
      <c r="B536" s="4" t="s">
        <v>1117</v>
      </c>
      <c r="C536" s="2" t="s">
        <v>1108</v>
      </c>
      <c r="D536" s="2" t="s">
        <v>110</v>
      </c>
      <c r="E536" s="3">
        <v>525128.42426666664</v>
      </c>
      <c r="F536" s="3">
        <v>257638.7243</v>
      </c>
      <c r="G536" s="3">
        <v>96.843000000000004</v>
      </c>
      <c r="J536" s="5" t="s">
        <v>1118</v>
      </c>
      <c r="K536" s="5" t="s">
        <v>1119</v>
      </c>
      <c r="L536" s="5" t="s">
        <v>1116</v>
      </c>
      <c r="M536" s="3">
        <f t="shared" si="66"/>
        <v>1.863333338405937E-2</v>
      </c>
      <c r="N536" s="3">
        <f t="shared" si="67"/>
        <v>7.6999999873805791E-3</v>
      </c>
      <c r="O536" s="3">
        <f t="shared" si="68"/>
        <v>2.9099999999999682E-2</v>
      </c>
      <c r="P536">
        <f t="shared" si="69"/>
        <v>3.4720111300150138E-4</v>
      </c>
      <c r="Q536">
        <f t="shared" si="70"/>
        <v>5.9289999805660918E-5</v>
      </c>
      <c r="R536">
        <f t="shared" si="71"/>
        <v>8.4680999999998149E-4</v>
      </c>
      <c r="S536">
        <f t="shared" si="72"/>
        <v>4.064911128071623E-4</v>
      </c>
      <c r="T536">
        <f t="shared" si="73"/>
        <v>2.0161624756134172E-2</v>
      </c>
    </row>
    <row r="537" spans="1:20" x14ac:dyDescent="0.3">
      <c r="A537" s="2" t="s">
        <v>1165</v>
      </c>
      <c r="B537" s="4" t="s">
        <v>1117</v>
      </c>
      <c r="C537" s="2" t="s">
        <v>1108</v>
      </c>
      <c r="D537" s="2" t="s">
        <v>37</v>
      </c>
      <c r="E537" s="3">
        <v>525128.41690000007</v>
      </c>
      <c r="F537" s="3">
        <v>257638.71033333335</v>
      </c>
      <c r="G537" s="3">
        <v>96.848000000000013</v>
      </c>
      <c r="J537" s="5" t="s">
        <v>1118</v>
      </c>
      <c r="K537" s="5" t="s">
        <v>1119</v>
      </c>
      <c r="L537" s="5" t="s">
        <v>1116</v>
      </c>
      <c r="M537" s="3">
        <f t="shared" si="66"/>
        <v>2.5999999954365194E-2</v>
      </c>
      <c r="N537" s="3">
        <f t="shared" si="67"/>
        <v>2.1666666638338938E-2</v>
      </c>
      <c r="O537" s="3">
        <f t="shared" si="68"/>
        <v>3.4100000000009345E-2</v>
      </c>
      <c r="P537">
        <f t="shared" si="69"/>
        <v>6.7599999762699007E-4</v>
      </c>
      <c r="Q537">
        <f t="shared" si="70"/>
        <v>4.6944444321690953E-4</v>
      </c>
      <c r="R537">
        <f t="shared" si="71"/>
        <v>1.1628100000006373E-3</v>
      </c>
      <c r="S537">
        <f t="shared" si="72"/>
        <v>1.1454444408438996E-3</v>
      </c>
      <c r="T537">
        <f t="shared" si="73"/>
        <v>3.384441520906957E-2</v>
      </c>
    </row>
    <row r="538" spans="1:20" x14ac:dyDescent="0.3">
      <c r="A538" s="2" t="s">
        <v>1165</v>
      </c>
      <c r="B538" s="4" t="s">
        <v>1117</v>
      </c>
      <c r="C538" s="2" t="s">
        <v>1108</v>
      </c>
      <c r="D538" s="2" t="s">
        <v>46</v>
      </c>
      <c r="E538" s="3">
        <v>525128.41846666671</v>
      </c>
      <c r="F538" s="3">
        <v>257638.7175</v>
      </c>
      <c r="G538" s="3">
        <v>96.841333333333338</v>
      </c>
      <c r="J538" s="5" t="s">
        <v>1118</v>
      </c>
      <c r="K538" s="5" t="s">
        <v>1119</v>
      </c>
      <c r="L538" s="5" t="s">
        <v>1116</v>
      </c>
      <c r="M538" s="3">
        <f t="shared" si="66"/>
        <v>2.4433333310298622E-2</v>
      </c>
      <c r="N538" s="3">
        <f t="shared" si="67"/>
        <v>1.4499999990221113E-2</v>
      </c>
      <c r="O538" s="3">
        <f t="shared" si="68"/>
        <v>2.7433333333334531E-2</v>
      </c>
      <c r="P538">
        <f t="shared" si="69"/>
        <v>5.9698777665214819E-4</v>
      </c>
      <c r="Q538">
        <f t="shared" si="70"/>
        <v>2.1024999971641227E-4</v>
      </c>
      <c r="R538">
        <f t="shared" si="71"/>
        <v>7.5258777777784352E-4</v>
      </c>
      <c r="S538">
        <f t="shared" si="72"/>
        <v>8.0723777636856051E-4</v>
      </c>
      <c r="T538">
        <f t="shared" si="73"/>
        <v>2.8411930176750762E-2</v>
      </c>
    </row>
    <row r="539" spans="1:20" x14ac:dyDescent="0.3">
      <c r="A539" s="2" t="s">
        <v>1165</v>
      </c>
      <c r="B539" s="4" t="s">
        <v>1117</v>
      </c>
      <c r="C539" s="2" t="s">
        <v>1114</v>
      </c>
      <c r="D539" s="2" t="s">
        <v>63</v>
      </c>
      <c r="E539" s="3">
        <v>525128.41953333339</v>
      </c>
      <c r="F539" s="3">
        <v>257638.71163333333</v>
      </c>
      <c r="G539" s="3">
        <v>96.832666666666668</v>
      </c>
      <c r="J539" s="5" t="s">
        <v>1118</v>
      </c>
      <c r="K539" s="5" t="s">
        <v>1119</v>
      </c>
      <c r="L539" s="5" t="s">
        <v>1116</v>
      </c>
      <c r="M539" s="3">
        <f t="shared" si="66"/>
        <v>2.3366666631773114E-2</v>
      </c>
      <c r="N539" s="3">
        <f t="shared" si="67"/>
        <v>2.0366666663903743E-2</v>
      </c>
      <c r="O539" s="3">
        <f t="shared" si="68"/>
        <v>1.8766666666664378E-2</v>
      </c>
      <c r="P539">
        <f t="shared" si="69"/>
        <v>5.4600110948041904E-4</v>
      </c>
      <c r="Q539">
        <f t="shared" si="70"/>
        <v>4.1480111099856805E-4</v>
      </c>
      <c r="R539">
        <f t="shared" si="71"/>
        <v>3.5218777777769187E-4</v>
      </c>
      <c r="S539">
        <f t="shared" si="72"/>
        <v>9.6080222047898703E-4</v>
      </c>
      <c r="T539">
        <f t="shared" si="73"/>
        <v>3.0996809843578856E-2</v>
      </c>
    </row>
    <row r="540" spans="1:20" x14ac:dyDescent="0.3">
      <c r="A540" s="2" t="s">
        <v>1165</v>
      </c>
      <c r="B540" s="4" t="s">
        <v>1117</v>
      </c>
      <c r="C540" s="2" t="s">
        <v>1114</v>
      </c>
      <c r="D540" s="2" t="s">
        <v>30</v>
      </c>
      <c r="E540" s="3">
        <v>525128.42139999999</v>
      </c>
      <c r="F540" s="3">
        <v>257638.71939999997</v>
      </c>
      <c r="G540" s="3">
        <v>96.834000000000003</v>
      </c>
      <c r="J540" s="5" t="s">
        <v>1118</v>
      </c>
      <c r="K540" s="5" t="s">
        <v>1119</v>
      </c>
      <c r="L540" s="5" t="s">
        <v>1116</v>
      </c>
      <c r="M540" s="3">
        <f t="shared" si="66"/>
        <v>2.1500000031664968E-2</v>
      </c>
      <c r="N540" s="3">
        <f t="shared" si="67"/>
        <v>1.2600000016391277E-2</v>
      </c>
      <c r="O540" s="3">
        <f t="shared" si="68"/>
        <v>2.0099999999999341E-2</v>
      </c>
      <c r="P540">
        <f t="shared" si="69"/>
        <v>4.6225000136159361E-4</v>
      </c>
      <c r="Q540">
        <f t="shared" si="70"/>
        <v>1.5876000041306019E-4</v>
      </c>
      <c r="R540">
        <f t="shared" si="71"/>
        <v>4.0400999999997349E-4</v>
      </c>
      <c r="S540">
        <f t="shared" si="72"/>
        <v>6.2101000177465374E-4</v>
      </c>
      <c r="T540">
        <f t="shared" si="73"/>
        <v>2.492007226664188E-2</v>
      </c>
    </row>
    <row r="541" spans="1:20" x14ac:dyDescent="0.3">
      <c r="A541" s="2" t="s">
        <v>1165</v>
      </c>
      <c r="B541" s="4" t="s">
        <v>1117</v>
      </c>
      <c r="C541" s="2" t="s">
        <v>1114</v>
      </c>
      <c r="D541" s="2" t="s">
        <v>52</v>
      </c>
      <c r="E541" s="3">
        <v>525128.42059999995</v>
      </c>
      <c r="F541" s="3">
        <v>257638.71429999999</v>
      </c>
      <c r="G541" s="3">
        <v>96.830333333333328</v>
      </c>
      <c r="J541" s="5" t="s">
        <v>1118</v>
      </c>
      <c r="K541" s="5" t="s">
        <v>1119</v>
      </c>
      <c r="L541" s="5" t="s">
        <v>1116</v>
      </c>
      <c r="M541" s="3">
        <f t="shared" si="66"/>
        <v>2.2300000069662929E-2</v>
      </c>
      <c r="N541" s="3">
        <f t="shared" si="67"/>
        <v>1.7699999996693805E-2</v>
      </c>
      <c r="O541" s="3">
        <f t="shared" si="68"/>
        <v>1.643333333332464E-2</v>
      </c>
      <c r="P541">
        <f t="shared" si="69"/>
        <v>4.9729000310696657E-4</v>
      </c>
      <c r="Q541">
        <f t="shared" si="70"/>
        <v>3.1328999988296068E-4</v>
      </c>
      <c r="R541">
        <f t="shared" si="71"/>
        <v>2.7005444444415871E-4</v>
      </c>
      <c r="S541">
        <f t="shared" si="72"/>
        <v>8.105800029899273E-4</v>
      </c>
      <c r="T541">
        <f t="shared" si="73"/>
        <v>2.8470686731969206E-2</v>
      </c>
    </row>
    <row r="542" spans="1:20" x14ac:dyDescent="0.3">
      <c r="A542" s="2" t="s">
        <v>1165</v>
      </c>
      <c r="B542" s="4" t="s">
        <v>1117</v>
      </c>
      <c r="C542" s="2" t="s">
        <v>1120</v>
      </c>
      <c r="D542" s="4" t="s">
        <v>423</v>
      </c>
      <c r="E542" s="3">
        <v>525128.4584</v>
      </c>
      <c r="F542" s="3">
        <v>257638.70112000001</v>
      </c>
      <c r="G542" s="3">
        <v>96.825600000000009</v>
      </c>
      <c r="J542" s="5" t="s">
        <v>1118</v>
      </c>
      <c r="K542" s="5" t="s">
        <v>1119</v>
      </c>
      <c r="L542" s="5" t="s">
        <v>1116</v>
      </c>
      <c r="M542" s="3">
        <f t="shared" si="66"/>
        <v>-1.5499999979510903E-2</v>
      </c>
      <c r="N542" s="3">
        <f t="shared" si="67"/>
        <v>3.0879999976605177E-2</v>
      </c>
      <c r="O542" s="3">
        <f t="shared" si="68"/>
        <v>1.1700000000004707E-2</v>
      </c>
      <c r="P542">
        <f t="shared" si="69"/>
        <v>2.40249999364838E-4</v>
      </c>
      <c r="Q542">
        <f t="shared" si="70"/>
        <v>9.5357439855513573E-4</v>
      </c>
      <c r="R542">
        <f t="shared" si="71"/>
        <v>1.3689000000011013E-4</v>
      </c>
      <c r="S542">
        <f t="shared" si="72"/>
        <v>1.1938243979199737E-3</v>
      </c>
      <c r="T542">
        <f t="shared" si="73"/>
        <v>3.4551764034850288E-2</v>
      </c>
    </row>
    <row r="543" spans="1:20" x14ac:dyDescent="0.3">
      <c r="A543" s="2" t="s">
        <v>1165</v>
      </c>
      <c r="B543" s="4" t="s">
        <v>1117</v>
      </c>
      <c r="C543" s="2" t="s">
        <v>1120</v>
      </c>
      <c r="D543" s="4" t="s">
        <v>1019</v>
      </c>
      <c r="E543" s="3">
        <v>525128.45406000002</v>
      </c>
      <c r="F543" s="3">
        <v>257638.69294000004</v>
      </c>
      <c r="G543" s="3">
        <v>96.823599999999999</v>
      </c>
      <c r="J543" s="5" t="s">
        <v>1118</v>
      </c>
      <c r="K543" s="5" t="s">
        <v>1119</v>
      </c>
      <c r="L543" s="5" t="s">
        <v>1116</v>
      </c>
      <c r="M543" s="3">
        <f t="shared" si="66"/>
        <v>-1.1159999994561076E-2</v>
      </c>
      <c r="N543" s="3">
        <f t="shared" si="67"/>
        <v>3.9059999951859936E-2</v>
      </c>
      <c r="O543" s="3">
        <f t="shared" si="68"/>
        <v>9.6999999999951569E-3</v>
      </c>
      <c r="P543">
        <f t="shared" si="69"/>
        <v>1.2454559987860322E-4</v>
      </c>
      <c r="Q543">
        <f t="shared" si="70"/>
        <v>1.5256835962392983E-3</v>
      </c>
      <c r="R543">
        <f t="shared" si="71"/>
        <v>9.4089999999906042E-5</v>
      </c>
      <c r="S543">
        <f t="shared" si="72"/>
        <v>1.6502291961179015E-3</v>
      </c>
      <c r="T543">
        <f t="shared" si="73"/>
        <v>4.062301313440328E-2</v>
      </c>
    </row>
    <row r="544" spans="1:20" x14ac:dyDescent="0.3">
      <c r="A544" s="2" t="s">
        <v>1165</v>
      </c>
      <c r="B544" s="4" t="s">
        <v>1121</v>
      </c>
      <c r="C544" s="2" t="s">
        <v>1108</v>
      </c>
      <c r="D544" s="2" t="s">
        <v>30</v>
      </c>
      <c r="E544" s="3">
        <v>511557.45170000003</v>
      </c>
      <c r="F544" s="3">
        <v>255133.19110000003</v>
      </c>
      <c r="G544" s="3">
        <v>107.16100000000002</v>
      </c>
      <c r="J544" s="5" t="s">
        <v>1122</v>
      </c>
      <c r="K544" s="5" t="s">
        <v>1123</v>
      </c>
      <c r="L544" s="5" t="s">
        <v>1124</v>
      </c>
      <c r="M544" s="3">
        <f t="shared" si="66"/>
        <v>-5.7000000379048288E-3</v>
      </c>
      <c r="N544" s="3">
        <f t="shared" si="67"/>
        <v>-1.1100000032456592E-2</v>
      </c>
      <c r="O544" s="3">
        <f t="shared" si="68"/>
        <v>1.5000000000014779E-2</v>
      </c>
      <c r="P544">
        <f t="shared" si="69"/>
        <v>3.2490000432115046E-5</v>
      </c>
      <c r="Q544">
        <f t="shared" si="70"/>
        <v>1.2321000072053635E-4</v>
      </c>
      <c r="R544">
        <f t="shared" si="71"/>
        <v>2.2500000000044338E-4</v>
      </c>
      <c r="S544">
        <f t="shared" si="72"/>
        <v>1.557000011526514E-4</v>
      </c>
      <c r="T544">
        <f t="shared" si="73"/>
        <v>1.2477980652038671E-2</v>
      </c>
    </row>
    <row r="545" spans="1:20" x14ac:dyDescent="0.3">
      <c r="A545" s="2" t="s">
        <v>1165</v>
      </c>
      <c r="B545" s="4" t="s">
        <v>1121</v>
      </c>
      <c r="C545" s="2" t="s">
        <v>1108</v>
      </c>
      <c r="D545" s="2" t="s">
        <v>1112</v>
      </c>
      <c r="E545" s="3">
        <v>511557.46629999997</v>
      </c>
      <c r="F545" s="3">
        <v>255133.18659999999</v>
      </c>
      <c r="G545" s="3">
        <v>107.14766666666667</v>
      </c>
      <c r="J545" s="5" t="s">
        <v>1122</v>
      </c>
      <c r="K545" s="5" t="s">
        <v>1123</v>
      </c>
      <c r="L545" s="5" t="s">
        <v>1124</v>
      </c>
      <c r="M545" s="3">
        <f t="shared" si="66"/>
        <v>-2.0299999974668026E-2</v>
      </c>
      <c r="N545" s="3">
        <f t="shared" si="67"/>
        <v>-6.5999999933410436E-3</v>
      </c>
      <c r="O545" s="3">
        <f t="shared" si="68"/>
        <v>1.6666666666651508E-3</v>
      </c>
      <c r="P545">
        <f t="shared" si="69"/>
        <v>4.1208999897152186E-4</v>
      </c>
      <c r="Q545">
        <f t="shared" si="70"/>
        <v>4.3559999912101775E-5</v>
      </c>
      <c r="R545">
        <f t="shared" si="71"/>
        <v>2.7777777777727249E-6</v>
      </c>
      <c r="S545">
        <f t="shared" si="72"/>
        <v>4.5564999888362363E-4</v>
      </c>
      <c r="T545">
        <f t="shared" si="73"/>
        <v>2.1345959778928274E-2</v>
      </c>
    </row>
    <row r="546" spans="1:20" x14ac:dyDescent="0.3">
      <c r="A546" s="2" t="s">
        <v>1165</v>
      </c>
      <c r="B546" s="4" t="s">
        <v>1125</v>
      </c>
      <c r="C546" s="2" t="s">
        <v>1108</v>
      </c>
      <c r="D546" s="2" t="s">
        <v>110</v>
      </c>
      <c r="E546" s="3">
        <v>511557.46436666668</v>
      </c>
      <c r="F546" s="3">
        <v>255133.19003333335</v>
      </c>
      <c r="G546" s="3">
        <v>107.13400000000001</v>
      </c>
      <c r="J546" s="5" t="s">
        <v>1122</v>
      </c>
      <c r="K546" s="5" t="s">
        <v>1123</v>
      </c>
      <c r="L546" s="5" t="s">
        <v>1124</v>
      </c>
      <c r="M546" s="3">
        <f t="shared" si="66"/>
        <v>-1.8366666685324162E-2</v>
      </c>
      <c r="N546" s="3">
        <f t="shared" si="67"/>
        <v>-1.0033333353931084E-2</v>
      </c>
      <c r="O546" s="3">
        <f t="shared" si="68"/>
        <v>1.1999999999986244E-2</v>
      </c>
      <c r="P546">
        <f t="shared" si="69"/>
        <v>3.3733444512979647E-4</v>
      </c>
      <c r="Q546">
        <f t="shared" si="70"/>
        <v>1.0066777819110599E-4</v>
      </c>
      <c r="R546">
        <f t="shared" si="71"/>
        <v>1.4399999999966986E-4</v>
      </c>
      <c r="S546">
        <f t="shared" si="72"/>
        <v>4.3800222332090246E-4</v>
      </c>
      <c r="T546">
        <f t="shared" si="73"/>
        <v>2.0928502653579938E-2</v>
      </c>
    </row>
    <row r="547" spans="1:20" x14ac:dyDescent="0.3">
      <c r="A547" s="2" t="s">
        <v>1165</v>
      </c>
      <c r="B547" s="4" t="s">
        <v>1125</v>
      </c>
      <c r="C547" s="2" t="s">
        <v>1108</v>
      </c>
      <c r="D547" s="2" t="s">
        <v>37</v>
      </c>
      <c r="E547" s="3">
        <v>511557.46576666669</v>
      </c>
      <c r="F547" s="3">
        <v>255133.19203333333</v>
      </c>
      <c r="G547" s="3">
        <v>107.14966666666668</v>
      </c>
      <c r="J547" s="5" t="s">
        <v>1122</v>
      </c>
      <c r="K547" s="5" t="s">
        <v>1123</v>
      </c>
      <c r="L547" s="5" t="s">
        <v>1124</v>
      </c>
      <c r="M547" s="3">
        <f t="shared" si="66"/>
        <v>-1.9766666693612933E-2</v>
      </c>
      <c r="N547" s="3">
        <f t="shared" si="67"/>
        <v>-1.2033333332510665E-2</v>
      </c>
      <c r="O547" s="3">
        <f t="shared" si="68"/>
        <v>3.6666666666747005E-3</v>
      </c>
      <c r="P547">
        <f t="shared" si="69"/>
        <v>3.9072111217638685E-4</v>
      </c>
      <c r="Q547">
        <f t="shared" si="70"/>
        <v>1.4480111109131224E-4</v>
      </c>
      <c r="R547">
        <f t="shared" si="71"/>
        <v>1.344444444450336E-5</v>
      </c>
      <c r="S547">
        <f t="shared" si="72"/>
        <v>5.3552222326769911E-4</v>
      </c>
      <c r="T547">
        <f t="shared" si="73"/>
        <v>2.3141353099326304E-2</v>
      </c>
    </row>
    <row r="548" spans="1:20" x14ac:dyDescent="0.3">
      <c r="A548" s="2" t="s">
        <v>1165</v>
      </c>
      <c r="B548" s="4" t="s">
        <v>1125</v>
      </c>
      <c r="C548" s="2" t="s">
        <v>1108</v>
      </c>
      <c r="D548" s="2" t="s">
        <v>46</v>
      </c>
      <c r="E548" s="3">
        <v>511557.4559</v>
      </c>
      <c r="F548" s="3">
        <v>255133.19436666669</v>
      </c>
      <c r="G548" s="3">
        <v>107.13033333333334</v>
      </c>
      <c r="J548" s="5" t="s">
        <v>1122</v>
      </c>
      <c r="K548" s="5" t="s">
        <v>1123</v>
      </c>
      <c r="L548" s="5" t="s">
        <v>1124</v>
      </c>
      <c r="M548" s="3">
        <f t="shared" si="66"/>
        <v>-9.9000000045634806E-3</v>
      </c>
      <c r="N548" s="3">
        <f t="shared" si="67"/>
        <v>-1.436666669906117E-2</v>
      </c>
      <c r="O548" s="3">
        <f t="shared" si="68"/>
        <v>1.5666666666660944E-2</v>
      </c>
      <c r="P548">
        <f t="shared" si="69"/>
        <v>9.8010000090356913E-5</v>
      </c>
      <c r="Q548">
        <f t="shared" si="70"/>
        <v>2.0640111204191317E-4</v>
      </c>
      <c r="R548">
        <f t="shared" si="71"/>
        <v>2.4544444444426513E-4</v>
      </c>
      <c r="S548">
        <f t="shared" si="72"/>
        <v>3.0441111213227009E-4</v>
      </c>
      <c r="T548">
        <f t="shared" si="73"/>
        <v>1.7447381239953177E-2</v>
      </c>
    </row>
    <row r="549" spans="1:20" x14ac:dyDescent="0.3">
      <c r="A549" s="2" t="s">
        <v>1165</v>
      </c>
      <c r="B549" s="4" t="s">
        <v>1125</v>
      </c>
      <c r="C549" s="2" t="s">
        <v>1114</v>
      </c>
      <c r="D549" s="2" t="s">
        <v>63</v>
      </c>
      <c r="E549" s="3">
        <v>511557.45310000004</v>
      </c>
      <c r="F549" s="3">
        <v>255133.182</v>
      </c>
      <c r="G549" s="3">
        <v>107.154</v>
      </c>
      <c r="J549" s="5" t="s">
        <v>1122</v>
      </c>
      <c r="K549" s="5" t="s">
        <v>1123</v>
      </c>
      <c r="L549" s="5" t="s">
        <v>1124</v>
      </c>
      <c r="M549" s="3">
        <f t="shared" si="66"/>
        <v>-7.1000000461935997E-3</v>
      </c>
      <c r="N549" s="3">
        <f t="shared" si="67"/>
        <v>-2.0000000076834112E-3</v>
      </c>
      <c r="O549" s="3">
        <f t="shared" si="68"/>
        <v>7.9999999999955662E-3</v>
      </c>
      <c r="P549">
        <f t="shared" si="69"/>
        <v>5.0410000655949118E-5</v>
      </c>
      <c r="Q549">
        <f t="shared" si="70"/>
        <v>4.000000030733645E-6</v>
      </c>
      <c r="R549">
        <f t="shared" si="71"/>
        <v>6.3999999999929063E-5</v>
      </c>
      <c r="S549">
        <f t="shared" si="72"/>
        <v>5.4410000686682762E-5</v>
      </c>
      <c r="T549">
        <f t="shared" si="73"/>
        <v>7.3763134889104839E-3</v>
      </c>
    </row>
    <row r="550" spans="1:20" x14ac:dyDescent="0.3">
      <c r="A550" s="2" t="s">
        <v>1165</v>
      </c>
      <c r="B550" s="4" t="s">
        <v>1125</v>
      </c>
      <c r="C550" s="2" t="s">
        <v>1114</v>
      </c>
      <c r="D550" s="2" t="s">
        <v>30</v>
      </c>
      <c r="E550" s="3">
        <v>511557.45813333336</v>
      </c>
      <c r="F550" s="3">
        <v>255133.18279999998</v>
      </c>
      <c r="G550" s="3">
        <v>107.18266666666666</v>
      </c>
      <c r="J550" s="5" t="s">
        <v>1122</v>
      </c>
      <c r="K550" s="5" t="s">
        <v>1123</v>
      </c>
      <c r="L550" s="5" t="s">
        <v>1124</v>
      </c>
      <c r="M550" s="3">
        <f t="shared" si="66"/>
        <v>-1.2133333366364241E-2</v>
      </c>
      <c r="N550" s="3">
        <f t="shared" si="67"/>
        <v>-2.7999999874737114E-3</v>
      </c>
      <c r="O550" s="3">
        <f t="shared" si="68"/>
        <v>3.666666666666174E-2</v>
      </c>
      <c r="P550">
        <f t="shared" si="69"/>
        <v>1.472177785793278E-4</v>
      </c>
      <c r="Q550">
        <f t="shared" si="70"/>
        <v>7.839999929852783E-6</v>
      </c>
      <c r="R550">
        <f t="shared" si="71"/>
        <v>1.3444444444440831E-3</v>
      </c>
      <c r="S550">
        <f t="shared" si="72"/>
        <v>1.5505777850918057E-4</v>
      </c>
      <c r="T550">
        <f t="shared" si="73"/>
        <v>1.2452219822552948E-2</v>
      </c>
    </row>
    <row r="551" spans="1:20" x14ac:dyDescent="0.3">
      <c r="A551" s="2" t="s">
        <v>1165</v>
      </c>
      <c r="B551" s="4" t="s">
        <v>1125</v>
      </c>
      <c r="C551" s="2" t="s">
        <v>1108</v>
      </c>
      <c r="D551" s="2" t="s">
        <v>37</v>
      </c>
      <c r="E551" s="3">
        <v>511557.45883333334</v>
      </c>
      <c r="F551" s="3">
        <v>255133.19189999998</v>
      </c>
      <c r="G551" s="3">
        <v>107.16833333333334</v>
      </c>
      <c r="J551" s="5" t="s">
        <v>1122</v>
      </c>
      <c r="K551" s="5" t="s">
        <v>1123</v>
      </c>
      <c r="L551" s="5" t="s">
        <v>1124</v>
      </c>
      <c r="M551" s="3">
        <f t="shared" si="66"/>
        <v>-1.2833333341404796E-2</v>
      </c>
      <c r="N551" s="3">
        <f t="shared" si="67"/>
        <v>-1.1899999983143061E-2</v>
      </c>
      <c r="O551" s="3">
        <f t="shared" si="68"/>
        <v>2.2333333333335759E-2</v>
      </c>
      <c r="P551">
        <f t="shared" si="69"/>
        <v>1.6469444465161198E-4</v>
      </c>
      <c r="Q551">
        <f t="shared" si="70"/>
        <v>1.4160999959880486E-4</v>
      </c>
      <c r="R551">
        <f t="shared" si="71"/>
        <v>4.9877777777788609E-4</v>
      </c>
      <c r="S551">
        <f t="shared" si="72"/>
        <v>3.0630444425041681E-4</v>
      </c>
      <c r="T551">
        <f t="shared" si="73"/>
        <v>1.7501555480882745E-2</v>
      </c>
    </row>
    <row r="552" spans="1:20" x14ac:dyDescent="0.3">
      <c r="A552" s="2" t="s">
        <v>1165</v>
      </c>
      <c r="B552" s="4" t="s">
        <v>1125</v>
      </c>
      <c r="C552" s="2" t="s">
        <v>1120</v>
      </c>
      <c r="D552" s="2" t="s">
        <v>423</v>
      </c>
      <c r="E552" s="3">
        <v>511557.45343333337</v>
      </c>
      <c r="F552" s="3">
        <v>255133.19243333334</v>
      </c>
      <c r="G552" s="3">
        <v>107.19033333333334</v>
      </c>
      <c r="J552" s="5" t="s">
        <v>1122</v>
      </c>
      <c r="K552" s="5" t="s">
        <v>1123</v>
      </c>
      <c r="L552" s="5" t="s">
        <v>1124</v>
      </c>
      <c r="M552" s="3">
        <f t="shared" si="66"/>
        <v>-7.4333333759568632E-3</v>
      </c>
      <c r="N552" s="3">
        <f t="shared" si="67"/>
        <v>-1.2433333351509646E-2</v>
      </c>
      <c r="O552" s="3">
        <f t="shared" si="68"/>
        <v>4.4333333333341329E-2</v>
      </c>
      <c r="P552">
        <f t="shared" si="69"/>
        <v>5.5254445078114253E-5</v>
      </c>
      <c r="Q552">
        <f t="shared" si="70"/>
        <v>1.5458777822976208E-4</v>
      </c>
      <c r="R552">
        <f t="shared" si="71"/>
        <v>1.9654444444451532E-3</v>
      </c>
      <c r="S552">
        <f t="shared" si="72"/>
        <v>2.0984222330787633E-4</v>
      </c>
      <c r="T552">
        <f t="shared" si="73"/>
        <v>1.4485931910231951E-2</v>
      </c>
    </row>
    <row r="553" spans="1:20" x14ac:dyDescent="0.3">
      <c r="A553" s="2" t="s">
        <v>1165</v>
      </c>
      <c r="B553" s="4" t="s">
        <v>1125</v>
      </c>
      <c r="C553" s="2" t="s">
        <v>1120</v>
      </c>
      <c r="D553" s="2" t="s">
        <v>1019</v>
      </c>
      <c r="E553" s="3">
        <v>511557.45549999998</v>
      </c>
      <c r="F553" s="3">
        <v>255133.19736666666</v>
      </c>
      <c r="G553" s="3">
        <v>107.185</v>
      </c>
      <c r="J553" s="5" t="s">
        <v>1122</v>
      </c>
      <c r="K553" s="5" t="s">
        <v>1123</v>
      </c>
      <c r="L553" s="5" t="s">
        <v>1124</v>
      </c>
      <c r="M553" s="3">
        <f t="shared" si="66"/>
        <v>-9.4999999855645001E-3</v>
      </c>
      <c r="N553" s="3">
        <f t="shared" si="67"/>
        <v>-1.7366666666930541E-2</v>
      </c>
      <c r="O553" s="3">
        <f t="shared" si="68"/>
        <v>3.9000000000001478E-2</v>
      </c>
      <c r="P553">
        <f t="shared" si="69"/>
        <v>9.0249999725725499E-5</v>
      </c>
      <c r="Q553">
        <f t="shared" si="70"/>
        <v>3.0160111112027637E-4</v>
      </c>
      <c r="R553">
        <f t="shared" si="71"/>
        <v>1.5210000000001154E-3</v>
      </c>
      <c r="S553">
        <f t="shared" si="72"/>
        <v>3.9185111084600189E-4</v>
      </c>
      <c r="T553">
        <f t="shared" si="73"/>
        <v>1.9795229497179413E-2</v>
      </c>
    </row>
    <row r="554" spans="1:20" x14ac:dyDescent="0.3">
      <c r="A554" s="2" t="s">
        <v>1165</v>
      </c>
      <c r="B554" s="4" t="s">
        <v>1126</v>
      </c>
      <c r="C554" s="2" t="s">
        <v>1108</v>
      </c>
      <c r="D554" s="2" t="s">
        <v>30</v>
      </c>
      <c r="E554" s="3">
        <v>557917.28899999999</v>
      </c>
      <c r="F554" s="3">
        <v>191406.3878</v>
      </c>
      <c r="G554" s="8">
        <v>68.202999999999989</v>
      </c>
      <c r="J554" s="5" t="s">
        <v>1129</v>
      </c>
      <c r="K554" s="5" t="s">
        <v>1130</v>
      </c>
      <c r="L554" s="5" t="s">
        <v>1127</v>
      </c>
      <c r="M554" s="3">
        <f t="shared" si="66"/>
        <v>2.4899999960325658E-2</v>
      </c>
      <c r="N554" s="3">
        <f t="shared" si="67"/>
        <v>1.0999999940395355E-3</v>
      </c>
      <c r="O554" s="3">
        <f t="shared" si="68"/>
        <v>4.5999999999821739E-3</v>
      </c>
      <c r="P554">
        <f t="shared" si="69"/>
        <v>6.2000999802421777E-4</v>
      </c>
      <c r="Q554">
        <f t="shared" si="70"/>
        <v>1.2099999868869782E-6</v>
      </c>
      <c r="R554">
        <f t="shared" si="71"/>
        <v>2.1159999999836002E-5</v>
      </c>
      <c r="S554">
        <f t="shared" si="72"/>
        <v>6.2121999801110475E-4</v>
      </c>
      <c r="T554">
        <f t="shared" si="73"/>
        <v>2.4924285305924113E-2</v>
      </c>
    </row>
    <row r="555" spans="1:20" x14ac:dyDescent="0.3">
      <c r="A555" s="2" t="s">
        <v>1165</v>
      </c>
      <c r="B555" s="4" t="s">
        <v>1126</v>
      </c>
      <c r="C555" s="2" t="s">
        <v>1108</v>
      </c>
      <c r="D555" s="2" t="s">
        <v>1112</v>
      </c>
      <c r="E555" s="3">
        <v>557917.2727333334</v>
      </c>
      <c r="F555" s="3">
        <v>191406.38393333333</v>
      </c>
      <c r="G555" s="3">
        <v>68.301333333333332</v>
      </c>
      <c r="J555" s="5" t="s">
        <v>1129</v>
      </c>
      <c r="K555" s="5" t="s">
        <v>1130</v>
      </c>
      <c r="L555" s="5" t="s">
        <v>1127</v>
      </c>
      <c r="M555" s="3">
        <f t="shared" si="66"/>
        <v>4.1166666545905173E-2</v>
      </c>
      <c r="N555" s="3">
        <f t="shared" si="67"/>
        <v>4.9666666600387543E-3</v>
      </c>
      <c r="O555" s="3">
        <f t="shared" si="68"/>
        <v>0.10293333333332555</v>
      </c>
      <c r="P555">
        <f t="shared" si="69"/>
        <v>1.6946944345017482E-3</v>
      </c>
      <c r="Q555">
        <f t="shared" si="70"/>
        <v>2.4667777711940515E-5</v>
      </c>
      <c r="R555">
        <f t="shared" si="71"/>
        <v>1.0595271111109509E-2</v>
      </c>
      <c r="S555">
        <f t="shared" si="72"/>
        <v>1.7193622122136888E-3</v>
      </c>
      <c r="T555">
        <f t="shared" si="73"/>
        <v>4.1465192779169477E-2</v>
      </c>
    </row>
    <row r="556" spans="1:20" x14ac:dyDescent="0.3">
      <c r="A556" s="2" t="s">
        <v>1165</v>
      </c>
      <c r="B556" s="4" t="s">
        <v>1128</v>
      </c>
      <c r="C556" s="2" t="s">
        <v>1108</v>
      </c>
      <c r="D556" s="2" t="s">
        <v>37</v>
      </c>
      <c r="E556" s="3">
        <v>557917.27923333331</v>
      </c>
      <c r="F556" s="3">
        <v>191406.39963333332</v>
      </c>
      <c r="G556" s="3">
        <v>68.308333333333337</v>
      </c>
      <c r="J556" s="5" t="s">
        <v>1129</v>
      </c>
      <c r="K556" s="5" t="s">
        <v>1130</v>
      </c>
      <c r="L556" s="5" t="s">
        <v>1127</v>
      </c>
      <c r="M556" s="3">
        <f t="shared" si="66"/>
        <v>3.4666666644625366E-2</v>
      </c>
      <c r="N556" s="3">
        <f t="shared" si="67"/>
        <v>-1.0733333328971639E-2</v>
      </c>
      <c r="O556" s="3">
        <f t="shared" si="68"/>
        <v>0.10993333333333055</v>
      </c>
      <c r="P556">
        <f t="shared" si="69"/>
        <v>1.2017777762495809E-3</v>
      </c>
      <c r="Q556">
        <f t="shared" si="70"/>
        <v>1.1520444435081342E-4</v>
      </c>
      <c r="R556">
        <f t="shared" si="71"/>
        <v>1.2085337777777165E-2</v>
      </c>
      <c r="S556">
        <f t="shared" si="72"/>
        <v>1.3169822206003943E-3</v>
      </c>
      <c r="T556">
        <f t="shared" si="73"/>
        <v>3.6290249662965866E-2</v>
      </c>
    </row>
    <row r="557" spans="1:20" x14ac:dyDescent="0.3">
      <c r="A557" s="2" t="s">
        <v>1165</v>
      </c>
      <c r="B557" s="4" t="s">
        <v>1128</v>
      </c>
      <c r="C557" s="2" t="s">
        <v>1108</v>
      </c>
      <c r="D557" s="2" t="s">
        <v>46</v>
      </c>
      <c r="E557" s="3">
        <v>557917.28043333336</v>
      </c>
      <c r="F557" s="3">
        <v>191406.4074</v>
      </c>
      <c r="G557" s="3">
        <v>68.203666666666678</v>
      </c>
      <c r="J557" s="5" t="s">
        <v>1129</v>
      </c>
      <c r="K557" s="5" t="s">
        <v>1130</v>
      </c>
      <c r="L557" s="5" t="s">
        <v>1127</v>
      </c>
      <c r="M557" s="3">
        <f t="shared" si="66"/>
        <v>3.3466666587628424E-2</v>
      </c>
      <c r="N557" s="3">
        <f t="shared" si="67"/>
        <v>-1.8500000005587935E-2</v>
      </c>
      <c r="O557" s="3">
        <f t="shared" si="68"/>
        <v>5.2666666666709716E-3</v>
      </c>
      <c r="P557">
        <f t="shared" si="69"/>
        <v>1.1200177724874848E-3</v>
      </c>
      <c r="Q557">
        <f t="shared" si="70"/>
        <v>3.4225000020675361E-4</v>
      </c>
      <c r="R557">
        <f t="shared" si="71"/>
        <v>2.7737777777823123E-5</v>
      </c>
      <c r="S557">
        <f t="shared" si="72"/>
        <v>1.4622677726942384E-3</v>
      </c>
      <c r="T557">
        <f t="shared" si="73"/>
        <v>3.8239609996628343E-2</v>
      </c>
    </row>
    <row r="558" spans="1:20" x14ac:dyDescent="0.3">
      <c r="A558" s="2" t="s">
        <v>1165</v>
      </c>
      <c r="B558" s="4" t="s">
        <v>1128</v>
      </c>
      <c r="C558" s="2" t="s">
        <v>1114</v>
      </c>
      <c r="D558" s="2" t="s">
        <v>63</v>
      </c>
      <c r="E558" s="3">
        <v>557917.29786666669</v>
      </c>
      <c r="F558" s="3">
        <v>191406.39706666666</v>
      </c>
      <c r="G558" s="3">
        <v>68.25</v>
      </c>
      <c r="J558" s="5" t="s">
        <v>1129</v>
      </c>
      <c r="K558" s="5" t="s">
        <v>1130</v>
      </c>
      <c r="L558" s="5" t="s">
        <v>1127</v>
      </c>
      <c r="M558" s="3">
        <f t="shared" si="66"/>
        <v>1.6033333260565996E-2</v>
      </c>
      <c r="N558" s="3">
        <f t="shared" si="67"/>
        <v>-8.1666666665114462E-3</v>
      </c>
      <c r="O558" s="3">
        <f t="shared" si="68"/>
        <v>5.1599999999993429E-2</v>
      </c>
      <c r="P558">
        <f t="shared" si="69"/>
        <v>2.5706777544437184E-4</v>
      </c>
      <c r="Q558">
        <f t="shared" si="70"/>
        <v>6.6694444441909174E-5</v>
      </c>
      <c r="R558">
        <f t="shared" si="71"/>
        <v>2.6625599999993217E-3</v>
      </c>
      <c r="S558">
        <f t="shared" si="72"/>
        <v>3.2376221988628101E-4</v>
      </c>
      <c r="T558">
        <f t="shared" si="73"/>
        <v>1.7993393784561072E-2</v>
      </c>
    </row>
    <row r="559" spans="1:20" x14ac:dyDescent="0.3">
      <c r="A559" s="2" t="s">
        <v>1165</v>
      </c>
      <c r="B559" s="4" t="s">
        <v>1128</v>
      </c>
      <c r="C559" s="2" t="s">
        <v>1114</v>
      </c>
      <c r="D559" s="2" t="s">
        <v>30</v>
      </c>
      <c r="E559" s="3">
        <v>557917.27813333331</v>
      </c>
      <c r="F559" s="3">
        <v>191406.40256666669</v>
      </c>
      <c r="G559" s="3">
        <v>68.200333333333333</v>
      </c>
      <c r="J559" s="5" t="s">
        <v>1129</v>
      </c>
      <c r="K559" s="5" t="s">
        <v>1130</v>
      </c>
      <c r="L559" s="5" t="s">
        <v>1127</v>
      </c>
      <c r="M559" s="3">
        <f t="shared" si="66"/>
        <v>3.5766666638664901E-2</v>
      </c>
      <c r="N559" s="3">
        <f t="shared" si="67"/>
        <v>-1.3666666694916785E-2</v>
      </c>
      <c r="O559" s="3">
        <f t="shared" si="68"/>
        <v>1.9333333333264591E-3</v>
      </c>
      <c r="P559">
        <f t="shared" si="69"/>
        <v>1.2792544424413848E-3</v>
      </c>
      <c r="Q559">
        <f t="shared" si="70"/>
        <v>1.8677777854994766E-4</v>
      </c>
      <c r="R559">
        <f t="shared" si="71"/>
        <v>3.7377777777511973E-6</v>
      </c>
      <c r="S559">
        <f t="shared" si="72"/>
        <v>1.4660322209913324E-3</v>
      </c>
      <c r="T559">
        <f t="shared" si="73"/>
        <v>3.8288800203079391E-2</v>
      </c>
    </row>
    <row r="560" spans="1:20" x14ac:dyDescent="0.3">
      <c r="A560" s="2" t="s">
        <v>1165</v>
      </c>
      <c r="B560" s="4" t="s">
        <v>1128</v>
      </c>
      <c r="C560" s="2" t="s">
        <v>1114</v>
      </c>
      <c r="D560" s="2" t="s">
        <v>52</v>
      </c>
      <c r="E560" s="3">
        <v>557917.30006666668</v>
      </c>
      <c r="F560" s="3">
        <v>191406.39533333332</v>
      </c>
      <c r="G560" s="3">
        <v>68.182999999999993</v>
      </c>
      <c r="J560" s="5" t="s">
        <v>1129</v>
      </c>
      <c r="K560" s="5" t="s">
        <v>1130</v>
      </c>
      <c r="L560" s="5" t="s">
        <v>1127</v>
      </c>
      <c r="M560" s="3">
        <f t="shared" si="66"/>
        <v>1.3833333272486925E-2</v>
      </c>
      <c r="N560" s="3">
        <f t="shared" si="67"/>
        <v>-6.4333333284594119E-3</v>
      </c>
      <c r="O560" s="3">
        <f t="shared" si="68"/>
        <v>1.5400000000013847E-2</v>
      </c>
      <c r="P560">
        <f t="shared" si="69"/>
        <v>1.9136110942769382E-4</v>
      </c>
      <c r="Q560">
        <f t="shared" si="70"/>
        <v>4.1387777715066651E-5</v>
      </c>
      <c r="R560">
        <f t="shared" si="71"/>
        <v>2.3716000000042648E-4</v>
      </c>
      <c r="S560">
        <f t="shared" si="72"/>
        <v>2.3274888714276047E-4</v>
      </c>
      <c r="T560">
        <f t="shared" si="73"/>
        <v>1.5256109829925861E-2</v>
      </c>
    </row>
    <row r="561" spans="1:20" x14ac:dyDescent="0.3">
      <c r="A561" s="2" t="s">
        <v>1165</v>
      </c>
      <c r="B561" s="4" t="s">
        <v>1128</v>
      </c>
      <c r="C561" s="2" t="s">
        <v>1120</v>
      </c>
      <c r="D561" s="4" t="s">
        <v>1019</v>
      </c>
      <c r="E561" s="3">
        <v>557918.16460000002</v>
      </c>
      <c r="F561" s="3">
        <v>191455.38450000001</v>
      </c>
      <c r="G561" s="3">
        <v>68.317000000000007</v>
      </c>
      <c r="J561" s="5" t="s">
        <v>1129</v>
      </c>
      <c r="K561" s="5" t="s">
        <v>1130</v>
      </c>
      <c r="L561" s="5" t="s">
        <v>1127</v>
      </c>
      <c r="M561" s="3">
        <f t="shared" si="66"/>
        <v>-0.85070000006817281</v>
      </c>
      <c r="N561" s="3">
        <f t="shared" si="67"/>
        <v>-48.995600000023842</v>
      </c>
      <c r="O561" s="3">
        <f t="shared" si="68"/>
        <v>0.1186000000000007</v>
      </c>
      <c r="P561">
        <f t="shared" si="69"/>
        <v>0.72369049011598918</v>
      </c>
      <c r="Q561">
        <f t="shared" si="70"/>
        <v>2400.5688193623364</v>
      </c>
      <c r="R561">
        <f t="shared" si="71"/>
        <v>1.4065960000000167E-2</v>
      </c>
      <c r="S561">
        <f t="shared" si="72"/>
        <v>2401.2925098524524</v>
      </c>
      <c r="T561">
        <f t="shared" si="73"/>
        <v>49.00298470351018</v>
      </c>
    </row>
    <row r="562" spans="1:20" x14ac:dyDescent="0.3">
      <c r="A562" s="2" t="s">
        <v>1165</v>
      </c>
      <c r="B562" s="4" t="s">
        <v>1128</v>
      </c>
      <c r="C562" s="2" t="s">
        <v>1120</v>
      </c>
      <c r="D562" s="4" t="s">
        <v>423</v>
      </c>
      <c r="E562" s="3">
        <v>557917.25053333328</v>
      </c>
      <c r="F562" s="3">
        <v>191406.36776666666</v>
      </c>
      <c r="G562" s="3">
        <v>68.359666666666669</v>
      </c>
      <c r="J562" s="5" t="s">
        <v>1129</v>
      </c>
      <c r="K562" s="5" t="s">
        <v>1130</v>
      </c>
      <c r="L562" s="5" t="s">
        <v>1127</v>
      </c>
      <c r="M562" s="3">
        <f t="shared" si="66"/>
        <v>6.3366666669026017E-2</v>
      </c>
      <c r="N562" s="3">
        <f t="shared" si="67"/>
        <v>2.1133333328180015E-2</v>
      </c>
      <c r="O562" s="3">
        <f t="shared" si="68"/>
        <v>0.16126666666666267</v>
      </c>
      <c r="P562">
        <f t="shared" si="69"/>
        <v>4.0153344447434527E-3</v>
      </c>
      <c r="Q562">
        <f t="shared" si="70"/>
        <v>4.4661777755996418E-4</v>
      </c>
      <c r="R562">
        <f t="shared" si="71"/>
        <v>2.600693777777649E-2</v>
      </c>
      <c r="S562">
        <f t="shared" si="72"/>
        <v>4.4619522223034169E-3</v>
      </c>
      <c r="T562">
        <f t="shared" si="73"/>
        <v>6.6797845940594652E-2</v>
      </c>
    </row>
    <row r="563" spans="1:20" x14ac:dyDescent="0.3">
      <c r="A563" s="2" t="s">
        <v>1165</v>
      </c>
      <c r="B563" s="4" t="s">
        <v>1131</v>
      </c>
      <c r="C563" s="2" t="s">
        <v>1108</v>
      </c>
      <c r="D563" s="2" t="s">
        <v>30</v>
      </c>
      <c r="E563" s="8">
        <v>557546.01436666667</v>
      </c>
      <c r="F563" s="8">
        <v>158979.47236666665</v>
      </c>
      <c r="G563" s="3">
        <v>30.790333333333333</v>
      </c>
      <c r="J563" s="5" t="s">
        <v>1134</v>
      </c>
      <c r="K563" s="5" t="s">
        <v>1135</v>
      </c>
      <c r="L563" s="5" t="s">
        <v>1132</v>
      </c>
      <c r="M563" s="3">
        <f t="shared" si="66"/>
        <v>1.8033333355560899E-2</v>
      </c>
      <c r="N563" s="3">
        <f t="shared" si="67"/>
        <v>-1.2866666656918824E-2</v>
      </c>
      <c r="O563" s="3">
        <f t="shared" si="68"/>
        <v>1.3266666666666538E-2</v>
      </c>
      <c r="P563">
        <f t="shared" si="69"/>
        <v>3.2520111191278531E-4</v>
      </c>
      <c r="Q563">
        <f t="shared" si="70"/>
        <v>1.6555111086026661E-4</v>
      </c>
      <c r="R563">
        <f t="shared" si="71"/>
        <v>1.7600444444444103E-4</v>
      </c>
      <c r="S563">
        <f t="shared" si="72"/>
        <v>4.9075222277305186E-4</v>
      </c>
      <c r="T563">
        <f t="shared" si="73"/>
        <v>2.215292808576446E-2</v>
      </c>
    </row>
    <row r="564" spans="1:20" x14ac:dyDescent="0.3">
      <c r="A564" s="2" t="s">
        <v>1165</v>
      </c>
      <c r="B564" s="4" t="s">
        <v>1131</v>
      </c>
      <c r="C564" s="2" t="s">
        <v>1108</v>
      </c>
      <c r="D564" s="2" t="s">
        <v>1112</v>
      </c>
      <c r="E564" s="8">
        <v>557546.02223333332</v>
      </c>
      <c r="F564" s="8">
        <v>158979.47219999999</v>
      </c>
      <c r="G564" s="3">
        <v>30.792333333333332</v>
      </c>
      <c r="J564" s="5" t="s">
        <v>1134</v>
      </c>
      <c r="K564" s="5" t="s">
        <v>1135</v>
      </c>
      <c r="L564" s="5" t="s">
        <v>1132</v>
      </c>
      <c r="M564" s="3">
        <f t="shared" si="66"/>
        <v>1.0166666703298688E-2</v>
      </c>
      <c r="N564" s="3">
        <f t="shared" si="67"/>
        <v>-1.2699999992037192E-2</v>
      </c>
      <c r="O564" s="3">
        <f t="shared" si="68"/>
        <v>1.1266666666667646E-2</v>
      </c>
      <c r="P564">
        <f t="shared" si="69"/>
        <v>1.0336111185596221E-4</v>
      </c>
      <c r="Q564">
        <f t="shared" si="70"/>
        <v>1.6128999979774468E-4</v>
      </c>
      <c r="R564">
        <f t="shared" si="71"/>
        <v>1.2693777777779986E-4</v>
      </c>
      <c r="S564">
        <f t="shared" si="72"/>
        <v>2.6465111165370687E-4</v>
      </c>
      <c r="T564">
        <f t="shared" si="73"/>
        <v>1.6268101046333184E-2</v>
      </c>
    </row>
    <row r="565" spans="1:20" x14ac:dyDescent="0.3">
      <c r="A565" s="2" t="s">
        <v>1165</v>
      </c>
      <c r="B565" s="4" t="s">
        <v>1133</v>
      </c>
      <c r="C565" s="2" t="s">
        <v>1108</v>
      </c>
      <c r="D565" s="2" t="s">
        <v>110</v>
      </c>
      <c r="E565" s="8">
        <v>557546.02769999998</v>
      </c>
      <c r="F565" s="8">
        <v>158979.47123333334</v>
      </c>
      <c r="G565" s="3">
        <v>30.797666666666668</v>
      </c>
      <c r="J565" s="5" t="s">
        <v>1134</v>
      </c>
      <c r="K565" s="5" t="s">
        <v>1135</v>
      </c>
      <c r="L565" s="5" t="s">
        <v>1132</v>
      </c>
      <c r="M565" s="3">
        <f t="shared" si="66"/>
        <v>4.7000000486150384E-3</v>
      </c>
      <c r="N565" s="3">
        <f t="shared" si="67"/>
        <v>-1.173333334736526E-2</v>
      </c>
      <c r="O565" s="3">
        <f t="shared" si="68"/>
        <v>5.9333333333313476E-3</v>
      </c>
      <c r="P565">
        <f t="shared" si="69"/>
        <v>2.2090000456981363E-5</v>
      </c>
      <c r="Q565">
        <f t="shared" si="70"/>
        <v>1.3767111144039366E-4</v>
      </c>
      <c r="R565">
        <f t="shared" si="71"/>
        <v>3.5204444444420879E-5</v>
      </c>
      <c r="S565">
        <f t="shared" si="72"/>
        <v>1.5976111189737501E-4</v>
      </c>
      <c r="T565">
        <f t="shared" si="73"/>
        <v>1.2639664231987138E-2</v>
      </c>
    </row>
    <row r="566" spans="1:20" x14ac:dyDescent="0.3">
      <c r="A566" s="2" t="s">
        <v>1165</v>
      </c>
      <c r="B566" s="4" t="s">
        <v>1133</v>
      </c>
      <c r="C566" s="2" t="s">
        <v>1108</v>
      </c>
      <c r="D566" s="2" t="s">
        <v>37</v>
      </c>
      <c r="E566" s="8">
        <v>557546.03949999996</v>
      </c>
      <c r="F566" s="8">
        <v>158979.47183333334</v>
      </c>
      <c r="G566" s="3">
        <v>30.77333333333333</v>
      </c>
      <c r="J566" s="5" t="s">
        <v>1134</v>
      </c>
      <c r="K566" s="5" t="s">
        <v>1135</v>
      </c>
      <c r="L566" s="5" t="s">
        <v>1132</v>
      </c>
      <c r="M566" s="3">
        <f t="shared" si="66"/>
        <v>-7.0999999297782779E-3</v>
      </c>
      <c r="N566" s="3">
        <f t="shared" si="67"/>
        <v>-1.23333333467599E-2</v>
      </c>
      <c r="O566" s="3">
        <f t="shared" si="68"/>
        <v>3.0266666666669551E-2</v>
      </c>
      <c r="P566">
        <f t="shared" si="69"/>
        <v>5.0409999002851551E-5</v>
      </c>
      <c r="Q566">
        <f t="shared" si="70"/>
        <v>1.5211111144229977E-4</v>
      </c>
      <c r="R566">
        <f t="shared" si="71"/>
        <v>9.1607111111128572E-4</v>
      </c>
      <c r="S566">
        <f t="shared" si="72"/>
        <v>2.0252111044515134E-4</v>
      </c>
      <c r="T566">
        <f t="shared" si="73"/>
        <v>1.4230991196861564E-2</v>
      </c>
    </row>
    <row r="567" spans="1:20" x14ac:dyDescent="0.3">
      <c r="A567" s="2" t="s">
        <v>1165</v>
      </c>
      <c r="B567" s="4" t="s">
        <v>1133</v>
      </c>
      <c r="C567" s="2" t="s">
        <v>1108</v>
      </c>
      <c r="D567" s="2" t="s">
        <v>46</v>
      </c>
      <c r="E567" s="8">
        <v>557546.03413333336</v>
      </c>
      <c r="F567" s="8">
        <v>158979.47286666665</v>
      </c>
      <c r="G567" s="3">
        <v>30.796333333333333</v>
      </c>
      <c r="J567" s="5" t="s">
        <v>1134</v>
      </c>
      <c r="K567" s="5" t="s">
        <v>1135</v>
      </c>
      <c r="L567" s="5" t="s">
        <v>1132</v>
      </c>
      <c r="M567" s="3">
        <f t="shared" si="66"/>
        <v>-1.7333333380520344E-3</v>
      </c>
      <c r="N567" s="3">
        <f t="shared" si="67"/>
        <v>-1.3366666651563719E-2</v>
      </c>
      <c r="O567" s="3">
        <f t="shared" si="68"/>
        <v>7.2666666666663104E-3</v>
      </c>
      <c r="P567">
        <f t="shared" si="69"/>
        <v>3.0044444608026081E-6</v>
      </c>
      <c r="Q567">
        <f t="shared" si="70"/>
        <v>1.7866777737402564E-4</v>
      </c>
      <c r="R567">
        <f t="shared" si="71"/>
        <v>5.2804444444439271E-5</v>
      </c>
      <c r="S567">
        <f t="shared" si="72"/>
        <v>1.8167222183482825E-4</v>
      </c>
      <c r="T567">
        <f t="shared" si="73"/>
        <v>1.3478583821560345E-2</v>
      </c>
    </row>
    <row r="568" spans="1:20" x14ac:dyDescent="0.3">
      <c r="A568" s="2" t="s">
        <v>1165</v>
      </c>
      <c r="B568" s="4" t="s">
        <v>1133</v>
      </c>
      <c r="C568" s="2" t="s">
        <v>1114</v>
      </c>
      <c r="D568" s="2" t="s">
        <v>63</v>
      </c>
      <c r="E568" s="8">
        <v>557546.03346666659</v>
      </c>
      <c r="F568" s="8">
        <v>158979.47990000001</v>
      </c>
      <c r="G568" s="3">
        <v>30.798666666666666</v>
      </c>
      <c r="J568" s="5" t="s">
        <v>1134</v>
      </c>
      <c r="K568" s="5" t="s">
        <v>1135</v>
      </c>
      <c r="L568" s="5" t="s">
        <v>1132</v>
      </c>
      <c r="M568" s="3">
        <f t="shared" si="66"/>
        <v>-1.0666665621101856E-3</v>
      </c>
      <c r="N568" s="3">
        <f t="shared" si="67"/>
        <v>-2.0400000008521602E-2</v>
      </c>
      <c r="O568" s="3">
        <f t="shared" si="68"/>
        <v>4.9333333333336782E-3</v>
      </c>
      <c r="P568">
        <f t="shared" si="69"/>
        <v>1.1377775547239625E-6</v>
      </c>
      <c r="Q568">
        <f t="shared" si="70"/>
        <v>4.1616000034768136E-4</v>
      </c>
      <c r="R568">
        <f t="shared" si="71"/>
        <v>2.433777777778118E-5</v>
      </c>
      <c r="S568">
        <f t="shared" si="72"/>
        <v>4.1729777790240532E-4</v>
      </c>
      <c r="T568">
        <f t="shared" si="73"/>
        <v>2.0427867678796171E-2</v>
      </c>
    </row>
    <row r="569" spans="1:20" x14ac:dyDescent="0.3">
      <c r="A569" s="2" t="s">
        <v>1165</v>
      </c>
      <c r="B569" s="4" t="s">
        <v>1133</v>
      </c>
      <c r="C569" s="2" t="s">
        <v>1114</v>
      </c>
      <c r="D569" s="2" t="s">
        <v>30</v>
      </c>
      <c r="E569" s="8">
        <v>557546.02649999992</v>
      </c>
      <c r="F569" s="8">
        <v>158979.47353333334</v>
      </c>
      <c r="G569" s="3">
        <v>30.798333333333332</v>
      </c>
      <c r="J569" s="5" t="s">
        <v>1134</v>
      </c>
      <c r="K569" s="5" t="s">
        <v>1135</v>
      </c>
      <c r="L569" s="5" t="s">
        <v>1132</v>
      </c>
      <c r="M569" s="3">
        <f t="shared" si="66"/>
        <v>5.90000010561198E-3</v>
      </c>
      <c r="N569" s="3">
        <f t="shared" si="67"/>
        <v>-1.4033333340194076E-2</v>
      </c>
      <c r="O569" s="3">
        <f t="shared" si="68"/>
        <v>5.2666666666674189E-3</v>
      </c>
      <c r="P569">
        <f t="shared" si="69"/>
        <v>3.4810001246221375E-5</v>
      </c>
      <c r="Q569">
        <f t="shared" si="70"/>
        <v>1.9693444463700263E-4</v>
      </c>
      <c r="R569">
        <f t="shared" si="71"/>
        <v>2.7737777777785701E-5</v>
      </c>
      <c r="S569">
        <f t="shared" si="72"/>
        <v>2.3174444588322399E-4</v>
      </c>
      <c r="T569">
        <f t="shared" si="73"/>
        <v>1.5223154925416215E-2</v>
      </c>
    </row>
    <row r="570" spans="1:20" x14ac:dyDescent="0.3">
      <c r="A570" s="2" t="s">
        <v>1165</v>
      </c>
      <c r="B570" s="4" t="s">
        <v>1133</v>
      </c>
      <c r="C570" s="2" t="s">
        <v>1114</v>
      </c>
      <c r="D570" s="2" t="s">
        <v>52</v>
      </c>
      <c r="E570" s="8">
        <v>557546.01883333328</v>
      </c>
      <c r="F570" s="8">
        <v>158979.46950000001</v>
      </c>
      <c r="G570" s="3">
        <v>30.843666666666667</v>
      </c>
      <c r="J570" s="5" t="s">
        <v>1134</v>
      </c>
      <c r="K570" s="5" t="s">
        <v>1135</v>
      </c>
      <c r="L570" s="5" t="s">
        <v>1132</v>
      </c>
      <c r="M570" s="3">
        <f t="shared" si="66"/>
        <v>1.3566666748374701E-2</v>
      </c>
      <c r="N570" s="3">
        <f t="shared" si="67"/>
        <v>-1.0000000009313226E-2</v>
      </c>
      <c r="O570" s="3">
        <f t="shared" si="68"/>
        <v>4.0066666666668027E-2</v>
      </c>
      <c r="P570">
        <f t="shared" si="69"/>
        <v>1.8405444666145577E-4</v>
      </c>
      <c r="Q570">
        <f t="shared" si="70"/>
        <v>1.0000000018626452E-4</v>
      </c>
      <c r="R570">
        <f t="shared" si="71"/>
        <v>1.6053377777778869E-3</v>
      </c>
      <c r="S570">
        <f t="shared" si="72"/>
        <v>2.8405444684772029E-4</v>
      </c>
      <c r="T570">
        <f t="shared" si="73"/>
        <v>1.6853914881941236E-2</v>
      </c>
    </row>
    <row r="571" spans="1:20" x14ac:dyDescent="0.3">
      <c r="A571" s="2" t="s">
        <v>1165</v>
      </c>
      <c r="B571" s="4" t="s">
        <v>1136</v>
      </c>
      <c r="C571" s="2" t="s">
        <v>1108</v>
      </c>
      <c r="D571" s="2" t="s">
        <v>30</v>
      </c>
      <c r="E571" s="3">
        <v>527340.3986999999</v>
      </c>
      <c r="F571" s="3">
        <v>172722.11686666668</v>
      </c>
      <c r="G571" s="3">
        <v>30.636333333333337</v>
      </c>
      <c r="J571" s="5" t="s">
        <v>1139</v>
      </c>
      <c r="K571" s="5" t="s">
        <v>1140</v>
      </c>
      <c r="L571" s="5" t="s">
        <v>1137</v>
      </c>
      <c r="M571" s="3">
        <f t="shared" si="66"/>
        <v>-1.1999999405816197E-3</v>
      </c>
      <c r="N571" s="3">
        <f t="shared" si="67"/>
        <v>1.5533333324128762E-2</v>
      </c>
      <c r="O571" s="3">
        <f t="shared" si="68"/>
        <v>5.4633333333335088E-2</v>
      </c>
      <c r="P571">
        <f t="shared" si="69"/>
        <v>1.4399998573958909E-6</v>
      </c>
      <c r="Q571">
        <f t="shared" si="70"/>
        <v>2.412844441584891E-4</v>
      </c>
      <c r="R571">
        <f t="shared" si="71"/>
        <v>2.9848011111113029E-3</v>
      </c>
      <c r="S571">
        <f t="shared" si="72"/>
        <v>2.4272444401588497E-4</v>
      </c>
      <c r="T571">
        <f t="shared" si="73"/>
        <v>1.557961629873743E-2</v>
      </c>
    </row>
    <row r="572" spans="1:20" x14ac:dyDescent="0.3">
      <c r="A572" s="2" t="s">
        <v>1165</v>
      </c>
      <c r="B572" s="4" t="s">
        <v>1136</v>
      </c>
      <c r="C572" s="2" t="s">
        <v>1108</v>
      </c>
      <c r="D572" s="2" t="s">
        <v>1112</v>
      </c>
      <c r="E572" s="3">
        <v>527340.39900000009</v>
      </c>
      <c r="F572" s="3">
        <v>172722.11869999999</v>
      </c>
      <c r="G572" s="3">
        <v>30.630666666666666</v>
      </c>
      <c r="J572" s="5" t="s">
        <v>1139</v>
      </c>
      <c r="K572" s="5" t="s">
        <v>1140</v>
      </c>
      <c r="L572" s="5" t="s">
        <v>1137</v>
      </c>
      <c r="M572" s="3">
        <f t="shared" si="66"/>
        <v>-1.5000001294538379E-3</v>
      </c>
      <c r="N572" s="3">
        <f t="shared" si="67"/>
        <v>1.3700000010430813E-2</v>
      </c>
      <c r="O572" s="3">
        <f t="shared" si="68"/>
        <v>4.8966666666665049E-2</v>
      </c>
      <c r="P572">
        <f t="shared" si="69"/>
        <v>2.2500003883615304E-6</v>
      </c>
      <c r="Q572">
        <f t="shared" si="70"/>
        <v>1.8769000028580427E-4</v>
      </c>
      <c r="R572">
        <f t="shared" si="71"/>
        <v>2.397734444444286E-3</v>
      </c>
      <c r="S572">
        <f t="shared" si="72"/>
        <v>1.8994000067416579E-4</v>
      </c>
      <c r="T572">
        <f t="shared" si="73"/>
        <v>1.3781872175947859E-2</v>
      </c>
    </row>
    <row r="573" spans="1:20" x14ac:dyDescent="0.3">
      <c r="A573" s="2" t="s">
        <v>1165</v>
      </c>
      <c r="B573" s="4" t="s">
        <v>1138</v>
      </c>
      <c r="C573" s="2" t="s">
        <v>1108</v>
      </c>
      <c r="D573" s="2" t="s">
        <v>110</v>
      </c>
      <c r="E573" s="3">
        <v>527340.40326666669</v>
      </c>
      <c r="F573" s="3">
        <v>172722.12763333332</v>
      </c>
      <c r="G573" s="3">
        <v>30.609333333333336</v>
      </c>
      <c r="J573" s="5" t="s">
        <v>1139</v>
      </c>
      <c r="K573" s="5" t="s">
        <v>1140</v>
      </c>
      <c r="L573" s="5" t="s">
        <v>1137</v>
      </c>
      <c r="M573" s="3">
        <f t="shared" si="66"/>
        <v>-5.7666667271405458E-3</v>
      </c>
      <c r="N573" s="3">
        <f t="shared" si="67"/>
        <v>4.7666666796430945E-3</v>
      </c>
      <c r="O573" s="3">
        <f t="shared" si="68"/>
        <v>2.7633333333334065E-2</v>
      </c>
      <c r="P573">
        <f t="shared" si="69"/>
        <v>3.3254445141909855E-5</v>
      </c>
      <c r="Q573">
        <f t="shared" si="70"/>
        <v>2.2721111234819724E-5</v>
      </c>
      <c r="R573">
        <f t="shared" si="71"/>
        <v>7.6360111111115157E-4</v>
      </c>
      <c r="S573">
        <f t="shared" si="72"/>
        <v>5.5975556376729578E-5</v>
      </c>
      <c r="T573">
        <f t="shared" si="73"/>
        <v>7.4816813870098465E-3</v>
      </c>
    </row>
    <row r="574" spans="1:20" x14ac:dyDescent="0.3">
      <c r="A574" s="2" t="s">
        <v>1165</v>
      </c>
      <c r="B574" s="4" t="s">
        <v>1138</v>
      </c>
      <c r="C574" s="2" t="s">
        <v>1108</v>
      </c>
      <c r="D574" s="2" t="s">
        <v>46</v>
      </c>
      <c r="E574" s="3">
        <v>527340.40819999995</v>
      </c>
      <c r="F574" s="3">
        <v>172722.11613333333</v>
      </c>
      <c r="G574" s="3">
        <v>30.585333333333335</v>
      </c>
      <c r="J574" s="5" t="s">
        <v>1139</v>
      </c>
      <c r="K574" s="5" t="s">
        <v>1140</v>
      </c>
      <c r="L574" s="5" t="s">
        <v>1137</v>
      </c>
      <c r="M574" s="3">
        <f t="shared" si="66"/>
        <v>-1.0699999984353781E-2</v>
      </c>
      <c r="N574" s="3">
        <f t="shared" si="67"/>
        <v>1.6266666672891006E-2</v>
      </c>
      <c r="O574" s="3">
        <f t="shared" si="68"/>
        <v>3.6333333333331552E-3</v>
      </c>
      <c r="P574">
        <f t="shared" si="69"/>
        <v>1.1448999966517091E-4</v>
      </c>
      <c r="Q574">
        <f t="shared" si="70"/>
        <v>2.6460444464694295E-4</v>
      </c>
      <c r="R574">
        <f t="shared" si="71"/>
        <v>1.3201111111109818E-5</v>
      </c>
      <c r="S574">
        <f t="shared" si="72"/>
        <v>3.7909444431211386E-4</v>
      </c>
      <c r="T574">
        <f t="shared" si="73"/>
        <v>1.947034782206301E-2</v>
      </c>
    </row>
    <row r="575" spans="1:20" x14ac:dyDescent="0.3">
      <c r="A575" s="2" t="s">
        <v>1165</v>
      </c>
      <c r="B575" s="4" t="s">
        <v>1138</v>
      </c>
      <c r="C575" s="2" t="s">
        <v>1114</v>
      </c>
      <c r="D575" s="2" t="s">
        <v>63</v>
      </c>
      <c r="E575">
        <v>527340.39513333328</v>
      </c>
      <c r="F575">
        <v>172722.10763333333</v>
      </c>
      <c r="G575">
        <v>30.634333333333331</v>
      </c>
      <c r="J575" s="5" t="s">
        <v>1139</v>
      </c>
      <c r="K575" s="5" t="s">
        <v>1140</v>
      </c>
      <c r="L575" s="5" t="s">
        <v>1137</v>
      </c>
      <c r="M575" s="3">
        <f t="shared" si="66"/>
        <v>2.3666666820645332E-3</v>
      </c>
      <c r="N575" s="3">
        <f t="shared" si="67"/>
        <v>2.4766666669165716E-2</v>
      </c>
      <c r="O575" s="3">
        <f t="shared" si="68"/>
        <v>5.2633333333329091E-2</v>
      </c>
      <c r="P575">
        <f t="shared" si="69"/>
        <v>5.6011111839943464E-6</v>
      </c>
      <c r="Q575">
        <f t="shared" si="70"/>
        <v>6.1338777790156398E-4</v>
      </c>
      <c r="R575">
        <f t="shared" si="71"/>
        <v>2.7702677777773311E-3</v>
      </c>
      <c r="S575">
        <f t="shared" si="72"/>
        <v>6.1898888908555833E-4</v>
      </c>
      <c r="T575">
        <f t="shared" si="73"/>
        <v>2.487948731556899E-2</v>
      </c>
    </row>
    <row r="576" spans="1:20" x14ac:dyDescent="0.3">
      <c r="A576" s="2" t="s">
        <v>1165</v>
      </c>
      <c r="B576" s="4" t="s">
        <v>1138</v>
      </c>
      <c r="C576" s="2" t="s">
        <v>1114</v>
      </c>
      <c r="D576" s="2" t="s">
        <v>30</v>
      </c>
      <c r="E576">
        <v>527340.40403333341</v>
      </c>
      <c r="F576">
        <v>172722.12913333334</v>
      </c>
      <c r="G576">
        <v>30.555999999999997</v>
      </c>
      <c r="J576" s="5" t="s">
        <v>1139</v>
      </c>
      <c r="K576" s="5" t="s">
        <v>1140</v>
      </c>
      <c r="L576" s="5" t="s">
        <v>1137</v>
      </c>
      <c r="M576" s="3">
        <f t="shared" si="66"/>
        <v>-6.5333334496244788E-3</v>
      </c>
      <c r="N576" s="3">
        <f t="shared" si="67"/>
        <v>3.2666666666045785E-3</v>
      </c>
      <c r="O576" s="3">
        <f t="shared" si="68"/>
        <v>2.5700000000004053E-2</v>
      </c>
      <c r="P576">
        <f t="shared" si="69"/>
        <v>4.2684445963982092E-5</v>
      </c>
      <c r="Q576">
        <f t="shared" si="70"/>
        <v>1.0671111110705468E-5</v>
      </c>
      <c r="R576">
        <f t="shared" si="71"/>
        <v>6.6049000000020829E-4</v>
      </c>
      <c r="S576">
        <f t="shared" si="72"/>
        <v>5.3355557074687561E-5</v>
      </c>
      <c r="T576">
        <f t="shared" si="73"/>
        <v>7.304488830485509E-3</v>
      </c>
    </row>
    <row r="577" spans="1:20" x14ac:dyDescent="0.3">
      <c r="A577" s="2" t="s">
        <v>1165</v>
      </c>
      <c r="B577" s="4" t="s">
        <v>1138</v>
      </c>
      <c r="C577" s="2" t="s">
        <v>1114</v>
      </c>
      <c r="D577" s="2" t="s">
        <v>52</v>
      </c>
      <c r="E577">
        <v>527340.41673333326</v>
      </c>
      <c r="F577">
        <v>172722.14686666665</v>
      </c>
      <c r="G577">
        <v>30.489666666666665</v>
      </c>
      <c r="J577" s="5" t="s">
        <v>1139</v>
      </c>
      <c r="K577" s="5" t="s">
        <v>1140</v>
      </c>
      <c r="L577" s="5" t="s">
        <v>1137</v>
      </c>
      <c r="M577" s="3">
        <f t="shared" si="66"/>
        <v>-1.9233333296142519E-2</v>
      </c>
      <c r="N577" s="3">
        <f t="shared" si="67"/>
        <v>-1.4466666645603254E-2</v>
      </c>
      <c r="O577" s="3">
        <f t="shared" si="68"/>
        <v>9.2033333333336742E-2</v>
      </c>
      <c r="P577">
        <f t="shared" si="69"/>
        <v>3.6992110968050442E-4</v>
      </c>
      <c r="Q577">
        <f t="shared" si="70"/>
        <v>2.0928444383500972E-4</v>
      </c>
      <c r="R577">
        <f t="shared" si="71"/>
        <v>8.4701344444450717E-3</v>
      </c>
      <c r="S577">
        <f t="shared" si="72"/>
        <v>5.7920555351551419E-4</v>
      </c>
      <c r="T577">
        <f t="shared" si="73"/>
        <v>2.406668970829836E-2</v>
      </c>
    </row>
    <row r="578" spans="1:20" x14ac:dyDescent="0.3">
      <c r="A578" s="2" t="s">
        <v>1165</v>
      </c>
      <c r="B578" s="4" t="s">
        <v>1138</v>
      </c>
      <c r="C578" s="2" t="s">
        <v>1120</v>
      </c>
      <c r="D578" s="4" t="s">
        <v>423</v>
      </c>
      <c r="E578">
        <v>527340.41756666673</v>
      </c>
      <c r="F578">
        <v>172722.13033333331</v>
      </c>
      <c r="G578">
        <v>30.620999999999999</v>
      </c>
      <c r="J578" s="5" t="s">
        <v>1139</v>
      </c>
      <c r="K578" s="5" t="s">
        <v>1140</v>
      </c>
      <c r="L578" s="5" t="s">
        <v>1137</v>
      </c>
      <c r="M578" s="3">
        <f t="shared" si="66"/>
        <v>-2.0066666766069829E-2</v>
      </c>
      <c r="N578" s="3">
        <f t="shared" si="67"/>
        <v>2.0666666969191283E-3</v>
      </c>
      <c r="O578" s="3">
        <f t="shared" si="68"/>
        <v>3.9299999999997226E-2</v>
      </c>
      <c r="P578">
        <f t="shared" si="69"/>
        <v>4.0267111510049137E-4</v>
      </c>
      <c r="Q578">
        <f t="shared" si="70"/>
        <v>4.2711112361546201E-6</v>
      </c>
      <c r="R578">
        <f t="shared" si="71"/>
        <v>1.544489999999782E-3</v>
      </c>
      <c r="S578">
        <f t="shared" si="72"/>
        <v>4.0694222633664602E-4</v>
      </c>
      <c r="T578">
        <f t="shared" si="73"/>
        <v>2.017280908392894E-2</v>
      </c>
    </row>
    <row r="579" spans="1:20" x14ac:dyDescent="0.3">
      <c r="A579" s="2" t="s">
        <v>1165</v>
      </c>
      <c r="B579" s="4" t="s">
        <v>1138</v>
      </c>
      <c r="C579" s="2" t="s">
        <v>1120</v>
      </c>
      <c r="D579" s="4" t="s">
        <v>1019</v>
      </c>
      <c r="E579">
        <v>527340.41949999996</v>
      </c>
      <c r="F579">
        <v>172722.12966666665</v>
      </c>
      <c r="G579">
        <v>30.624333333333336</v>
      </c>
      <c r="J579" s="5" t="s">
        <v>1139</v>
      </c>
      <c r="K579" s="5" t="s">
        <v>1140</v>
      </c>
      <c r="L579" s="5" t="s">
        <v>1137</v>
      </c>
      <c r="M579" s="3">
        <f t="shared" ref="M579:M642" si="74">J579-E579</f>
        <v>-2.1999999997206032E-2</v>
      </c>
      <c r="N579" s="3">
        <f t="shared" ref="N579:N642" si="75">K579-F579</f>
        <v>2.7333333564456552E-3</v>
      </c>
      <c r="O579" s="3">
        <f t="shared" ref="O579:O642" si="76">ABS(L579-G579)</f>
        <v>4.2633333333334633E-2</v>
      </c>
      <c r="P579">
        <f t="shared" ref="P579:P642" si="77">POWER(M579,2)</f>
        <v>4.8399999987706541E-4</v>
      </c>
      <c r="Q579">
        <f t="shared" ref="Q579:Q642" si="78">POWER(N579,2)</f>
        <v>7.4711112374584713E-6</v>
      </c>
      <c r="R579">
        <f t="shared" ref="R579:R642" si="79">POWER(O579,2)</f>
        <v>1.8176011111112219E-3</v>
      </c>
      <c r="S579">
        <f t="shared" ref="S579:S642" si="80">P579+Q579</f>
        <v>4.9147111111452388E-4</v>
      </c>
      <c r="T579">
        <f t="shared" ref="T579:T642" si="81">SQRT(S579)</f>
        <v>2.2169147730901246E-2</v>
      </c>
    </row>
    <row r="580" spans="1:20" x14ac:dyDescent="0.3">
      <c r="A580" s="2" t="s">
        <v>1165</v>
      </c>
      <c r="B580" s="2" t="s">
        <v>1141</v>
      </c>
      <c r="C580" s="2" t="s">
        <v>422</v>
      </c>
      <c r="D580" s="2" t="s">
        <v>1019</v>
      </c>
      <c r="E580">
        <v>603553.02729999996</v>
      </c>
      <c r="F580">
        <v>273458.27860000002</v>
      </c>
      <c r="G580">
        <v>302.76679999999999</v>
      </c>
      <c r="J580">
        <v>603553.03799999994</v>
      </c>
      <c r="K580">
        <v>273458.29470000003</v>
      </c>
      <c r="L580">
        <v>302.60700000000003</v>
      </c>
      <c r="M580" s="3">
        <f t="shared" si="74"/>
        <v>1.0699999984353781E-2</v>
      </c>
      <c r="N580" s="3">
        <f t="shared" si="75"/>
        <v>1.6100000008009374E-2</v>
      </c>
      <c r="O580" s="3">
        <f t="shared" si="76"/>
        <v>0.15979999999996153</v>
      </c>
      <c r="P580">
        <f t="shared" si="77"/>
        <v>1.1448999966517091E-4</v>
      </c>
      <c r="Q580">
        <f t="shared" si="78"/>
        <v>2.5921000025790183E-4</v>
      </c>
      <c r="R580">
        <f t="shared" si="79"/>
        <v>2.5536039999987704E-2</v>
      </c>
      <c r="S580">
        <f t="shared" si="80"/>
        <v>3.7369999992307274E-4</v>
      </c>
      <c r="T580">
        <f t="shared" si="81"/>
        <v>1.9331321732439111E-2</v>
      </c>
    </row>
    <row r="581" spans="1:20" x14ac:dyDescent="0.3">
      <c r="A581" s="2" t="s">
        <v>1165</v>
      </c>
      <c r="B581" s="2" t="s">
        <v>1141</v>
      </c>
      <c r="C581" s="2" t="s">
        <v>422</v>
      </c>
      <c r="D581" s="2" t="s">
        <v>1019</v>
      </c>
      <c r="E581">
        <v>603553.02639999997</v>
      </c>
      <c r="F581">
        <v>273458.28029999998</v>
      </c>
      <c r="G581">
        <v>302.77330000000001</v>
      </c>
      <c r="J581">
        <v>603553.03799999994</v>
      </c>
      <c r="K581">
        <v>273458.29470000003</v>
      </c>
      <c r="L581">
        <v>302.60700000000003</v>
      </c>
      <c r="M581" s="3">
        <f t="shared" si="74"/>
        <v>1.1599999968893826E-2</v>
      </c>
      <c r="N581" s="3">
        <f t="shared" si="75"/>
        <v>1.4400000043679029E-2</v>
      </c>
      <c r="O581" s="3">
        <f t="shared" si="76"/>
        <v>0.16629999999997835</v>
      </c>
      <c r="P581">
        <f t="shared" si="77"/>
        <v>1.3455999927833675E-4</v>
      </c>
      <c r="Q581">
        <f t="shared" si="78"/>
        <v>2.0736000125795603E-4</v>
      </c>
      <c r="R581">
        <f t="shared" si="79"/>
        <v>2.7655689999992801E-2</v>
      </c>
      <c r="S581">
        <f t="shared" si="80"/>
        <v>3.419200005362928E-4</v>
      </c>
      <c r="T581">
        <f t="shared" si="81"/>
        <v>1.8491078944623346E-2</v>
      </c>
    </row>
    <row r="582" spans="1:20" x14ac:dyDescent="0.3">
      <c r="A582" s="2" t="s">
        <v>1165</v>
      </c>
      <c r="B582" s="2" t="s">
        <v>1141</v>
      </c>
      <c r="C582" s="2" t="s">
        <v>422</v>
      </c>
      <c r="D582" s="2" t="s">
        <v>1019</v>
      </c>
      <c r="E582">
        <v>603553.0257</v>
      </c>
      <c r="F582">
        <v>273458.28210000001</v>
      </c>
      <c r="G582">
        <v>302.77929999999998</v>
      </c>
      <c r="J582">
        <v>603553.03799999994</v>
      </c>
      <c r="K582">
        <v>273458.29470000003</v>
      </c>
      <c r="L582">
        <v>302.60700000000003</v>
      </c>
      <c r="M582" s="3">
        <f t="shared" si="74"/>
        <v>1.2299999943934381E-2</v>
      </c>
      <c r="N582" s="3">
        <f t="shared" si="75"/>
        <v>1.2600000016391277E-2</v>
      </c>
      <c r="O582" s="3">
        <f t="shared" si="76"/>
        <v>0.17229999999995016</v>
      </c>
      <c r="P582">
        <f t="shared" si="77"/>
        <v>1.5128999862078576E-4</v>
      </c>
      <c r="Q582">
        <f t="shared" si="78"/>
        <v>1.5876000041306019E-4</v>
      </c>
      <c r="R582">
        <f t="shared" si="79"/>
        <v>2.9687289999982824E-2</v>
      </c>
      <c r="S582">
        <f t="shared" si="80"/>
        <v>3.1004999903384595E-4</v>
      </c>
      <c r="T582">
        <f t="shared" si="81"/>
        <v>1.7608236681560308E-2</v>
      </c>
    </row>
    <row r="583" spans="1:20" x14ac:dyDescent="0.3">
      <c r="A583" s="2" t="s">
        <v>1165</v>
      </c>
      <c r="B583" s="2" t="s">
        <v>1141</v>
      </c>
      <c r="C583" s="2" t="s">
        <v>422</v>
      </c>
      <c r="D583" s="2" t="s">
        <v>423</v>
      </c>
      <c r="E583">
        <v>603553.02509999997</v>
      </c>
      <c r="F583">
        <v>273458.28580000001</v>
      </c>
      <c r="G583">
        <v>302.78030000000001</v>
      </c>
      <c r="J583">
        <v>603553.03799999994</v>
      </c>
      <c r="K583">
        <v>273458.29470000003</v>
      </c>
      <c r="L583">
        <v>302.60700000000003</v>
      </c>
      <c r="M583" s="3">
        <f t="shared" si="74"/>
        <v>1.2899999972432852E-2</v>
      </c>
      <c r="N583" s="3">
        <f t="shared" si="75"/>
        <v>8.9000000152736902E-3</v>
      </c>
      <c r="O583" s="3">
        <f t="shared" si="76"/>
        <v>0.17329999999998336</v>
      </c>
      <c r="P583">
        <f t="shared" si="77"/>
        <v>1.6640999928876758E-4</v>
      </c>
      <c r="Q583">
        <f t="shared" si="78"/>
        <v>7.9210000271871686E-5</v>
      </c>
      <c r="R583">
        <f t="shared" si="79"/>
        <v>3.003288999999423E-2</v>
      </c>
      <c r="S583">
        <f t="shared" si="80"/>
        <v>2.4561999956063926E-4</v>
      </c>
      <c r="T583">
        <f t="shared" si="81"/>
        <v>1.5672268488021741E-2</v>
      </c>
    </row>
    <row r="584" spans="1:20" x14ac:dyDescent="0.3">
      <c r="A584" s="2" t="s">
        <v>1165</v>
      </c>
      <c r="B584" s="2" t="s">
        <v>1141</v>
      </c>
      <c r="C584" s="2" t="s">
        <v>422</v>
      </c>
      <c r="D584" s="2" t="s">
        <v>423</v>
      </c>
      <c r="E584">
        <v>603553.02489999996</v>
      </c>
      <c r="F584">
        <v>273458.28499999997</v>
      </c>
      <c r="G584">
        <v>302.78429999999997</v>
      </c>
      <c r="J584">
        <v>603553.03799999994</v>
      </c>
      <c r="K584">
        <v>273458.29470000003</v>
      </c>
      <c r="L584">
        <v>302.60700000000003</v>
      </c>
      <c r="M584" s="3">
        <f t="shared" si="74"/>
        <v>1.3099999981932342E-2</v>
      </c>
      <c r="N584" s="3">
        <f t="shared" si="75"/>
        <v>9.7000000532716513E-3</v>
      </c>
      <c r="O584" s="3">
        <f t="shared" si="76"/>
        <v>0.17729999999994561</v>
      </c>
      <c r="P584">
        <f t="shared" si="77"/>
        <v>1.7160999952662735E-4</v>
      </c>
      <c r="Q584">
        <f t="shared" si="78"/>
        <v>9.4090001033470037E-5</v>
      </c>
      <c r="R584">
        <f t="shared" si="79"/>
        <v>3.1435289999980714E-2</v>
      </c>
      <c r="S584">
        <f t="shared" si="80"/>
        <v>2.6570000056009739E-4</v>
      </c>
      <c r="T584">
        <f t="shared" si="81"/>
        <v>1.6300306762760553E-2</v>
      </c>
    </row>
    <row r="585" spans="1:20" x14ac:dyDescent="0.3">
      <c r="A585" s="2" t="s">
        <v>1165</v>
      </c>
      <c r="B585" s="2" t="s">
        <v>1141</v>
      </c>
      <c r="C585" s="2" t="s">
        <v>422</v>
      </c>
      <c r="D585" s="2" t="s">
        <v>423</v>
      </c>
      <c r="E585">
        <v>603553.02529999998</v>
      </c>
      <c r="F585">
        <v>273458.28450000001</v>
      </c>
      <c r="G585">
        <v>302.78680000000003</v>
      </c>
      <c r="J585">
        <v>603553.03799999994</v>
      </c>
      <c r="K585">
        <v>273458.29470000003</v>
      </c>
      <c r="L585">
        <v>302.60700000000003</v>
      </c>
      <c r="M585" s="3">
        <f t="shared" si="74"/>
        <v>1.2699999962933362E-2</v>
      </c>
      <c r="N585" s="3">
        <f t="shared" si="75"/>
        <v>1.0200000018812716E-2</v>
      </c>
      <c r="O585" s="3">
        <f t="shared" si="76"/>
        <v>0.17980000000000018</v>
      </c>
      <c r="P585">
        <f t="shared" si="77"/>
        <v>1.6128999905850737E-4</v>
      </c>
      <c r="Q585">
        <f t="shared" si="78"/>
        <v>1.0404000038377941E-4</v>
      </c>
      <c r="R585">
        <f t="shared" si="79"/>
        <v>3.2328040000000065E-2</v>
      </c>
      <c r="S585">
        <f t="shared" si="80"/>
        <v>2.6532999944228676E-4</v>
      </c>
      <c r="T585">
        <f t="shared" si="81"/>
        <v>1.6288953294864798E-2</v>
      </c>
    </row>
    <row r="586" spans="1:20" x14ac:dyDescent="0.3">
      <c r="A586" s="2" t="s">
        <v>1165</v>
      </c>
      <c r="B586" s="2" t="s">
        <v>1141</v>
      </c>
      <c r="C586" s="2" t="s">
        <v>20</v>
      </c>
      <c r="D586" s="2" t="s">
        <v>30</v>
      </c>
      <c r="E586">
        <v>603553.03899999999</v>
      </c>
      <c r="F586">
        <v>273458.29560000001</v>
      </c>
      <c r="G586">
        <v>302.61309999999997</v>
      </c>
      <c r="J586">
        <v>603553.03799999994</v>
      </c>
      <c r="K586">
        <v>273458.29470000003</v>
      </c>
      <c r="L586">
        <v>302.60700000000003</v>
      </c>
      <c r="M586" s="3">
        <f t="shared" si="74"/>
        <v>-1.0000000474974513E-3</v>
      </c>
      <c r="N586" s="3">
        <f t="shared" si="75"/>
        <v>-8.9999998454004526E-4</v>
      </c>
      <c r="O586" s="3">
        <f t="shared" si="76"/>
        <v>6.0999999999467036E-3</v>
      </c>
      <c r="P586">
        <f t="shared" si="77"/>
        <v>1.0000000949949049E-6</v>
      </c>
      <c r="Q586">
        <f t="shared" si="78"/>
        <v>8.0999997217208171E-7</v>
      </c>
      <c r="R586">
        <f t="shared" si="79"/>
        <v>3.7209999999349781E-5</v>
      </c>
      <c r="S586">
        <f t="shared" si="80"/>
        <v>1.8100000671669866E-6</v>
      </c>
      <c r="T586">
        <f t="shared" si="81"/>
        <v>1.3453624296697847E-3</v>
      </c>
    </row>
    <row r="587" spans="1:20" x14ac:dyDescent="0.3">
      <c r="A587" s="2" t="s">
        <v>1165</v>
      </c>
      <c r="B587" s="2" t="s">
        <v>1141</v>
      </c>
      <c r="C587" s="2" t="s">
        <v>20</v>
      </c>
      <c r="D587" s="2" t="s">
        <v>30</v>
      </c>
      <c r="E587">
        <v>603553.03949999996</v>
      </c>
      <c r="F587">
        <v>273458.29369999998</v>
      </c>
      <c r="G587">
        <v>302.62630000000001</v>
      </c>
      <c r="J587">
        <v>603553.03799999994</v>
      </c>
      <c r="K587">
        <v>273458.29470000003</v>
      </c>
      <c r="L587">
        <v>302.60700000000003</v>
      </c>
      <c r="M587" s="3">
        <f t="shared" si="74"/>
        <v>-1.500000013038516E-3</v>
      </c>
      <c r="N587" s="3">
        <f t="shared" si="75"/>
        <v>1.0000000474974513E-3</v>
      </c>
      <c r="O587" s="3">
        <f t="shared" si="76"/>
        <v>1.9299999999986994E-2</v>
      </c>
      <c r="P587">
        <f t="shared" si="77"/>
        <v>2.2500000391155483E-6</v>
      </c>
      <c r="Q587">
        <f t="shared" si="78"/>
        <v>1.0000000949949049E-6</v>
      </c>
      <c r="R587">
        <f t="shared" si="79"/>
        <v>3.7248999999949797E-4</v>
      </c>
      <c r="S587">
        <f t="shared" si="80"/>
        <v>3.2500001341104532E-6</v>
      </c>
      <c r="T587">
        <f t="shared" si="81"/>
        <v>1.8027756749275415E-3</v>
      </c>
    </row>
    <row r="588" spans="1:20" x14ac:dyDescent="0.3">
      <c r="A588" s="2" t="s">
        <v>1165</v>
      </c>
      <c r="B588" s="2" t="s">
        <v>1141</v>
      </c>
      <c r="C588" s="2" t="s">
        <v>20</v>
      </c>
      <c r="D588" s="2" t="s">
        <v>30</v>
      </c>
      <c r="E588">
        <v>603553.04240000003</v>
      </c>
      <c r="F588">
        <v>273458.29680000001</v>
      </c>
      <c r="G588">
        <v>302.61959999999999</v>
      </c>
      <c r="J588">
        <v>603553.03799999994</v>
      </c>
      <c r="K588">
        <v>273458.29470000003</v>
      </c>
      <c r="L588">
        <v>302.60700000000003</v>
      </c>
      <c r="M588" s="3">
        <f t="shared" si="74"/>
        <v>-4.4000000925734639E-3</v>
      </c>
      <c r="N588" s="3">
        <f t="shared" si="75"/>
        <v>-2.0999999833293259E-3</v>
      </c>
      <c r="O588" s="3">
        <f t="shared" si="76"/>
        <v>1.2599999999963529E-2</v>
      </c>
      <c r="P588">
        <f t="shared" si="77"/>
        <v>1.9360000814646491E-5</v>
      </c>
      <c r="Q588">
        <f t="shared" si="78"/>
        <v>4.4099999299831691E-6</v>
      </c>
      <c r="R588">
        <f t="shared" si="79"/>
        <v>1.5875999999908093E-4</v>
      </c>
      <c r="S588">
        <f t="shared" si="80"/>
        <v>2.377000074462966E-5</v>
      </c>
      <c r="T588">
        <f t="shared" si="81"/>
        <v>4.8754487736648059E-3</v>
      </c>
    </row>
    <row r="589" spans="1:20" x14ac:dyDescent="0.3">
      <c r="A589" s="2" t="s">
        <v>1165</v>
      </c>
      <c r="B589" s="2" t="s">
        <v>1141</v>
      </c>
      <c r="C589" s="2" t="s">
        <v>20</v>
      </c>
      <c r="D589" s="2" t="s">
        <v>1112</v>
      </c>
      <c r="E589">
        <v>603553.03799999994</v>
      </c>
      <c r="F589">
        <v>273458.28580000001</v>
      </c>
      <c r="G589">
        <v>302.6046</v>
      </c>
      <c r="J589">
        <v>603553.03799999994</v>
      </c>
      <c r="K589">
        <v>273458.29470000003</v>
      </c>
      <c r="L589">
        <v>302.60700000000003</v>
      </c>
      <c r="M589" s="3">
        <f t="shared" si="74"/>
        <v>0</v>
      </c>
      <c r="N589" s="3">
        <f t="shared" si="75"/>
        <v>8.9000000152736902E-3</v>
      </c>
      <c r="O589" s="3">
        <f t="shared" si="76"/>
        <v>2.4000000000228283E-3</v>
      </c>
      <c r="P589">
        <f t="shared" si="77"/>
        <v>0</v>
      </c>
      <c r="Q589">
        <f t="shared" si="78"/>
        <v>7.9210000271871686E-5</v>
      </c>
      <c r="R589">
        <f t="shared" si="79"/>
        <v>5.7600000001095763E-6</v>
      </c>
      <c r="S589">
        <f t="shared" si="80"/>
        <v>7.9210000271871686E-5</v>
      </c>
      <c r="T589">
        <f t="shared" si="81"/>
        <v>8.9000000152736902E-3</v>
      </c>
    </row>
    <row r="590" spans="1:20" x14ac:dyDescent="0.3">
      <c r="A590" s="2" t="s">
        <v>1165</v>
      </c>
      <c r="B590" s="2" t="s">
        <v>1141</v>
      </c>
      <c r="C590" s="2" t="s">
        <v>20</v>
      </c>
      <c r="D590" s="2" t="s">
        <v>1112</v>
      </c>
      <c r="E590">
        <v>603553.03810000001</v>
      </c>
      <c r="F590">
        <v>273458.2928</v>
      </c>
      <c r="G590">
        <v>302.60730000000001</v>
      </c>
      <c r="J590">
        <v>603553.03799999994</v>
      </c>
      <c r="K590">
        <v>273458.29470000003</v>
      </c>
      <c r="L590">
        <v>302.60700000000003</v>
      </c>
      <c r="M590" s="3">
        <f t="shared" si="74"/>
        <v>-1.0000006295740604E-4</v>
      </c>
      <c r="N590" s="3">
        <f t="shared" si="75"/>
        <v>1.9000000320374966E-3</v>
      </c>
      <c r="O590" s="3">
        <f t="shared" si="76"/>
        <v>2.9999999998153726E-4</v>
      </c>
      <c r="P590">
        <f t="shared" si="77"/>
        <v>1.0000012591485172E-8</v>
      </c>
      <c r="Q590">
        <f t="shared" si="78"/>
        <v>3.610000121742488E-6</v>
      </c>
      <c r="R590">
        <f t="shared" si="79"/>
        <v>8.9999999988922356E-8</v>
      </c>
      <c r="S590">
        <f t="shared" si="80"/>
        <v>3.6200001343339732E-6</v>
      </c>
      <c r="T590">
        <f t="shared" si="81"/>
        <v>1.9026297943462289E-3</v>
      </c>
    </row>
    <row r="591" spans="1:20" x14ac:dyDescent="0.3">
      <c r="A591" s="2" t="s">
        <v>1165</v>
      </c>
      <c r="B591" s="2" t="s">
        <v>1141</v>
      </c>
      <c r="C591" s="2" t="s">
        <v>20</v>
      </c>
      <c r="D591" s="2" t="s">
        <v>1112</v>
      </c>
      <c r="E591">
        <v>603553.03220000002</v>
      </c>
      <c r="F591">
        <v>273458.29489999998</v>
      </c>
      <c r="G591">
        <v>302.61829999999998</v>
      </c>
      <c r="J591">
        <v>603553.03799999994</v>
      </c>
      <c r="K591">
        <v>273458.29470000003</v>
      </c>
      <c r="L591">
        <v>302.60700000000003</v>
      </c>
      <c r="M591" s="3">
        <f t="shared" si="74"/>
        <v>5.7999999262392521E-3</v>
      </c>
      <c r="N591" s="3">
        <f t="shared" si="75"/>
        <v>-1.9999995129182935E-4</v>
      </c>
      <c r="O591" s="3">
        <f t="shared" si="76"/>
        <v>1.1299999999948795E-2</v>
      </c>
      <c r="P591">
        <f t="shared" si="77"/>
        <v>3.363999914437533E-5</v>
      </c>
      <c r="Q591">
        <f t="shared" si="78"/>
        <v>3.9999980516734112E-8</v>
      </c>
      <c r="R591">
        <f t="shared" si="79"/>
        <v>1.2768999999884277E-4</v>
      </c>
      <c r="S591">
        <f t="shared" si="80"/>
        <v>3.367999912489206E-5</v>
      </c>
      <c r="T591">
        <f t="shared" si="81"/>
        <v>5.8034471760232348E-3</v>
      </c>
    </row>
    <row r="592" spans="1:20" x14ac:dyDescent="0.3">
      <c r="A592" s="2" t="s">
        <v>1165</v>
      </c>
      <c r="B592" s="2" t="s">
        <v>1141</v>
      </c>
      <c r="C592" s="2" t="s">
        <v>20</v>
      </c>
      <c r="D592" s="2" t="s">
        <v>1142</v>
      </c>
      <c r="E592">
        <v>603553.04509999999</v>
      </c>
      <c r="F592">
        <v>273458.29200000002</v>
      </c>
      <c r="G592">
        <v>302.63490000000002</v>
      </c>
      <c r="J592">
        <v>603553.03799999994</v>
      </c>
      <c r="K592">
        <v>273458.29470000003</v>
      </c>
      <c r="L592">
        <v>302.60700000000003</v>
      </c>
      <c r="M592" s="3">
        <f t="shared" si="74"/>
        <v>-7.1000000461935997E-3</v>
      </c>
      <c r="N592" s="3">
        <f t="shared" si="75"/>
        <v>2.7000000118277967E-3</v>
      </c>
      <c r="O592" s="3">
        <f t="shared" si="76"/>
        <v>2.7899999999988268E-2</v>
      </c>
      <c r="P592">
        <f t="shared" si="77"/>
        <v>5.0410000655949118E-5</v>
      </c>
      <c r="Q592">
        <f t="shared" si="78"/>
        <v>7.2900000638701023E-6</v>
      </c>
      <c r="R592">
        <f t="shared" si="79"/>
        <v>7.7840999999934535E-4</v>
      </c>
      <c r="S592">
        <f t="shared" si="80"/>
        <v>5.7700000719819217E-5</v>
      </c>
      <c r="T592">
        <f t="shared" si="81"/>
        <v>7.5960516533143205E-3</v>
      </c>
    </row>
    <row r="593" spans="1:20" x14ac:dyDescent="0.3">
      <c r="A593" s="2" t="s">
        <v>1165</v>
      </c>
      <c r="B593" s="2" t="s">
        <v>1141</v>
      </c>
      <c r="C593" s="2" t="s">
        <v>20</v>
      </c>
      <c r="D593" s="2" t="s">
        <v>1142</v>
      </c>
      <c r="E593">
        <v>603553.04680000001</v>
      </c>
      <c r="F593">
        <v>273458.29029999999</v>
      </c>
      <c r="G593">
        <v>302.63310000000001</v>
      </c>
      <c r="J593">
        <v>603553.03799999994</v>
      </c>
      <c r="K593">
        <v>273458.29470000003</v>
      </c>
      <c r="L593">
        <v>302.60700000000003</v>
      </c>
      <c r="M593" s="3">
        <f t="shared" si="74"/>
        <v>-8.800000068731606E-3</v>
      </c>
      <c r="N593" s="3">
        <f t="shared" si="75"/>
        <v>4.400000034365803E-3</v>
      </c>
      <c r="O593" s="3">
        <f t="shared" si="76"/>
        <v>2.6099999999985357E-2</v>
      </c>
      <c r="P593">
        <f t="shared" si="77"/>
        <v>7.744000120967627E-5</v>
      </c>
      <c r="Q593">
        <f t="shared" si="78"/>
        <v>1.9360000302419068E-5</v>
      </c>
      <c r="R593">
        <f t="shared" si="79"/>
        <v>6.8120999999923566E-4</v>
      </c>
      <c r="S593">
        <f t="shared" si="80"/>
        <v>9.6800001512095335E-5</v>
      </c>
      <c r="T593">
        <f t="shared" si="81"/>
        <v>9.8386991778433453E-3</v>
      </c>
    </row>
    <row r="594" spans="1:20" x14ac:dyDescent="0.3">
      <c r="A594" s="2" t="s">
        <v>1165</v>
      </c>
      <c r="B594" s="2" t="s">
        <v>1141</v>
      </c>
      <c r="C594" s="2" t="s">
        <v>20</v>
      </c>
      <c r="D594" s="2" t="s">
        <v>1142</v>
      </c>
      <c r="E594">
        <v>603553.04280000005</v>
      </c>
      <c r="F594">
        <v>273458.29060000001</v>
      </c>
      <c r="G594">
        <v>302.62920000000003</v>
      </c>
      <c r="J594">
        <v>603553.03799999994</v>
      </c>
      <c r="K594">
        <v>273458.29470000003</v>
      </c>
      <c r="L594">
        <v>302.60700000000003</v>
      </c>
      <c r="M594" s="3">
        <f t="shared" si="74"/>
        <v>-4.8000001115724444E-3</v>
      </c>
      <c r="N594" s="3">
        <f t="shared" si="75"/>
        <v>4.1000000201165676E-3</v>
      </c>
      <c r="O594" s="3">
        <f t="shared" si="76"/>
        <v>2.2199999999997999E-2</v>
      </c>
      <c r="P594">
        <f t="shared" si="77"/>
        <v>2.3040001071095479E-5</v>
      </c>
      <c r="Q594">
        <f t="shared" si="78"/>
        <v>1.6810000164955855E-5</v>
      </c>
      <c r="R594">
        <f t="shared" si="79"/>
        <v>4.9283999999991113E-4</v>
      </c>
      <c r="S594">
        <f t="shared" si="80"/>
        <v>3.9850001236051334E-5</v>
      </c>
      <c r="T594">
        <f t="shared" si="81"/>
        <v>6.312685738736828E-3</v>
      </c>
    </row>
    <row r="595" spans="1:20" x14ac:dyDescent="0.3">
      <c r="A595" s="2" t="s">
        <v>1165</v>
      </c>
      <c r="B595" s="2" t="s">
        <v>1141</v>
      </c>
      <c r="C595" s="2" t="s">
        <v>20</v>
      </c>
      <c r="D595" s="2" t="s">
        <v>37</v>
      </c>
      <c r="E595">
        <v>603553.03339999996</v>
      </c>
      <c r="F595">
        <v>273458.29149999999</v>
      </c>
      <c r="G595">
        <v>302.65820000000002</v>
      </c>
      <c r="J595">
        <v>603553.03799999994</v>
      </c>
      <c r="K595">
        <v>273458.29470000003</v>
      </c>
      <c r="L595">
        <v>302.60700000000003</v>
      </c>
      <c r="M595" s="3">
        <f t="shared" si="74"/>
        <v>4.5999999856576324E-3</v>
      </c>
      <c r="N595" s="3">
        <f t="shared" si="75"/>
        <v>3.2000000355765224E-3</v>
      </c>
      <c r="O595" s="3">
        <f t="shared" si="76"/>
        <v>5.1199999999994361E-2</v>
      </c>
      <c r="P595">
        <f t="shared" si="77"/>
        <v>2.1159999868050218E-5</v>
      </c>
      <c r="Q595">
        <f t="shared" si="78"/>
        <v>1.0240000227689744E-5</v>
      </c>
      <c r="R595">
        <f t="shared" si="79"/>
        <v>2.6214399999994224E-3</v>
      </c>
      <c r="S595">
        <f t="shared" si="80"/>
        <v>3.1400000095739962E-5</v>
      </c>
      <c r="T595">
        <f t="shared" si="81"/>
        <v>5.6035702989915247E-3</v>
      </c>
    </row>
    <row r="596" spans="1:20" x14ac:dyDescent="0.3">
      <c r="A596" s="2" t="s">
        <v>1165</v>
      </c>
      <c r="B596" s="2" t="s">
        <v>1141</v>
      </c>
      <c r="C596" s="2" t="s">
        <v>20</v>
      </c>
      <c r="D596" s="2" t="s">
        <v>37</v>
      </c>
      <c r="E596">
        <v>603553.03430000006</v>
      </c>
      <c r="F596">
        <v>273458.29300000001</v>
      </c>
      <c r="G596">
        <v>302.6499</v>
      </c>
      <c r="J596">
        <v>603553.03799999994</v>
      </c>
      <c r="K596">
        <v>273458.29470000003</v>
      </c>
      <c r="L596">
        <v>302.60700000000003</v>
      </c>
      <c r="M596" s="3">
        <f t="shared" si="74"/>
        <v>3.6999998847022653E-3</v>
      </c>
      <c r="N596" s="3">
        <f t="shared" si="75"/>
        <v>1.7000000225380063E-3</v>
      </c>
      <c r="O596" s="3">
        <f t="shared" si="76"/>
        <v>4.2899999999974625E-2</v>
      </c>
      <c r="P596">
        <f t="shared" si="77"/>
        <v>1.3689999146796776E-5</v>
      </c>
      <c r="Q596">
        <f t="shared" si="78"/>
        <v>2.8900000766292219E-6</v>
      </c>
      <c r="R596">
        <f t="shared" si="79"/>
        <v>1.8404099999978229E-3</v>
      </c>
      <c r="S596">
        <f t="shared" si="80"/>
        <v>1.6579999223425998E-5</v>
      </c>
      <c r="T596">
        <f t="shared" si="81"/>
        <v>4.0718545189417071E-3</v>
      </c>
    </row>
    <row r="597" spans="1:20" x14ac:dyDescent="0.3">
      <c r="A597" s="2" t="s">
        <v>1165</v>
      </c>
      <c r="B597" s="2" t="s">
        <v>1141</v>
      </c>
      <c r="C597" s="2" t="s">
        <v>20</v>
      </c>
      <c r="D597" s="2" t="s">
        <v>37</v>
      </c>
      <c r="E597">
        <v>603553.0355</v>
      </c>
      <c r="F597">
        <v>273458.2916</v>
      </c>
      <c r="G597">
        <v>302.65089999999998</v>
      </c>
      <c r="J597">
        <v>603553.03799999994</v>
      </c>
      <c r="K597">
        <v>273458.29470000003</v>
      </c>
      <c r="L597">
        <v>302.60700000000003</v>
      </c>
      <c r="M597" s="3">
        <f t="shared" si="74"/>
        <v>2.4999999441206455E-3</v>
      </c>
      <c r="N597" s="3">
        <f t="shared" si="75"/>
        <v>3.1000000308267772E-3</v>
      </c>
      <c r="O597" s="3">
        <f t="shared" si="76"/>
        <v>4.3899999999950978E-2</v>
      </c>
      <c r="P597">
        <f t="shared" si="77"/>
        <v>6.2499997206032307E-6</v>
      </c>
      <c r="Q597">
        <f t="shared" si="78"/>
        <v>9.6100001911260197E-6</v>
      </c>
      <c r="R597">
        <f t="shared" si="79"/>
        <v>1.9272099999956959E-3</v>
      </c>
      <c r="S597">
        <f t="shared" si="80"/>
        <v>1.585999991172925E-5</v>
      </c>
      <c r="T597">
        <f t="shared" si="81"/>
        <v>3.9824615392655398E-3</v>
      </c>
    </row>
    <row r="598" spans="1:20" x14ac:dyDescent="0.3">
      <c r="A598" s="2" t="s">
        <v>1165</v>
      </c>
      <c r="B598" s="2" t="s">
        <v>1141</v>
      </c>
      <c r="C598" s="2" t="s">
        <v>20</v>
      </c>
      <c r="D598" s="2" t="s">
        <v>1143</v>
      </c>
      <c r="E598">
        <v>603553.03240000003</v>
      </c>
      <c r="F598">
        <v>273458.29369999998</v>
      </c>
      <c r="G598">
        <v>302.65879999999999</v>
      </c>
      <c r="J598">
        <v>603553.03799999994</v>
      </c>
      <c r="K598">
        <v>273458.29470000003</v>
      </c>
      <c r="L598">
        <v>302.60700000000003</v>
      </c>
      <c r="M598" s="3">
        <f t="shared" si="74"/>
        <v>5.5999999167397618E-3</v>
      </c>
      <c r="N598" s="3">
        <f t="shared" si="75"/>
        <v>1.0000000474974513E-3</v>
      </c>
      <c r="O598" s="3">
        <f t="shared" si="76"/>
        <v>5.1799999999957436E-2</v>
      </c>
      <c r="P598">
        <f t="shared" si="77"/>
        <v>3.1359999067485339E-5</v>
      </c>
      <c r="Q598">
        <f t="shared" si="78"/>
        <v>1.0000000949949049E-6</v>
      </c>
      <c r="R598">
        <f t="shared" si="79"/>
        <v>2.6832399999955903E-3</v>
      </c>
      <c r="S598">
        <f t="shared" si="80"/>
        <v>3.2359999162480244E-5</v>
      </c>
      <c r="T598">
        <f t="shared" si="81"/>
        <v>5.6885849877170895E-3</v>
      </c>
    </row>
    <row r="599" spans="1:20" x14ac:dyDescent="0.3">
      <c r="A599" s="2" t="s">
        <v>1165</v>
      </c>
      <c r="B599" s="2" t="s">
        <v>1141</v>
      </c>
      <c r="C599" s="2" t="s">
        <v>20</v>
      </c>
      <c r="D599" s="2" t="s">
        <v>1143</v>
      </c>
      <c r="E599">
        <v>603553.03040000005</v>
      </c>
      <c r="F599">
        <v>273458.29320000001</v>
      </c>
      <c r="G599">
        <v>302.66039999999998</v>
      </c>
      <c r="J599">
        <v>603553.03799999994</v>
      </c>
      <c r="K599">
        <v>273458.29470000003</v>
      </c>
      <c r="L599">
        <v>302.60700000000003</v>
      </c>
      <c r="M599" s="3">
        <f t="shared" si="74"/>
        <v>7.5999998953193426E-3</v>
      </c>
      <c r="N599" s="3">
        <f t="shared" si="75"/>
        <v>1.500000013038516E-3</v>
      </c>
      <c r="O599" s="3">
        <f t="shared" si="76"/>
        <v>5.3399999999953707E-2</v>
      </c>
      <c r="P599">
        <f t="shared" si="77"/>
        <v>5.7759998408854019E-5</v>
      </c>
      <c r="Q599">
        <f t="shared" si="78"/>
        <v>2.2500000391155483E-6</v>
      </c>
      <c r="R599">
        <f t="shared" si="79"/>
        <v>2.851559999995056E-3</v>
      </c>
      <c r="S599">
        <f t="shared" si="80"/>
        <v>6.0009998447969567E-5</v>
      </c>
      <c r="T599">
        <f t="shared" si="81"/>
        <v>7.746612062570938E-3</v>
      </c>
    </row>
    <row r="600" spans="1:20" x14ac:dyDescent="0.3">
      <c r="A600" s="2" t="s">
        <v>1165</v>
      </c>
      <c r="B600" s="2" t="s">
        <v>1141</v>
      </c>
      <c r="C600" s="2" t="s">
        <v>20</v>
      </c>
      <c r="D600" s="2" t="s">
        <v>1143</v>
      </c>
      <c r="E600">
        <v>603553.02910000004</v>
      </c>
      <c r="F600">
        <v>273458.29399999999</v>
      </c>
      <c r="G600">
        <v>302.65679999999998</v>
      </c>
      <c r="J600">
        <v>603553.03799999994</v>
      </c>
      <c r="K600">
        <v>273458.29470000003</v>
      </c>
      <c r="L600">
        <v>302.60700000000003</v>
      </c>
      <c r="M600" s="3">
        <f t="shared" si="74"/>
        <v>8.8999998988583684E-3</v>
      </c>
      <c r="N600" s="3">
        <f t="shared" si="75"/>
        <v>7.0000003324821591E-4</v>
      </c>
      <c r="O600" s="3">
        <f t="shared" si="76"/>
        <v>4.9799999999947886E-2</v>
      </c>
      <c r="P600">
        <f t="shared" si="77"/>
        <v>7.9209998199678968E-5</v>
      </c>
      <c r="Q600">
        <f t="shared" si="78"/>
        <v>4.9000004654750338E-7</v>
      </c>
      <c r="R600">
        <f t="shared" si="79"/>
        <v>2.4800399999948095E-3</v>
      </c>
      <c r="S600">
        <f t="shared" si="80"/>
        <v>7.9699998246226468E-5</v>
      </c>
      <c r="T600">
        <f t="shared" si="81"/>
        <v>8.9274855500429944E-3</v>
      </c>
    </row>
    <row r="601" spans="1:20" x14ac:dyDescent="0.3">
      <c r="A601" s="2" t="s">
        <v>1165</v>
      </c>
      <c r="B601" s="2" t="s">
        <v>1141</v>
      </c>
      <c r="C601" s="2" t="s">
        <v>51</v>
      </c>
      <c r="D601" s="2" t="s">
        <v>1144</v>
      </c>
      <c r="E601">
        <v>603553.02529999998</v>
      </c>
      <c r="F601">
        <v>273458.277</v>
      </c>
      <c r="G601">
        <v>302.61290000000002</v>
      </c>
      <c r="J601">
        <v>603553.03799999994</v>
      </c>
      <c r="K601">
        <v>273458.29470000003</v>
      </c>
      <c r="L601">
        <v>302.60700000000003</v>
      </c>
      <c r="M601" s="3">
        <f t="shared" si="74"/>
        <v>1.2699999962933362E-2</v>
      </c>
      <c r="N601" s="3">
        <f t="shared" si="75"/>
        <v>1.7700000025797635E-2</v>
      </c>
      <c r="O601" s="3">
        <f t="shared" si="76"/>
        <v>5.8999999999969077E-3</v>
      </c>
      <c r="P601">
        <f t="shared" si="77"/>
        <v>1.6128999905850737E-4</v>
      </c>
      <c r="Q601">
        <f t="shared" si="78"/>
        <v>3.1329000091323631E-4</v>
      </c>
      <c r="R601">
        <f t="shared" si="79"/>
        <v>3.480999999996351E-5</v>
      </c>
      <c r="S601">
        <f t="shared" si="80"/>
        <v>4.7457999997174369E-4</v>
      </c>
      <c r="T601">
        <f t="shared" si="81"/>
        <v>2.178485712534612E-2</v>
      </c>
    </row>
    <row r="602" spans="1:20" x14ac:dyDescent="0.3">
      <c r="A602" s="2" t="s">
        <v>1165</v>
      </c>
      <c r="B602" s="2" t="s">
        <v>1141</v>
      </c>
      <c r="C602" s="2" t="s">
        <v>51</v>
      </c>
      <c r="D602" s="2" t="s">
        <v>1144</v>
      </c>
      <c r="E602">
        <v>603553.01950000005</v>
      </c>
      <c r="F602">
        <v>273458.2843</v>
      </c>
      <c r="G602">
        <v>302.60809999999998</v>
      </c>
      <c r="J602">
        <v>603553.03799999994</v>
      </c>
      <c r="K602">
        <v>273458.29470000003</v>
      </c>
      <c r="L602">
        <v>302.60700000000003</v>
      </c>
      <c r="M602" s="3">
        <f t="shared" si="74"/>
        <v>1.8499999889172614E-2</v>
      </c>
      <c r="N602" s="3">
        <f t="shared" si="75"/>
        <v>1.0400000028312206E-2</v>
      </c>
      <c r="O602" s="3">
        <f t="shared" si="76"/>
        <v>1.0999999999512511E-3</v>
      </c>
      <c r="P602">
        <f t="shared" si="77"/>
        <v>3.422499958993867E-4</v>
      </c>
      <c r="Q602">
        <f t="shared" si="78"/>
        <v>1.0816000058889389E-4</v>
      </c>
      <c r="R602">
        <f t="shared" si="79"/>
        <v>1.2099999998927523E-6</v>
      </c>
      <c r="S602">
        <f t="shared" si="80"/>
        <v>4.5040999648828059E-4</v>
      </c>
      <c r="T602">
        <f t="shared" si="81"/>
        <v>2.122286494534328E-2</v>
      </c>
    </row>
    <row r="603" spans="1:20" x14ac:dyDescent="0.3">
      <c r="A603" s="2" t="s">
        <v>1165</v>
      </c>
      <c r="B603" s="2" t="s">
        <v>1141</v>
      </c>
      <c r="C603" s="2" t="s">
        <v>51</v>
      </c>
      <c r="D603" s="2" t="s">
        <v>1144</v>
      </c>
      <c r="E603">
        <v>603553.0148</v>
      </c>
      <c r="F603">
        <v>273458.28769999999</v>
      </c>
      <c r="G603">
        <v>302.60410000000002</v>
      </c>
      <c r="J603">
        <v>603553.03799999994</v>
      </c>
      <c r="K603">
        <v>273458.29470000003</v>
      </c>
      <c r="L603">
        <v>302.60700000000003</v>
      </c>
      <c r="M603" s="3">
        <f t="shared" si="74"/>
        <v>2.3199999937787652E-2</v>
      </c>
      <c r="N603" s="3">
        <f t="shared" si="75"/>
        <v>7.0000000414438546E-3</v>
      </c>
      <c r="O603" s="3">
        <f t="shared" si="76"/>
        <v>2.9000000000110049E-3</v>
      </c>
      <c r="P603">
        <f t="shared" si="77"/>
        <v>5.38239997113347E-4</v>
      </c>
      <c r="Q603">
        <f t="shared" si="78"/>
        <v>4.9000000580213962E-5</v>
      </c>
      <c r="R603">
        <f t="shared" si="79"/>
        <v>8.4100000000638281E-6</v>
      </c>
      <c r="S603">
        <f t="shared" si="80"/>
        <v>5.8723999769356094E-4</v>
      </c>
      <c r="T603">
        <f t="shared" si="81"/>
        <v>2.4233035255484627E-2</v>
      </c>
    </row>
    <row r="604" spans="1:20" x14ac:dyDescent="0.3">
      <c r="A604" s="2" t="s">
        <v>1165</v>
      </c>
      <c r="B604" s="2" t="s">
        <v>1141</v>
      </c>
      <c r="C604" s="2" t="s">
        <v>51</v>
      </c>
      <c r="D604" s="2" t="s">
        <v>30</v>
      </c>
      <c r="E604">
        <v>603553.0233</v>
      </c>
      <c r="F604">
        <v>273458.2966</v>
      </c>
      <c r="G604">
        <v>302.64280000000002</v>
      </c>
      <c r="J604">
        <v>603553.03799999994</v>
      </c>
      <c r="K604">
        <v>273458.29470000003</v>
      </c>
      <c r="L604">
        <v>302.60700000000003</v>
      </c>
      <c r="M604" s="3">
        <f t="shared" si="74"/>
        <v>1.4699999941512942E-2</v>
      </c>
      <c r="N604" s="3">
        <f t="shared" si="75"/>
        <v>-1.8999999738298357E-3</v>
      </c>
      <c r="O604" s="3">
        <f t="shared" si="76"/>
        <v>3.5799999999994725E-2</v>
      </c>
      <c r="P604">
        <f t="shared" si="77"/>
        <v>2.1608999828048051E-4</v>
      </c>
      <c r="Q604">
        <f t="shared" si="78"/>
        <v>3.6099999005533762E-6</v>
      </c>
      <c r="R604">
        <f t="shared" si="79"/>
        <v>1.2816399999996224E-3</v>
      </c>
      <c r="S604">
        <f t="shared" si="80"/>
        <v>2.1969999818103388E-4</v>
      </c>
      <c r="T604">
        <f t="shared" si="81"/>
        <v>1.4822280464929609E-2</v>
      </c>
    </row>
    <row r="605" spans="1:20" x14ac:dyDescent="0.3">
      <c r="A605" s="2" t="s">
        <v>1165</v>
      </c>
      <c r="B605" s="2" t="s">
        <v>1141</v>
      </c>
      <c r="C605" s="2" t="s">
        <v>51</v>
      </c>
      <c r="D605" s="2" t="s">
        <v>30</v>
      </c>
      <c r="E605">
        <v>603553.02670000005</v>
      </c>
      <c r="F605">
        <v>273458.30109999998</v>
      </c>
      <c r="G605">
        <v>302.65719999999999</v>
      </c>
      <c r="J605">
        <v>603553.03799999994</v>
      </c>
      <c r="K605">
        <v>273458.29470000003</v>
      </c>
      <c r="L605">
        <v>302.60700000000003</v>
      </c>
      <c r="M605" s="3">
        <f t="shared" si="74"/>
        <v>1.129999989643693E-2</v>
      </c>
      <c r="N605" s="3">
        <f t="shared" si="75"/>
        <v>-6.3999999547377229E-3</v>
      </c>
      <c r="O605" s="3">
        <f t="shared" si="76"/>
        <v>5.0199999999961165E-2</v>
      </c>
      <c r="P605">
        <f t="shared" si="77"/>
        <v>1.2768999765947462E-4</v>
      </c>
      <c r="Q605">
        <f t="shared" si="78"/>
        <v>4.0959999420642855E-5</v>
      </c>
      <c r="R605">
        <f t="shared" si="79"/>
        <v>2.5200399999961011E-3</v>
      </c>
      <c r="S605">
        <f t="shared" si="80"/>
        <v>1.6864999708011746E-4</v>
      </c>
      <c r="T605">
        <f t="shared" si="81"/>
        <v>1.2986531372160831E-2</v>
      </c>
    </row>
    <row r="606" spans="1:20" x14ac:dyDescent="0.3">
      <c r="A606" s="2" t="s">
        <v>1165</v>
      </c>
      <c r="B606" s="2" t="s">
        <v>1141</v>
      </c>
      <c r="C606" s="2" t="s">
        <v>51</v>
      </c>
      <c r="D606" s="2" t="s">
        <v>30</v>
      </c>
      <c r="E606">
        <v>603553.02650000004</v>
      </c>
      <c r="F606">
        <v>273458.30379999999</v>
      </c>
      <c r="G606">
        <v>302.65929999999997</v>
      </c>
      <c r="J606">
        <v>603553.03799999994</v>
      </c>
      <c r="K606">
        <v>273458.29470000003</v>
      </c>
      <c r="L606">
        <v>302.60700000000003</v>
      </c>
      <c r="M606" s="3">
        <f t="shared" si="74"/>
        <v>1.149999990593642E-2</v>
      </c>
      <c r="N606" s="3">
        <f t="shared" si="75"/>
        <v>-9.0999999665655196E-3</v>
      </c>
      <c r="O606" s="3">
        <f t="shared" si="76"/>
        <v>5.2299999999945612E-2</v>
      </c>
      <c r="P606">
        <f t="shared" si="77"/>
        <v>1.3224999783653765E-4</v>
      </c>
      <c r="Q606">
        <f t="shared" si="78"/>
        <v>8.2809999391492454E-5</v>
      </c>
      <c r="R606">
        <f t="shared" si="79"/>
        <v>2.735289999994311E-3</v>
      </c>
      <c r="S606">
        <f t="shared" si="80"/>
        <v>2.1505999722803011E-4</v>
      </c>
      <c r="T606">
        <f t="shared" si="81"/>
        <v>1.4664924044400302E-2</v>
      </c>
    </row>
    <row r="607" spans="1:20" x14ac:dyDescent="0.3">
      <c r="A607" s="2" t="s">
        <v>1165</v>
      </c>
      <c r="B607" s="2" t="s">
        <v>1141</v>
      </c>
      <c r="C607" s="2" t="s">
        <v>51</v>
      </c>
      <c r="D607" s="2" t="s">
        <v>1145</v>
      </c>
      <c r="E607">
        <v>603553.02430000005</v>
      </c>
      <c r="F607">
        <v>273458.30129999999</v>
      </c>
      <c r="G607">
        <v>302.65949999999998</v>
      </c>
      <c r="J607">
        <v>603553.03799999994</v>
      </c>
      <c r="K607">
        <v>273458.29470000003</v>
      </c>
      <c r="L607">
        <v>302.60700000000003</v>
      </c>
      <c r="M607" s="3">
        <f t="shared" si="74"/>
        <v>1.3699999894015491E-2</v>
      </c>
      <c r="N607" s="3">
        <f t="shared" si="75"/>
        <v>-6.5999999642372131E-3</v>
      </c>
      <c r="O607" s="3">
        <f t="shared" si="76"/>
        <v>5.2499999999952252E-2</v>
      </c>
      <c r="P607">
        <f t="shared" si="77"/>
        <v>1.8768999709602445E-4</v>
      </c>
      <c r="Q607">
        <f t="shared" si="78"/>
        <v>4.3559999527931215E-5</v>
      </c>
      <c r="R607">
        <f t="shared" si="79"/>
        <v>2.7562499999949862E-3</v>
      </c>
      <c r="S607">
        <f t="shared" si="80"/>
        <v>2.3124999662395567E-4</v>
      </c>
      <c r="T607">
        <f t="shared" si="81"/>
        <v>1.5206906214741895E-2</v>
      </c>
    </row>
    <row r="608" spans="1:20" x14ac:dyDescent="0.3">
      <c r="A608" s="2" t="s">
        <v>1165</v>
      </c>
      <c r="B608" s="2" t="s">
        <v>1141</v>
      </c>
      <c r="C608" s="2" t="s">
        <v>51</v>
      </c>
      <c r="D608" s="2" t="s">
        <v>1145</v>
      </c>
      <c r="E608">
        <v>603553.02390000003</v>
      </c>
      <c r="F608">
        <v>273458.30229999998</v>
      </c>
      <c r="G608">
        <v>302.66419999999999</v>
      </c>
      <c r="J608">
        <v>603553.03799999994</v>
      </c>
      <c r="K608">
        <v>273458.29470000003</v>
      </c>
      <c r="L608">
        <v>302.60700000000003</v>
      </c>
      <c r="M608" s="3">
        <f t="shared" si="74"/>
        <v>1.4099999913014472E-2</v>
      </c>
      <c r="N608" s="3">
        <f t="shared" si="75"/>
        <v>-7.5999999535270035E-3</v>
      </c>
      <c r="O608" s="3">
        <f t="shared" si="76"/>
        <v>5.7199999999966167E-2</v>
      </c>
      <c r="P608">
        <f t="shared" si="77"/>
        <v>1.9880999754700809E-4</v>
      </c>
      <c r="Q608">
        <f t="shared" si="78"/>
        <v>5.7759999293610452E-5</v>
      </c>
      <c r="R608">
        <f t="shared" si="79"/>
        <v>3.2718399999961296E-3</v>
      </c>
      <c r="S608">
        <f t="shared" si="80"/>
        <v>2.5656999684061852E-4</v>
      </c>
      <c r="T608">
        <f t="shared" si="81"/>
        <v>1.6017802497240954E-2</v>
      </c>
    </row>
    <row r="609" spans="1:20" x14ac:dyDescent="0.3">
      <c r="A609" s="2" t="s">
        <v>1165</v>
      </c>
      <c r="B609" s="2" t="s">
        <v>1141</v>
      </c>
      <c r="C609" s="2" t="s">
        <v>51</v>
      </c>
      <c r="D609" s="2" t="s">
        <v>1145</v>
      </c>
      <c r="E609">
        <v>603553.02229999995</v>
      </c>
      <c r="F609">
        <v>273458.30219999998</v>
      </c>
      <c r="G609">
        <v>302.66980000000001</v>
      </c>
      <c r="J609">
        <v>603553.03799999994</v>
      </c>
      <c r="K609">
        <v>273458.29470000003</v>
      </c>
      <c r="L609">
        <v>302.60700000000003</v>
      </c>
      <c r="M609" s="3">
        <f t="shared" si="74"/>
        <v>1.5699999989010394E-2</v>
      </c>
      <c r="N609" s="3">
        <f t="shared" si="75"/>
        <v>-7.4999999487772584E-3</v>
      </c>
      <c r="O609" s="3">
        <f t="shared" si="76"/>
        <v>6.2799999999981537E-2</v>
      </c>
      <c r="P609">
        <f t="shared" si="77"/>
        <v>2.4648999965492635E-4</v>
      </c>
      <c r="Q609">
        <f t="shared" si="78"/>
        <v>5.6249999231658879E-5</v>
      </c>
      <c r="R609">
        <f t="shared" si="79"/>
        <v>3.9438399999976812E-3</v>
      </c>
      <c r="S609">
        <f t="shared" si="80"/>
        <v>3.0273999888658521E-4</v>
      </c>
      <c r="T609">
        <f t="shared" si="81"/>
        <v>1.739942524586905E-2</v>
      </c>
    </row>
    <row r="610" spans="1:20" x14ac:dyDescent="0.3">
      <c r="A610" s="2" t="s">
        <v>1165</v>
      </c>
      <c r="B610" s="2" t="s">
        <v>1146</v>
      </c>
      <c r="C610" s="2" t="s">
        <v>51</v>
      </c>
      <c r="D610" s="2" t="s">
        <v>1147</v>
      </c>
      <c r="E610">
        <v>563570.30590000004</v>
      </c>
      <c r="F610">
        <v>245492.9253</v>
      </c>
      <c r="G610">
        <v>91.472700000000003</v>
      </c>
      <c r="J610" s="5" t="s">
        <v>1169</v>
      </c>
      <c r="K610" s="5" t="s">
        <v>1170</v>
      </c>
      <c r="L610" s="5" t="s">
        <v>1148</v>
      </c>
      <c r="M610" s="3">
        <f t="shared" si="74"/>
        <v>1.1999999405816197E-3</v>
      </c>
      <c r="N610" s="3">
        <f t="shared" si="75"/>
        <v>-4.4599999993806705E-2</v>
      </c>
      <c r="O610" s="3">
        <f t="shared" si="76"/>
        <v>6.9699999999997431E-2</v>
      </c>
      <c r="P610">
        <f t="shared" si="77"/>
        <v>1.4399998573958909E-6</v>
      </c>
      <c r="Q610">
        <f t="shared" si="78"/>
        <v>1.989159999447558E-3</v>
      </c>
      <c r="R610">
        <f t="shared" si="79"/>
        <v>4.8580899999996416E-3</v>
      </c>
      <c r="S610">
        <f t="shared" si="80"/>
        <v>1.9905999993049539E-3</v>
      </c>
      <c r="T610">
        <f t="shared" si="81"/>
        <v>4.4616140569360703E-2</v>
      </c>
    </row>
    <row r="611" spans="1:20" x14ac:dyDescent="0.3">
      <c r="A611" s="2" t="s">
        <v>1165</v>
      </c>
      <c r="B611" s="2" t="s">
        <v>1146</v>
      </c>
      <c r="C611" s="2" t="s">
        <v>51</v>
      </c>
      <c r="D611" s="2" t="s">
        <v>1147</v>
      </c>
      <c r="E611">
        <v>563570.30790000001</v>
      </c>
      <c r="F611">
        <v>245492.92180000001</v>
      </c>
      <c r="G611">
        <v>91.465199999999996</v>
      </c>
      <c r="J611" s="5" t="s">
        <v>1169</v>
      </c>
      <c r="K611" s="5" t="s">
        <v>1170</v>
      </c>
      <c r="L611" s="5" t="s">
        <v>1148</v>
      </c>
      <c r="M611" s="3">
        <f t="shared" si="74"/>
        <v>-8.0000003799796104E-4</v>
      </c>
      <c r="N611" s="3">
        <f t="shared" si="75"/>
        <v>-4.1100000002188608E-2</v>
      </c>
      <c r="O611" s="3">
        <f t="shared" si="76"/>
        <v>7.720000000000482E-2</v>
      </c>
      <c r="P611">
        <f t="shared" si="77"/>
        <v>6.4000006079673911E-7</v>
      </c>
      <c r="Q611">
        <f t="shared" si="78"/>
        <v>1.6892100001799036E-3</v>
      </c>
      <c r="R611">
        <f t="shared" si="79"/>
        <v>5.9598400000007443E-3</v>
      </c>
      <c r="S611">
        <f t="shared" si="80"/>
        <v>1.6898500002407004E-3</v>
      </c>
      <c r="T611">
        <f t="shared" si="81"/>
        <v>4.1107785153674969E-2</v>
      </c>
    </row>
    <row r="612" spans="1:20" x14ac:dyDescent="0.3">
      <c r="A612" s="2" t="s">
        <v>1165</v>
      </c>
      <c r="B612" s="2" t="s">
        <v>1146</v>
      </c>
      <c r="C612" s="2" t="s">
        <v>51</v>
      </c>
      <c r="D612" s="2" t="s">
        <v>1147</v>
      </c>
      <c r="E612">
        <v>563570.30579999997</v>
      </c>
      <c r="F612">
        <v>245492.92499999999</v>
      </c>
      <c r="G612">
        <v>91.468299999999999</v>
      </c>
      <c r="J612" s="5" t="s">
        <v>1169</v>
      </c>
      <c r="K612" s="5" t="s">
        <v>1170</v>
      </c>
      <c r="L612" s="5" t="s">
        <v>1148</v>
      </c>
      <c r="M612" s="3">
        <f t="shared" si="74"/>
        <v>1.3000000035390258E-3</v>
      </c>
      <c r="N612" s="3">
        <f t="shared" si="75"/>
        <v>-4.4299999979557469E-2</v>
      </c>
      <c r="O612" s="3">
        <f t="shared" si="76"/>
        <v>7.4100000000001387E-2</v>
      </c>
      <c r="P612">
        <f t="shared" si="77"/>
        <v>1.690000009201467E-6</v>
      </c>
      <c r="Q612">
        <f t="shared" si="78"/>
        <v>1.9624899981887916E-3</v>
      </c>
      <c r="R612">
        <f t="shared" si="79"/>
        <v>5.4908100000002052E-3</v>
      </c>
      <c r="S612">
        <f t="shared" si="80"/>
        <v>1.9641799981979929E-3</v>
      </c>
      <c r="T612">
        <f t="shared" si="81"/>
        <v>4.4319070367032663E-2</v>
      </c>
    </row>
    <row r="613" spans="1:20" x14ac:dyDescent="0.3">
      <c r="A613" s="2" t="s">
        <v>1165</v>
      </c>
      <c r="B613" s="2" t="s">
        <v>1146</v>
      </c>
      <c r="C613" s="2" t="s">
        <v>51</v>
      </c>
      <c r="D613" s="2" t="s">
        <v>30</v>
      </c>
      <c r="E613">
        <v>563570.31499999994</v>
      </c>
      <c r="F613">
        <v>245492.8732</v>
      </c>
      <c r="G613">
        <v>91.543700000000001</v>
      </c>
      <c r="J613" s="5" t="s">
        <v>1169</v>
      </c>
      <c r="K613" s="5" t="s">
        <v>1170</v>
      </c>
      <c r="L613" s="5" t="s">
        <v>1148</v>
      </c>
      <c r="M613" s="3">
        <f t="shared" si="74"/>
        <v>-7.8999999677762389E-3</v>
      </c>
      <c r="N613" s="3">
        <f t="shared" si="75"/>
        <v>7.5000000069849193E-3</v>
      </c>
      <c r="O613" s="3">
        <f t="shared" si="76"/>
        <v>1.300000000000523E-3</v>
      </c>
      <c r="P613">
        <f t="shared" si="77"/>
        <v>6.2409999490864576E-5</v>
      </c>
      <c r="Q613">
        <f t="shared" si="78"/>
        <v>5.6250000104773786E-5</v>
      </c>
      <c r="R613">
        <f t="shared" si="79"/>
        <v>1.6900000000013596E-6</v>
      </c>
      <c r="S613">
        <f t="shared" si="80"/>
        <v>1.1865999959563836E-4</v>
      </c>
      <c r="T613">
        <f t="shared" si="81"/>
        <v>1.0893117074356558E-2</v>
      </c>
    </row>
    <row r="614" spans="1:20" x14ac:dyDescent="0.3">
      <c r="A614" s="2" t="s">
        <v>1165</v>
      </c>
      <c r="B614" s="2" t="s">
        <v>1146</v>
      </c>
      <c r="C614" s="2" t="s">
        <v>51</v>
      </c>
      <c r="D614" s="2" t="s">
        <v>30</v>
      </c>
      <c r="E614">
        <v>563570.30759999994</v>
      </c>
      <c r="F614">
        <v>245492.8726</v>
      </c>
      <c r="G614">
        <v>91.533199999999994</v>
      </c>
      <c r="J614" s="5" t="s">
        <v>1169</v>
      </c>
      <c r="K614" s="5" t="s">
        <v>1170</v>
      </c>
      <c r="L614" s="5" t="s">
        <v>1148</v>
      </c>
      <c r="M614" s="3">
        <f t="shared" si="74"/>
        <v>-4.9999996554106474E-4</v>
      </c>
      <c r="N614" s="3">
        <f t="shared" si="75"/>
        <v>8.1000000063795596E-3</v>
      </c>
      <c r="O614" s="3">
        <f t="shared" si="76"/>
        <v>9.2000000000069804E-3</v>
      </c>
      <c r="P614">
        <f t="shared" si="77"/>
        <v>2.4999996554106593E-7</v>
      </c>
      <c r="Q614">
        <f t="shared" si="78"/>
        <v>6.5610000103348865E-5</v>
      </c>
      <c r="R614">
        <f t="shared" si="79"/>
        <v>8.464000000012844E-5</v>
      </c>
      <c r="S614">
        <f t="shared" si="80"/>
        <v>6.5860000068889931E-5</v>
      </c>
      <c r="T614">
        <f t="shared" si="81"/>
        <v>8.1154174303537784E-3</v>
      </c>
    </row>
    <row r="615" spans="1:20" x14ac:dyDescent="0.3">
      <c r="A615" s="2" t="s">
        <v>1165</v>
      </c>
      <c r="B615" s="2" t="s">
        <v>1146</v>
      </c>
      <c r="C615" s="2" t="s">
        <v>51</v>
      </c>
      <c r="D615" s="2" t="s">
        <v>30</v>
      </c>
      <c r="E615">
        <v>563570.31099999999</v>
      </c>
      <c r="F615">
        <v>245492.87239999999</v>
      </c>
      <c r="G615">
        <v>91.513199999999998</v>
      </c>
      <c r="J615" s="5" t="s">
        <v>1169</v>
      </c>
      <c r="K615" s="5" t="s">
        <v>1170</v>
      </c>
      <c r="L615" s="5" t="s">
        <v>1148</v>
      </c>
      <c r="M615" s="3">
        <f t="shared" si="74"/>
        <v>-3.9000000106170774E-3</v>
      </c>
      <c r="N615" s="3">
        <f t="shared" si="75"/>
        <v>8.3000000158790499E-3</v>
      </c>
      <c r="O615" s="3">
        <f t="shared" si="76"/>
        <v>2.9200000000003001E-2</v>
      </c>
      <c r="P615">
        <f t="shared" si="77"/>
        <v>1.5210000082813203E-5</v>
      </c>
      <c r="Q615">
        <f t="shared" si="78"/>
        <v>6.8890000263592234E-5</v>
      </c>
      <c r="R615">
        <f t="shared" si="79"/>
        <v>8.5264000000017531E-4</v>
      </c>
      <c r="S615">
        <f t="shared" si="80"/>
        <v>8.4100000346405438E-5</v>
      </c>
      <c r="T615">
        <f t="shared" si="81"/>
        <v>9.1706052333750277E-3</v>
      </c>
    </row>
    <row r="616" spans="1:20" x14ac:dyDescent="0.3">
      <c r="A616" s="2" t="s">
        <v>1165</v>
      </c>
      <c r="B616" s="2" t="s">
        <v>1146</v>
      </c>
      <c r="C616" s="2" t="s">
        <v>51</v>
      </c>
      <c r="D616" s="2" t="s">
        <v>1149</v>
      </c>
      <c r="E616">
        <v>563570.32290000003</v>
      </c>
      <c r="F616">
        <v>245492.8683</v>
      </c>
      <c r="G616">
        <v>91.531899999999993</v>
      </c>
      <c r="J616" s="5" t="s">
        <v>1169</v>
      </c>
      <c r="K616" s="5" t="s">
        <v>1170</v>
      </c>
      <c r="L616" s="5" t="s">
        <v>1148</v>
      </c>
      <c r="M616" s="3">
        <f t="shared" si="74"/>
        <v>-1.58000000519678E-2</v>
      </c>
      <c r="N616" s="3">
        <f t="shared" si="75"/>
        <v>1.2400000006891787E-2</v>
      </c>
      <c r="O616" s="3">
        <f t="shared" si="76"/>
        <v>1.0500000000007503E-2</v>
      </c>
      <c r="P616">
        <f t="shared" si="77"/>
        <v>2.4964000164218246E-4</v>
      </c>
      <c r="Q616">
        <f t="shared" si="78"/>
        <v>1.5376000017091631E-4</v>
      </c>
      <c r="R616">
        <f t="shared" si="79"/>
        <v>1.1025000000015757E-4</v>
      </c>
      <c r="S616">
        <f t="shared" si="80"/>
        <v>4.0340000181309876E-4</v>
      </c>
      <c r="T616">
        <f t="shared" si="81"/>
        <v>2.0084820183738233E-2</v>
      </c>
    </row>
    <row r="617" spans="1:20" x14ac:dyDescent="0.3">
      <c r="A617" s="2" t="s">
        <v>1165</v>
      </c>
      <c r="B617" s="2" t="s">
        <v>1146</v>
      </c>
      <c r="C617" s="2" t="s">
        <v>51</v>
      </c>
      <c r="D617" s="2" t="s">
        <v>1149</v>
      </c>
      <c r="E617">
        <v>563570.32490000001</v>
      </c>
      <c r="F617">
        <v>245492.8683</v>
      </c>
      <c r="G617">
        <v>91.523399999999995</v>
      </c>
      <c r="J617" s="5" t="s">
        <v>1169</v>
      </c>
      <c r="K617" s="5" t="s">
        <v>1170</v>
      </c>
      <c r="L617" s="5" t="s">
        <v>1148</v>
      </c>
      <c r="M617" s="3">
        <f t="shared" si="74"/>
        <v>-1.780000003054738E-2</v>
      </c>
      <c r="N617" s="3">
        <f t="shared" si="75"/>
        <v>1.2400000006891787E-2</v>
      </c>
      <c r="O617" s="3">
        <f t="shared" si="76"/>
        <v>1.9000000000005457E-2</v>
      </c>
      <c r="P617">
        <f t="shared" si="77"/>
        <v>3.1684000108748674E-4</v>
      </c>
      <c r="Q617">
        <f t="shared" si="78"/>
        <v>1.5376000017091631E-4</v>
      </c>
      <c r="R617">
        <f t="shared" si="79"/>
        <v>3.6100000000020735E-4</v>
      </c>
      <c r="S617">
        <f t="shared" si="80"/>
        <v>4.7060000125840305E-4</v>
      </c>
      <c r="T617">
        <f t="shared" si="81"/>
        <v>2.1693316972247537E-2</v>
      </c>
    </row>
    <row r="618" spans="1:20" x14ac:dyDescent="0.3">
      <c r="A618" s="2" t="s">
        <v>1165</v>
      </c>
      <c r="B618" s="2" t="s">
        <v>1146</v>
      </c>
      <c r="C618" s="2" t="s">
        <v>51</v>
      </c>
      <c r="D618" s="2" t="s">
        <v>1149</v>
      </c>
      <c r="E618">
        <v>563570.31649999996</v>
      </c>
      <c r="F618">
        <v>245492.8677</v>
      </c>
      <c r="G618">
        <v>91.532300000000006</v>
      </c>
      <c r="J618" s="5" t="s">
        <v>1169</v>
      </c>
      <c r="K618" s="5" t="s">
        <v>1170</v>
      </c>
      <c r="L618" s="5" t="s">
        <v>1148</v>
      </c>
      <c r="M618" s="3">
        <f t="shared" si="74"/>
        <v>-9.399999980814755E-3</v>
      </c>
      <c r="N618" s="3">
        <f t="shared" si="75"/>
        <v>1.3000000006286427E-2</v>
      </c>
      <c r="O618" s="3">
        <f t="shared" si="76"/>
        <v>1.0099999999994225E-2</v>
      </c>
      <c r="P618">
        <f t="shared" si="77"/>
        <v>8.8359999639317394E-5</v>
      </c>
      <c r="Q618">
        <f t="shared" si="78"/>
        <v>1.6900000016344712E-4</v>
      </c>
      <c r="R618">
        <f t="shared" si="79"/>
        <v>1.0200999999988333E-4</v>
      </c>
      <c r="S618">
        <f t="shared" si="80"/>
        <v>2.5735999980276453E-4</v>
      </c>
      <c r="T618">
        <f t="shared" si="81"/>
        <v>1.6042443697977079E-2</v>
      </c>
    </row>
    <row r="619" spans="1:20" x14ac:dyDescent="0.3">
      <c r="A619" s="2" t="s">
        <v>1165</v>
      </c>
      <c r="B619" s="2" t="s">
        <v>1146</v>
      </c>
      <c r="C619" s="2" t="s">
        <v>20</v>
      </c>
      <c r="D619" s="2" t="s">
        <v>30</v>
      </c>
      <c r="E619">
        <v>563570.30339999998</v>
      </c>
      <c r="F619">
        <v>245492.87599999999</v>
      </c>
      <c r="G619">
        <v>91.561000000000007</v>
      </c>
      <c r="J619" s="5" t="s">
        <v>1169</v>
      </c>
      <c r="K619" s="5" t="s">
        <v>1170</v>
      </c>
      <c r="L619" s="5" t="s">
        <v>1148</v>
      </c>
      <c r="M619" s="3">
        <f t="shared" si="74"/>
        <v>3.7000000011175871E-3</v>
      </c>
      <c r="N619" s="3">
        <f t="shared" si="75"/>
        <v>4.7000000195112079E-3</v>
      </c>
      <c r="O619" s="3">
        <f t="shared" si="76"/>
        <v>1.8600000000006389E-2</v>
      </c>
      <c r="P619">
        <f t="shared" si="77"/>
        <v>1.3690000008270144E-5</v>
      </c>
      <c r="Q619">
        <f t="shared" si="78"/>
        <v>2.2090000183405354E-5</v>
      </c>
      <c r="R619">
        <f t="shared" si="79"/>
        <v>3.4596000000023769E-4</v>
      </c>
      <c r="S619">
        <f t="shared" si="80"/>
        <v>3.5780000191675499E-5</v>
      </c>
      <c r="T619">
        <f t="shared" si="81"/>
        <v>5.9816385875172615E-3</v>
      </c>
    </row>
    <row r="620" spans="1:20" x14ac:dyDescent="0.3">
      <c r="A620" s="2" t="s">
        <v>1165</v>
      </c>
      <c r="B620" s="2" t="s">
        <v>1146</v>
      </c>
      <c r="C620" s="2" t="s">
        <v>20</v>
      </c>
      <c r="D620" s="2" t="s">
        <v>30</v>
      </c>
      <c r="E620">
        <v>563570.29139999999</v>
      </c>
      <c r="F620">
        <v>245492.88279999999</v>
      </c>
      <c r="G620">
        <v>91.564300000000003</v>
      </c>
      <c r="J620" s="5" t="s">
        <v>1169</v>
      </c>
      <c r="K620" s="5" t="s">
        <v>1170</v>
      </c>
      <c r="L620" s="5" t="s">
        <v>1148</v>
      </c>
      <c r="M620" s="3">
        <f t="shared" si="74"/>
        <v>1.5699999989010394E-2</v>
      </c>
      <c r="N620" s="3">
        <f t="shared" si="75"/>
        <v>-2.0999999833293259E-3</v>
      </c>
      <c r="O620" s="3">
        <f t="shared" si="76"/>
        <v>2.1900000000002251E-2</v>
      </c>
      <c r="P620">
        <f t="shared" si="77"/>
        <v>2.4648999965492635E-4</v>
      </c>
      <c r="Q620">
        <f t="shared" si="78"/>
        <v>4.4099999299831691E-6</v>
      </c>
      <c r="R620">
        <f t="shared" si="79"/>
        <v>4.7961000000009861E-4</v>
      </c>
      <c r="S620">
        <f t="shared" si="80"/>
        <v>2.5089999958490954E-4</v>
      </c>
      <c r="T620">
        <f t="shared" si="81"/>
        <v>1.5839823218234145E-2</v>
      </c>
    </row>
    <row r="621" spans="1:20" x14ac:dyDescent="0.3">
      <c r="A621" s="2" t="s">
        <v>1165</v>
      </c>
      <c r="B621" s="2" t="s">
        <v>1146</v>
      </c>
      <c r="C621" s="2" t="s">
        <v>20</v>
      </c>
      <c r="D621" s="2" t="s">
        <v>30</v>
      </c>
      <c r="E621">
        <v>563570.29740000004</v>
      </c>
      <c r="F621">
        <v>245492.88269999999</v>
      </c>
      <c r="G621">
        <v>91.559700000000007</v>
      </c>
      <c r="J621" s="5" t="s">
        <v>1169</v>
      </c>
      <c r="K621" s="5" t="s">
        <v>1170</v>
      </c>
      <c r="L621" s="5" t="s">
        <v>1148</v>
      </c>
      <c r="M621" s="3">
        <f t="shared" si="74"/>
        <v>9.6999999368563294E-3</v>
      </c>
      <c r="N621" s="3">
        <f t="shared" si="75"/>
        <v>-1.9999999785795808E-3</v>
      </c>
      <c r="O621" s="3">
        <f t="shared" si="76"/>
        <v>1.7300000000005866E-2</v>
      </c>
      <c r="P621">
        <f t="shared" si="77"/>
        <v>9.4089998775012795E-5</v>
      </c>
      <c r="Q621">
        <f t="shared" si="78"/>
        <v>3.9999999143183236E-6</v>
      </c>
      <c r="R621">
        <f t="shared" si="79"/>
        <v>2.9929000000020298E-4</v>
      </c>
      <c r="S621">
        <f t="shared" si="80"/>
        <v>9.8089998689331119E-5</v>
      </c>
      <c r="T621">
        <f t="shared" si="81"/>
        <v>9.9040395137202034E-3</v>
      </c>
    </row>
    <row r="622" spans="1:20" x14ac:dyDescent="0.3">
      <c r="A622" s="2" t="s">
        <v>1165</v>
      </c>
      <c r="B622" s="2" t="s">
        <v>1146</v>
      </c>
      <c r="C622" s="2" t="s">
        <v>20</v>
      </c>
      <c r="D622" s="2" t="s">
        <v>1112</v>
      </c>
      <c r="E622">
        <v>563570.3088</v>
      </c>
      <c r="F622">
        <v>245492.88800000001</v>
      </c>
      <c r="G622">
        <v>91.558700000000002</v>
      </c>
      <c r="J622" s="5" t="s">
        <v>1169</v>
      </c>
      <c r="K622" s="5" t="s">
        <v>1170</v>
      </c>
      <c r="L622" s="5" t="s">
        <v>1148</v>
      </c>
      <c r="M622" s="3">
        <f t="shared" si="74"/>
        <v>-1.7000000225380063E-3</v>
      </c>
      <c r="N622" s="3">
        <f t="shared" si="75"/>
        <v>-7.299999997485429E-3</v>
      </c>
      <c r="O622" s="3">
        <f t="shared" si="76"/>
        <v>1.6300000000001091E-2</v>
      </c>
      <c r="P622">
        <f t="shared" si="77"/>
        <v>2.8900000766292219E-6</v>
      </c>
      <c r="Q622">
        <f t="shared" si="78"/>
        <v>5.3289999963287261E-5</v>
      </c>
      <c r="R622">
        <f t="shared" si="79"/>
        <v>2.6569000000003557E-4</v>
      </c>
      <c r="S622">
        <f t="shared" si="80"/>
        <v>5.6180000039916483E-5</v>
      </c>
      <c r="T622">
        <f t="shared" si="81"/>
        <v>7.4953318832401599E-3</v>
      </c>
    </row>
    <row r="623" spans="1:20" x14ac:dyDescent="0.3">
      <c r="A623" s="2" t="s">
        <v>1165</v>
      </c>
      <c r="B623" s="2" t="s">
        <v>1146</v>
      </c>
      <c r="C623" s="2" t="s">
        <v>20</v>
      </c>
      <c r="D623" s="2" t="s">
        <v>1112</v>
      </c>
      <c r="E623">
        <v>563570.30169999995</v>
      </c>
      <c r="F623">
        <v>245492.88750000001</v>
      </c>
      <c r="G623">
        <v>91.556700000000006</v>
      </c>
      <c r="J623" s="5" t="s">
        <v>1169</v>
      </c>
      <c r="K623" s="5" t="s">
        <v>1170</v>
      </c>
      <c r="L623" s="5" t="s">
        <v>1148</v>
      </c>
      <c r="M623" s="3">
        <f t="shared" si="74"/>
        <v>5.4000000236555934E-3</v>
      </c>
      <c r="N623" s="3">
        <f t="shared" si="75"/>
        <v>-6.8000000028405339E-3</v>
      </c>
      <c r="O623" s="3">
        <f t="shared" si="76"/>
        <v>1.4300000000005753E-2</v>
      </c>
      <c r="P623">
        <f t="shared" si="77"/>
        <v>2.9160000255480409E-5</v>
      </c>
      <c r="Q623">
        <f t="shared" si="78"/>
        <v>4.624000003863126E-5</v>
      </c>
      <c r="R623">
        <f t="shared" si="79"/>
        <v>2.0449000000016452E-4</v>
      </c>
      <c r="S623">
        <f t="shared" si="80"/>
        <v>7.5400000294111676E-5</v>
      </c>
      <c r="T623">
        <f t="shared" si="81"/>
        <v>8.683317355372408E-3</v>
      </c>
    </row>
    <row r="624" spans="1:20" x14ac:dyDescent="0.3">
      <c r="A624" s="2" t="s">
        <v>1165</v>
      </c>
      <c r="B624" s="2" t="s">
        <v>1146</v>
      </c>
      <c r="C624" s="2" t="s">
        <v>20</v>
      </c>
      <c r="D624" s="2" t="s">
        <v>1112</v>
      </c>
      <c r="E624">
        <v>563570.3101</v>
      </c>
      <c r="F624">
        <v>245492.88990000001</v>
      </c>
      <c r="G624">
        <v>91.5565</v>
      </c>
      <c r="J624" s="5" t="s">
        <v>1169</v>
      </c>
      <c r="K624" s="5" t="s">
        <v>1170</v>
      </c>
      <c r="L624" s="5" t="s">
        <v>1148</v>
      </c>
      <c r="M624" s="3">
        <f t="shared" si="74"/>
        <v>-3.0000000260770321E-3</v>
      </c>
      <c r="N624" s="3">
        <f t="shared" si="75"/>
        <v>-9.2000000004190952E-3</v>
      </c>
      <c r="O624" s="3">
        <f t="shared" si="76"/>
        <v>1.4099999999999113E-2</v>
      </c>
      <c r="P624">
        <f t="shared" si="77"/>
        <v>9.0000001564621932E-6</v>
      </c>
      <c r="Q624">
        <f t="shared" si="78"/>
        <v>8.464000000771135E-5</v>
      </c>
      <c r="R624">
        <f t="shared" si="79"/>
        <v>1.9880999999997498E-4</v>
      </c>
      <c r="S624">
        <f t="shared" si="80"/>
        <v>9.3640000164173543E-5</v>
      </c>
      <c r="T624">
        <f t="shared" si="81"/>
        <v>9.6767763312052193E-3</v>
      </c>
    </row>
    <row r="625" spans="1:20" x14ac:dyDescent="0.3">
      <c r="A625" s="2" t="s">
        <v>1165</v>
      </c>
      <c r="B625" s="2" t="s">
        <v>1146</v>
      </c>
      <c r="C625" s="2" t="s">
        <v>20</v>
      </c>
      <c r="D625" s="2" t="s">
        <v>1150</v>
      </c>
      <c r="E625">
        <v>563570.30989999999</v>
      </c>
      <c r="F625">
        <v>245492.88709999999</v>
      </c>
      <c r="G625">
        <v>91.536500000000004</v>
      </c>
      <c r="J625" s="5" t="s">
        <v>1169</v>
      </c>
      <c r="K625" s="5" t="s">
        <v>1170</v>
      </c>
      <c r="L625" s="5" t="s">
        <v>1148</v>
      </c>
      <c r="M625" s="3">
        <f t="shared" si="74"/>
        <v>-2.8000000165775418E-3</v>
      </c>
      <c r="N625" s="3">
        <f t="shared" si="75"/>
        <v>-6.3999999838415533E-3</v>
      </c>
      <c r="O625" s="3">
        <f t="shared" si="76"/>
        <v>5.8999999999969077E-3</v>
      </c>
      <c r="P625">
        <f t="shared" si="77"/>
        <v>7.8400000928342345E-6</v>
      </c>
      <c r="Q625">
        <f t="shared" si="78"/>
        <v>4.0959999793171882E-5</v>
      </c>
      <c r="R625">
        <f t="shared" si="79"/>
        <v>3.480999999996351E-5</v>
      </c>
      <c r="S625">
        <f t="shared" si="80"/>
        <v>4.8799999886006117E-5</v>
      </c>
      <c r="T625">
        <f t="shared" si="81"/>
        <v>6.9856996704701036E-3</v>
      </c>
    </row>
    <row r="626" spans="1:20" x14ac:dyDescent="0.3">
      <c r="A626" s="2" t="s">
        <v>1165</v>
      </c>
      <c r="B626" s="2" t="s">
        <v>1146</v>
      </c>
      <c r="C626" s="2" t="s">
        <v>20</v>
      </c>
      <c r="D626" s="2" t="s">
        <v>1150</v>
      </c>
      <c r="E626">
        <v>563570.31270000001</v>
      </c>
      <c r="F626">
        <v>245492.8842</v>
      </c>
      <c r="G626">
        <v>91.520899999999997</v>
      </c>
      <c r="J626" s="5" t="s">
        <v>1169</v>
      </c>
      <c r="K626" s="5" t="s">
        <v>1170</v>
      </c>
      <c r="L626" s="5" t="s">
        <v>1148</v>
      </c>
      <c r="M626" s="3">
        <f t="shared" si="74"/>
        <v>-5.6000000331550837E-3</v>
      </c>
      <c r="N626" s="3">
        <f t="shared" si="75"/>
        <v>-3.4999999916180968E-3</v>
      </c>
      <c r="O626" s="3">
        <f t="shared" si="76"/>
        <v>2.1500000000003183E-2</v>
      </c>
      <c r="P626">
        <f t="shared" si="77"/>
        <v>3.1360000371336938E-5</v>
      </c>
      <c r="Q626">
        <f t="shared" si="78"/>
        <v>1.2249999941326678E-5</v>
      </c>
      <c r="R626">
        <f t="shared" si="79"/>
        <v>4.6225000000013687E-4</v>
      </c>
      <c r="S626">
        <f t="shared" si="80"/>
        <v>4.3610000312663616E-5</v>
      </c>
      <c r="T626">
        <f t="shared" si="81"/>
        <v>6.6037868161126778E-3</v>
      </c>
    </row>
    <row r="627" spans="1:20" x14ac:dyDescent="0.3">
      <c r="A627" s="2" t="s">
        <v>1165</v>
      </c>
      <c r="B627" s="2" t="s">
        <v>1146</v>
      </c>
      <c r="C627" s="2" t="s">
        <v>20</v>
      </c>
      <c r="D627" s="2" t="s">
        <v>1150</v>
      </c>
      <c r="E627">
        <v>563570.30989999999</v>
      </c>
      <c r="F627">
        <v>245492.88010000001</v>
      </c>
      <c r="G627">
        <v>91.5274</v>
      </c>
      <c r="J627" s="5" t="s">
        <v>1169</v>
      </c>
      <c r="K627" s="5" t="s">
        <v>1170</v>
      </c>
      <c r="L627" s="5" t="s">
        <v>1148</v>
      </c>
      <c r="M627" s="3">
        <f t="shared" si="74"/>
        <v>-2.8000000165775418E-3</v>
      </c>
      <c r="N627" s="3">
        <f t="shared" si="75"/>
        <v>5.9999999939464033E-4</v>
      </c>
      <c r="O627" s="3">
        <f t="shared" si="76"/>
        <v>1.5000000000000568E-2</v>
      </c>
      <c r="P627">
        <f t="shared" si="77"/>
        <v>7.8400000928342345E-6</v>
      </c>
      <c r="Q627">
        <f t="shared" si="78"/>
        <v>3.5999999927356839E-7</v>
      </c>
      <c r="R627">
        <f t="shared" si="79"/>
        <v>2.2500000000001704E-4</v>
      </c>
      <c r="S627">
        <f t="shared" si="80"/>
        <v>8.2000000921078021E-6</v>
      </c>
      <c r="T627">
        <f t="shared" si="81"/>
        <v>2.8635642287379907E-3</v>
      </c>
    </row>
    <row r="628" spans="1:20" x14ac:dyDescent="0.3">
      <c r="A628" s="2" t="s">
        <v>1165</v>
      </c>
      <c r="B628" s="2" t="s">
        <v>1146</v>
      </c>
      <c r="C628" s="2" t="s">
        <v>20</v>
      </c>
      <c r="D628" s="2" t="s">
        <v>37</v>
      </c>
      <c r="E628">
        <v>563570.3186</v>
      </c>
      <c r="F628">
        <v>245492.88130000001</v>
      </c>
      <c r="G628">
        <v>91.5732</v>
      </c>
      <c r="J628" s="5" t="s">
        <v>1169</v>
      </c>
      <c r="K628" s="5" t="s">
        <v>1170</v>
      </c>
      <c r="L628" s="5" t="s">
        <v>1148</v>
      </c>
      <c r="M628" s="3">
        <f t="shared" si="74"/>
        <v>-1.1500000022351742E-2</v>
      </c>
      <c r="N628" s="3">
        <f t="shared" si="75"/>
        <v>-5.9999999939464033E-4</v>
      </c>
      <c r="O628" s="3">
        <f t="shared" si="76"/>
        <v>3.0799999999999272E-2</v>
      </c>
      <c r="P628">
        <f t="shared" si="77"/>
        <v>1.3225000051409006E-4</v>
      </c>
      <c r="Q628">
        <f t="shared" si="78"/>
        <v>3.5999999927356839E-7</v>
      </c>
      <c r="R628">
        <f t="shared" si="79"/>
        <v>9.4863999999995517E-4</v>
      </c>
      <c r="S628">
        <f t="shared" si="80"/>
        <v>1.3261000051336362E-4</v>
      </c>
      <c r="T628">
        <f t="shared" si="81"/>
        <v>1.1515641558912973E-2</v>
      </c>
    </row>
    <row r="629" spans="1:20" x14ac:dyDescent="0.3">
      <c r="A629" s="2" t="s">
        <v>1165</v>
      </c>
      <c r="B629" s="2" t="s">
        <v>1146</v>
      </c>
      <c r="C629" s="2" t="s">
        <v>20</v>
      </c>
      <c r="D629" s="2" t="s">
        <v>37</v>
      </c>
      <c r="E629">
        <v>563570.321</v>
      </c>
      <c r="F629">
        <v>245492.8798</v>
      </c>
      <c r="G629">
        <v>91.572100000000006</v>
      </c>
      <c r="J629" s="5" t="s">
        <v>1169</v>
      </c>
      <c r="K629" s="5" t="s">
        <v>1170</v>
      </c>
      <c r="L629" s="5" t="s">
        <v>1148</v>
      </c>
      <c r="M629" s="3">
        <f t="shared" si="74"/>
        <v>-1.3900000019930303E-2</v>
      </c>
      <c r="N629" s="3">
        <f t="shared" si="75"/>
        <v>9.0000001364387572E-4</v>
      </c>
      <c r="O629" s="3">
        <f t="shared" si="76"/>
        <v>2.9700000000005389E-2</v>
      </c>
      <c r="P629">
        <f t="shared" si="77"/>
        <v>1.9321000055406241E-4</v>
      </c>
      <c r="Q629">
        <f t="shared" si="78"/>
        <v>8.1000002455897648E-7</v>
      </c>
      <c r="R629">
        <f t="shared" si="79"/>
        <v>8.8209000000032014E-4</v>
      </c>
      <c r="S629">
        <f t="shared" si="80"/>
        <v>1.940200005786214E-4</v>
      </c>
      <c r="T629">
        <f t="shared" si="81"/>
        <v>1.3929106237609842E-2</v>
      </c>
    </row>
    <row r="630" spans="1:20" x14ac:dyDescent="0.3">
      <c r="A630" s="2" t="s">
        <v>1165</v>
      </c>
      <c r="B630" s="2" t="s">
        <v>1146</v>
      </c>
      <c r="C630" s="2" t="s">
        <v>20</v>
      </c>
      <c r="D630" s="2" t="s">
        <v>37</v>
      </c>
      <c r="E630">
        <v>563570.31909999996</v>
      </c>
      <c r="F630">
        <v>245492.88190000001</v>
      </c>
      <c r="G630">
        <v>91.582499999999996</v>
      </c>
      <c r="J630" s="5" t="s">
        <v>1169</v>
      </c>
      <c r="K630" s="5" t="s">
        <v>1170</v>
      </c>
      <c r="L630" s="5" t="s">
        <v>1148</v>
      </c>
      <c r="M630" s="3">
        <f t="shared" si="74"/>
        <v>-1.1999999987892807E-2</v>
      </c>
      <c r="N630" s="3">
        <f t="shared" si="75"/>
        <v>-1.1999999987892807E-3</v>
      </c>
      <c r="O630" s="3">
        <f t="shared" si="76"/>
        <v>4.0099999999995362E-2</v>
      </c>
      <c r="P630">
        <f t="shared" si="77"/>
        <v>1.4399999970942734E-4</v>
      </c>
      <c r="Q630">
        <f t="shared" si="78"/>
        <v>1.4399999970942736E-6</v>
      </c>
      <c r="R630">
        <f t="shared" si="79"/>
        <v>1.6080099999996279E-3</v>
      </c>
      <c r="S630">
        <f t="shared" si="80"/>
        <v>1.4543999970652161E-4</v>
      </c>
      <c r="T630">
        <f t="shared" si="81"/>
        <v>1.205985073317749E-2</v>
      </c>
    </row>
    <row r="631" spans="1:20" x14ac:dyDescent="0.3">
      <c r="A631" s="2" t="s">
        <v>1165</v>
      </c>
      <c r="B631" s="2" t="s">
        <v>1146</v>
      </c>
      <c r="C631" s="2" t="s">
        <v>20</v>
      </c>
      <c r="D631" s="2" t="s">
        <v>1151</v>
      </c>
      <c r="E631">
        <v>563570.33010000002</v>
      </c>
      <c r="F631">
        <v>245492.88190000001</v>
      </c>
      <c r="G631">
        <v>91.559200000000004</v>
      </c>
      <c r="J631" s="5" t="s">
        <v>1169</v>
      </c>
      <c r="K631" s="5" t="s">
        <v>1170</v>
      </c>
      <c r="L631" s="5" t="s">
        <v>1148</v>
      </c>
      <c r="M631" s="3">
        <f t="shared" si="74"/>
        <v>-2.3000000044703484E-2</v>
      </c>
      <c r="N631" s="3">
        <f t="shared" si="75"/>
        <v>-1.1999999987892807E-3</v>
      </c>
      <c r="O631" s="3">
        <f t="shared" si="76"/>
        <v>1.6800000000003479E-2</v>
      </c>
      <c r="P631">
        <f t="shared" si="77"/>
        <v>5.2900000205636025E-4</v>
      </c>
      <c r="Q631">
        <f t="shared" si="78"/>
        <v>1.4399999970942736E-6</v>
      </c>
      <c r="R631">
        <f t="shared" si="79"/>
        <v>2.8224000000011689E-4</v>
      </c>
      <c r="S631">
        <f t="shared" si="80"/>
        <v>5.3044000205345449E-4</v>
      </c>
      <c r="T631">
        <f t="shared" si="81"/>
        <v>2.3031283117825947E-2</v>
      </c>
    </row>
    <row r="632" spans="1:20" x14ac:dyDescent="0.3">
      <c r="A632" s="2" t="s">
        <v>1165</v>
      </c>
      <c r="B632" s="2" t="s">
        <v>1146</v>
      </c>
      <c r="C632" s="2" t="s">
        <v>20</v>
      </c>
      <c r="D632" s="2" t="s">
        <v>1151</v>
      </c>
      <c r="E632">
        <v>563570.32700000005</v>
      </c>
      <c r="F632">
        <v>245492.88320000001</v>
      </c>
      <c r="G632">
        <v>91.559200000000004</v>
      </c>
      <c r="J632" s="5" t="s">
        <v>1169</v>
      </c>
      <c r="K632" s="5" t="s">
        <v>1170</v>
      </c>
      <c r="L632" s="5" t="s">
        <v>1148</v>
      </c>
      <c r="M632" s="3">
        <f t="shared" si="74"/>
        <v>-1.9900000072084367E-2</v>
      </c>
      <c r="N632" s="3">
        <f t="shared" si="75"/>
        <v>-2.5000000023283064E-3</v>
      </c>
      <c r="O632" s="3">
        <f t="shared" si="76"/>
        <v>1.6800000000003479E-2</v>
      </c>
      <c r="P632">
        <f t="shared" si="77"/>
        <v>3.9601000286895781E-4</v>
      </c>
      <c r="Q632">
        <f t="shared" si="78"/>
        <v>6.2500000116415322E-6</v>
      </c>
      <c r="R632">
        <f t="shared" si="79"/>
        <v>2.8224000000011689E-4</v>
      </c>
      <c r="S632">
        <f t="shared" si="80"/>
        <v>4.0226000288059934E-4</v>
      </c>
      <c r="T632">
        <f t="shared" si="81"/>
        <v>2.0056420490222059E-2</v>
      </c>
    </row>
    <row r="633" spans="1:20" x14ac:dyDescent="0.3">
      <c r="A633" s="2" t="s">
        <v>1165</v>
      </c>
      <c r="B633" s="2" t="s">
        <v>1146</v>
      </c>
      <c r="C633" s="2" t="s">
        <v>20</v>
      </c>
      <c r="D633" s="2" t="s">
        <v>1151</v>
      </c>
      <c r="E633">
        <v>563570.32109999994</v>
      </c>
      <c r="F633">
        <v>245492.883</v>
      </c>
      <c r="G633">
        <v>91.557500000000005</v>
      </c>
      <c r="J633" s="5" t="s">
        <v>1169</v>
      </c>
      <c r="K633" s="5" t="s">
        <v>1170</v>
      </c>
      <c r="L633" s="5" t="s">
        <v>1148</v>
      </c>
      <c r="M633" s="3">
        <f t="shared" si="74"/>
        <v>-1.3999999966472387E-2</v>
      </c>
      <c r="N633" s="3">
        <f t="shared" si="75"/>
        <v>-2.2999999928288162E-3</v>
      </c>
      <c r="O633" s="3">
        <f t="shared" si="76"/>
        <v>1.5100000000003888E-2</v>
      </c>
      <c r="P633">
        <f t="shared" si="77"/>
        <v>1.9599999906122685E-4</v>
      </c>
      <c r="Q633">
        <f t="shared" si="78"/>
        <v>5.2899999670125545E-6</v>
      </c>
      <c r="R633">
        <f t="shared" si="79"/>
        <v>2.2801000000011743E-4</v>
      </c>
      <c r="S633">
        <f t="shared" si="80"/>
        <v>2.012899990282394E-4</v>
      </c>
      <c r="T633">
        <f t="shared" si="81"/>
        <v>1.4187670669572204E-2</v>
      </c>
    </row>
    <row r="634" spans="1:20" x14ac:dyDescent="0.3">
      <c r="A634" s="2" t="s">
        <v>1165</v>
      </c>
      <c r="B634" s="2" t="s">
        <v>1152</v>
      </c>
      <c r="C634" s="2" t="s">
        <v>20</v>
      </c>
      <c r="D634" s="2" t="s">
        <v>30</v>
      </c>
      <c r="E634">
        <v>593090.77170000004</v>
      </c>
      <c r="F634">
        <v>249153.87059999999</v>
      </c>
      <c r="G634">
        <v>168.9409</v>
      </c>
      <c r="J634" s="5" t="s">
        <v>1171</v>
      </c>
      <c r="K634" s="5" t="s">
        <v>1172</v>
      </c>
      <c r="L634" s="5" t="s">
        <v>1153</v>
      </c>
      <c r="M634" s="3">
        <f t="shared" si="74"/>
        <v>-5.3000000771135092E-3</v>
      </c>
      <c r="N634" s="3">
        <f t="shared" si="75"/>
        <v>2.1600000007310882E-2</v>
      </c>
      <c r="O634" s="3">
        <f t="shared" si="76"/>
        <v>3.8000000000124601E-3</v>
      </c>
      <c r="P634">
        <f t="shared" si="77"/>
        <v>2.8090000817403203E-5</v>
      </c>
      <c r="Q634">
        <f t="shared" si="78"/>
        <v>4.6656000031583013E-4</v>
      </c>
      <c r="R634">
        <f t="shared" si="79"/>
        <v>1.4440000000094697E-5</v>
      </c>
      <c r="S634">
        <f t="shared" si="80"/>
        <v>4.9465000113323339E-4</v>
      </c>
      <c r="T634">
        <f t="shared" si="81"/>
        <v>2.2240728430814344E-2</v>
      </c>
    </row>
    <row r="635" spans="1:20" x14ac:dyDescent="0.3">
      <c r="A635" s="2" t="s">
        <v>1165</v>
      </c>
      <c r="B635" s="2" t="s">
        <v>1152</v>
      </c>
      <c r="C635" s="2" t="s">
        <v>20</v>
      </c>
      <c r="D635" s="2" t="s">
        <v>30</v>
      </c>
      <c r="E635">
        <v>593090.77769999998</v>
      </c>
      <c r="F635">
        <v>249153.86910000001</v>
      </c>
      <c r="G635">
        <v>168.9332</v>
      </c>
      <c r="J635" s="5" t="s">
        <v>1171</v>
      </c>
      <c r="K635" s="5" t="s">
        <v>1172</v>
      </c>
      <c r="L635" s="5" t="s">
        <v>1153</v>
      </c>
      <c r="M635" s="3">
        <f t="shared" si="74"/>
        <v>-1.1300000012852252E-2</v>
      </c>
      <c r="N635" s="3">
        <f t="shared" si="75"/>
        <v>2.3099999991245568E-2</v>
      </c>
      <c r="O635" s="3">
        <f t="shared" si="76"/>
        <v>3.899999999987358E-3</v>
      </c>
      <c r="P635">
        <f t="shared" si="77"/>
        <v>1.2769000029046087E-4</v>
      </c>
      <c r="Q635">
        <f t="shared" si="78"/>
        <v>5.3360999959554522E-4</v>
      </c>
      <c r="R635">
        <f t="shared" si="79"/>
        <v>1.5209999999901392E-5</v>
      </c>
      <c r="S635">
        <f t="shared" si="80"/>
        <v>6.6129999988600609E-4</v>
      </c>
      <c r="T635">
        <f t="shared" si="81"/>
        <v>2.5715753924122196E-2</v>
      </c>
    </row>
    <row r="636" spans="1:20" x14ac:dyDescent="0.3">
      <c r="A636" s="2" t="s">
        <v>1165</v>
      </c>
      <c r="B636" s="2" t="s">
        <v>1152</v>
      </c>
      <c r="C636" s="2" t="s">
        <v>20</v>
      </c>
      <c r="D636" s="2" t="s">
        <v>30</v>
      </c>
      <c r="E636">
        <v>593090.78410000005</v>
      </c>
      <c r="F636">
        <v>249153.87229999999</v>
      </c>
      <c r="G636">
        <v>168.9297</v>
      </c>
      <c r="J636" s="5" t="s">
        <v>1171</v>
      </c>
      <c r="K636" s="5" t="s">
        <v>1172</v>
      </c>
      <c r="L636" s="5" t="s">
        <v>1153</v>
      </c>
      <c r="M636" s="3">
        <f t="shared" si="74"/>
        <v>-1.7700000084005296E-2</v>
      </c>
      <c r="N636" s="3">
        <f t="shared" si="75"/>
        <v>1.9900000013876706E-2</v>
      </c>
      <c r="O636" s="3">
        <f t="shared" si="76"/>
        <v>7.3999999999898591E-3</v>
      </c>
      <c r="P636">
        <f t="shared" si="77"/>
        <v>3.1329000297378748E-4</v>
      </c>
      <c r="Q636">
        <f t="shared" si="78"/>
        <v>3.9601000055229294E-4</v>
      </c>
      <c r="R636">
        <f t="shared" si="79"/>
        <v>5.4759999999849917E-5</v>
      </c>
      <c r="S636">
        <f t="shared" si="80"/>
        <v>7.0930000352608042E-4</v>
      </c>
      <c r="T636">
        <f t="shared" si="81"/>
        <v>2.6632686750046087E-2</v>
      </c>
    </row>
    <row r="637" spans="1:20" x14ac:dyDescent="0.3">
      <c r="A637" s="2" t="s">
        <v>1165</v>
      </c>
      <c r="B637" s="2" t="s">
        <v>1152</v>
      </c>
      <c r="C637" s="2" t="s">
        <v>20</v>
      </c>
      <c r="D637" s="2" t="s">
        <v>1154</v>
      </c>
      <c r="E637">
        <v>593090.77410000004</v>
      </c>
      <c r="F637">
        <v>249153.8719</v>
      </c>
      <c r="G637">
        <v>168.9427</v>
      </c>
      <c r="J637" s="5" t="s">
        <v>1171</v>
      </c>
      <c r="K637" s="5" t="s">
        <v>1172</v>
      </c>
      <c r="L637" s="5" t="s">
        <v>1153</v>
      </c>
      <c r="M637" s="3">
        <f t="shared" si="74"/>
        <v>-7.7000000746920705E-3</v>
      </c>
      <c r="N637" s="3">
        <f t="shared" si="75"/>
        <v>2.0300000003771856E-2</v>
      </c>
      <c r="O637" s="3">
        <f t="shared" si="76"/>
        <v>5.6000000000153705E-3</v>
      </c>
      <c r="P637">
        <f t="shared" si="77"/>
        <v>5.9290001150257891E-5</v>
      </c>
      <c r="Q637">
        <f t="shared" si="78"/>
        <v>4.1209000015313737E-4</v>
      </c>
      <c r="R637">
        <f t="shared" si="79"/>
        <v>3.1360000000172149E-5</v>
      </c>
      <c r="S637">
        <f t="shared" si="80"/>
        <v>4.7138000130339525E-4</v>
      </c>
      <c r="T637">
        <f t="shared" si="81"/>
        <v>2.1711287416995687E-2</v>
      </c>
    </row>
    <row r="638" spans="1:20" x14ac:dyDescent="0.3">
      <c r="A638" s="2" t="s">
        <v>1165</v>
      </c>
      <c r="B638" s="2" t="s">
        <v>1152</v>
      </c>
      <c r="C638" s="2" t="s">
        <v>20</v>
      </c>
      <c r="D638" s="2" t="s">
        <v>1154</v>
      </c>
      <c r="E638">
        <v>593090.77159999998</v>
      </c>
      <c r="F638">
        <v>249153.86979999999</v>
      </c>
      <c r="G638">
        <v>168.95779999999999</v>
      </c>
      <c r="J638" s="5" t="s">
        <v>1171</v>
      </c>
      <c r="K638" s="5" t="s">
        <v>1172</v>
      </c>
      <c r="L638" s="5" t="s">
        <v>1153</v>
      </c>
      <c r="M638" s="3">
        <f t="shared" si="74"/>
        <v>-5.2000000141561031E-3</v>
      </c>
      <c r="N638" s="3">
        <f t="shared" si="75"/>
        <v>2.2400000016205013E-2</v>
      </c>
      <c r="O638" s="3">
        <f t="shared" si="76"/>
        <v>2.0700000000005048E-2</v>
      </c>
      <c r="P638">
        <f t="shared" si="77"/>
        <v>2.7040000147223473E-5</v>
      </c>
      <c r="Q638">
        <f t="shared" si="78"/>
        <v>5.0176000072598456E-4</v>
      </c>
      <c r="R638">
        <f t="shared" si="79"/>
        <v>4.2849000000020899E-4</v>
      </c>
      <c r="S638">
        <f t="shared" si="80"/>
        <v>5.2880000087320803E-4</v>
      </c>
      <c r="T638">
        <f t="shared" si="81"/>
        <v>2.2995651781874068E-2</v>
      </c>
    </row>
    <row r="639" spans="1:20" x14ac:dyDescent="0.3">
      <c r="A639" s="2" t="s">
        <v>1165</v>
      </c>
      <c r="B639" s="2" t="s">
        <v>1152</v>
      </c>
      <c r="C639" s="2" t="s">
        <v>20</v>
      </c>
      <c r="D639" s="2" t="s">
        <v>1154</v>
      </c>
      <c r="E639">
        <v>593090.76379999996</v>
      </c>
      <c r="F639">
        <v>249153.86799999999</v>
      </c>
      <c r="G639">
        <v>168.96039999999999</v>
      </c>
      <c r="J639" s="5" t="s">
        <v>1171</v>
      </c>
      <c r="K639" s="5" t="s">
        <v>1172</v>
      </c>
      <c r="L639" s="5" t="s">
        <v>1153</v>
      </c>
      <c r="M639" s="3">
        <f t="shared" si="74"/>
        <v>2.6000000070780516E-3</v>
      </c>
      <c r="N639" s="3">
        <f t="shared" si="75"/>
        <v>2.4200000014388934E-2</v>
      </c>
      <c r="O639" s="3">
        <f t="shared" si="76"/>
        <v>2.3300000000006094E-2</v>
      </c>
      <c r="P639">
        <f t="shared" si="77"/>
        <v>6.7600000368058682E-6</v>
      </c>
      <c r="Q639">
        <f t="shared" si="78"/>
        <v>5.8564000069642437E-4</v>
      </c>
      <c r="R639">
        <f t="shared" si="79"/>
        <v>5.4289000000028393E-4</v>
      </c>
      <c r="S639">
        <f t="shared" si="80"/>
        <v>5.9240000073323019E-4</v>
      </c>
      <c r="T639">
        <f t="shared" si="81"/>
        <v>2.4339268697584779E-2</v>
      </c>
    </row>
    <row r="640" spans="1:20" x14ac:dyDescent="0.3">
      <c r="A640" s="2" t="s">
        <v>1165</v>
      </c>
      <c r="B640" s="2" t="s">
        <v>1152</v>
      </c>
      <c r="C640" s="2" t="s">
        <v>20</v>
      </c>
      <c r="D640" s="2" t="s">
        <v>1150</v>
      </c>
      <c r="E640">
        <v>593090.7611</v>
      </c>
      <c r="F640">
        <v>249153.8732</v>
      </c>
      <c r="G640">
        <v>168.9443</v>
      </c>
      <c r="J640" s="5" t="s">
        <v>1171</v>
      </c>
      <c r="K640" s="5" t="s">
        <v>1172</v>
      </c>
      <c r="L640" s="5" t="s">
        <v>1153</v>
      </c>
      <c r="M640" s="3">
        <f t="shared" si="74"/>
        <v>5.2999999606981874E-3</v>
      </c>
      <c r="N640" s="3">
        <f t="shared" si="75"/>
        <v>1.9000000000232831E-2</v>
      </c>
      <c r="O640" s="3">
        <f t="shared" si="76"/>
        <v>7.2000000000116415E-3</v>
      </c>
      <c r="P640">
        <f t="shared" si="77"/>
        <v>2.8089999583400787E-5</v>
      </c>
      <c r="Q640">
        <f t="shared" si="78"/>
        <v>3.6100000000884757E-4</v>
      </c>
      <c r="R640">
        <f t="shared" si="79"/>
        <v>5.1840000000167636E-5</v>
      </c>
      <c r="S640">
        <f t="shared" si="80"/>
        <v>3.8908999959224834E-4</v>
      </c>
      <c r="T640">
        <f t="shared" si="81"/>
        <v>1.9725364371596495E-2</v>
      </c>
    </row>
    <row r="641" spans="1:20" x14ac:dyDescent="0.3">
      <c r="A641" s="2" t="s">
        <v>1165</v>
      </c>
      <c r="B641" s="2" t="s">
        <v>1152</v>
      </c>
      <c r="C641" s="2" t="s">
        <v>20</v>
      </c>
      <c r="D641" s="2" t="s">
        <v>1150</v>
      </c>
      <c r="E641">
        <v>593090.76159999997</v>
      </c>
      <c r="F641">
        <v>249153.8768</v>
      </c>
      <c r="G641">
        <v>168.9451</v>
      </c>
      <c r="J641" s="5" t="s">
        <v>1171</v>
      </c>
      <c r="K641" s="5" t="s">
        <v>1172</v>
      </c>
      <c r="L641" s="5" t="s">
        <v>1153</v>
      </c>
      <c r="M641" s="3">
        <f t="shared" si="74"/>
        <v>4.7999999951571226E-3</v>
      </c>
      <c r="N641" s="3">
        <f t="shared" si="75"/>
        <v>1.5400000003864989E-2</v>
      </c>
      <c r="O641" s="3">
        <f t="shared" si="76"/>
        <v>8.0000000000097771E-3</v>
      </c>
      <c r="P641">
        <f t="shared" si="77"/>
        <v>2.3039999953508377E-5</v>
      </c>
      <c r="Q641">
        <f t="shared" si="78"/>
        <v>2.3716000011904164E-4</v>
      </c>
      <c r="R641">
        <f t="shared" si="79"/>
        <v>6.4000000000156434E-5</v>
      </c>
      <c r="S641">
        <f t="shared" si="80"/>
        <v>2.6020000007255002E-4</v>
      </c>
      <c r="T641">
        <f t="shared" si="81"/>
        <v>1.6130716043392185E-2</v>
      </c>
    </row>
    <row r="642" spans="1:20" x14ac:dyDescent="0.3">
      <c r="A642" s="2" t="s">
        <v>1165</v>
      </c>
      <c r="B642" s="2" t="s">
        <v>1152</v>
      </c>
      <c r="C642" s="2" t="s">
        <v>20</v>
      </c>
      <c r="D642" s="2" t="s">
        <v>1150</v>
      </c>
      <c r="E642">
        <v>593090.77</v>
      </c>
      <c r="F642">
        <v>249153.87669999999</v>
      </c>
      <c r="G642">
        <v>168.93790000000001</v>
      </c>
      <c r="J642" s="5" t="s">
        <v>1171</v>
      </c>
      <c r="K642" s="5" t="s">
        <v>1172</v>
      </c>
      <c r="L642" s="5" t="s">
        <v>1153</v>
      </c>
      <c r="M642" s="3">
        <f t="shared" si="74"/>
        <v>-3.6000000545755029E-3</v>
      </c>
      <c r="N642" s="3">
        <f t="shared" si="75"/>
        <v>1.5500000008614734E-2</v>
      </c>
      <c r="O642" s="3">
        <f t="shared" si="76"/>
        <v>8.0000000002655725E-4</v>
      </c>
      <c r="P642">
        <f t="shared" si="77"/>
        <v>1.2960000392943624E-5</v>
      </c>
      <c r="Q642">
        <f t="shared" si="78"/>
        <v>2.4025000026705676E-4</v>
      </c>
      <c r="R642">
        <f t="shared" si="79"/>
        <v>6.4000000004249163E-7</v>
      </c>
      <c r="S642">
        <f t="shared" si="80"/>
        <v>2.532100006600004E-4</v>
      </c>
      <c r="T642">
        <f t="shared" si="81"/>
        <v>1.591257366550114E-2</v>
      </c>
    </row>
    <row r="643" spans="1:20" x14ac:dyDescent="0.3">
      <c r="A643" s="2" t="s">
        <v>1165</v>
      </c>
      <c r="B643" s="2" t="s">
        <v>1152</v>
      </c>
      <c r="C643" s="2" t="s">
        <v>20</v>
      </c>
      <c r="D643" s="2" t="s">
        <v>37</v>
      </c>
      <c r="E643">
        <v>593090.76049999997</v>
      </c>
      <c r="F643">
        <v>249153.87640000001</v>
      </c>
      <c r="G643">
        <v>168.94229999999999</v>
      </c>
      <c r="J643" s="5" t="s">
        <v>1171</v>
      </c>
      <c r="K643" s="5" t="s">
        <v>1172</v>
      </c>
      <c r="L643" s="5" t="s">
        <v>1153</v>
      </c>
      <c r="M643" s="3">
        <f t="shared" ref="M643:M706" si="82">J643-E643</f>
        <v>5.8999999891966581E-3</v>
      </c>
      <c r="N643" s="3">
        <f t="shared" ref="N643:N706" si="83">K643-F643</f>
        <v>1.5799999993760139E-2</v>
      </c>
      <c r="O643" s="3">
        <f t="shared" ref="O643:O706" si="84">ABS(L643-G643)</f>
        <v>5.2000000000020918E-3</v>
      </c>
      <c r="P643">
        <f t="shared" ref="P643:P706" si="85">POWER(M643,2)</f>
        <v>3.4809999872520566E-5</v>
      </c>
      <c r="Q643">
        <f t="shared" ref="Q643:Q706" si="86">POWER(N643,2)</f>
        <v>2.4963999980282041E-4</v>
      </c>
      <c r="R643">
        <f t="shared" ref="R643:R706" si="87">POWER(O643,2)</f>
        <v>2.7040000000021754E-5</v>
      </c>
      <c r="S643">
        <f t="shared" ref="S643:S706" si="88">P643+Q643</f>
        <v>2.8444999967534097E-4</v>
      </c>
      <c r="T643">
        <f t="shared" ref="T643:T706" si="89">SQRT(S643)</f>
        <v>1.6865645545763759E-2</v>
      </c>
    </row>
    <row r="644" spans="1:20" x14ac:dyDescent="0.3">
      <c r="A644" s="2" t="s">
        <v>1165</v>
      </c>
      <c r="B644" s="2" t="s">
        <v>1152</v>
      </c>
      <c r="C644" s="2" t="s">
        <v>20</v>
      </c>
      <c r="D644" s="2" t="s">
        <v>37</v>
      </c>
      <c r="E644">
        <v>593090.76879999996</v>
      </c>
      <c r="F644">
        <v>249153.87760000001</v>
      </c>
      <c r="G644">
        <v>168.93389999999999</v>
      </c>
      <c r="J644" s="5" t="s">
        <v>1171</v>
      </c>
      <c r="K644" s="5" t="s">
        <v>1172</v>
      </c>
      <c r="L644" s="5" t="s">
        <v>1153</v>
      </c>
      <c r="M644" s="3">
        <f t="shared" si="82"/>
        <v>-2.3999999975785613E-3</v>
      </c>
      <c r="N644" s="3">
        <f t="shared" si="83"/>
        <v>1.4599999994970858E-2</v>
      </c>
      <c r="O644" s="3">
        <f t="shared" si="84"/>
        <v>3.1999999999925421E-3</v>
      </c>
      <c r="P644">
        <f t="shared" si="85"/>
        <v>5.7599999883770943E-6</v>
      </c>
      <c r="Q644">
        <f t="shared" si="86"/>
        <v>2.1315999985314904E-4</v>
      </c>
      <c r="R644">
        <f t="shared" si="87"/>
        <v>1.023999999995227E-5</v>
      </c>
      <c r="S644">
        <f t="shared" si="88"/>
        <v>2.1891999984152612E-4</v>
      </c>
      <c r="T644">
        <f t="shared" si="89"/>
        <v>1.4795945385190029E-2</v>
      </c>
    </row>
    <row r="645" spans="1:20" x14ac:dyDescent="0.3">
      <c r="A645" s="2" t="s">
        <v>1165</v>
      </c>
      <c r="B645" s="2" t="s">
        <v>1152</v>
      </c>
      <c r="C645" s="2" t="s">
        <v>20</v>
      </c>
      <c r="D645" s="2" t="s">
        <v>37</v>
      </c>
      <c r="E645">
        <v>593090.7844</v>
      </c>
      <c r="F645">
        <v>249153.87729999999</v>
      </c>
      <c r="G645">
        <v>168.91560000000001</v>
      </c>
      <c r="J645" s="5" t="s">
        <v>1171</v>
      </c>
      <c r="K645" s="5" t="s">
        <v>1172</v>
      </c>
      <c r="L645" s="5" t="s">
        <v>1153</v>
      </c>
      <c r="M645" s="3">
        <f t="shared" si="82"/>
        <v>-1.8000000040046871E-2</v>
      </c>
      <c r="N645" s="3">
        <f t="shared" si="83"/>
        <v>1.4900000009220093E-2</v>
      </c>
      <c r="O645" s="3">
        <f t="shared" si="84"/>
        <v>2.1499999999974762E-2</v>
      </c>
      <c r="P645">
        <f t="shared" si="85"/>
        <v>3.2400000144168733E-4</v>
      </c>
      <c r="Q645">
        <f t="shared" si="86"/>
        <v>2.2201000027475878E-4</v>
      </c>
      <c r="R645">
        <f t="shared" si="87"/>
        <v>4.6224999999891476E-4</v>
      </c>
      <c r="S645">
        <f t="shared" si="88"/>
        <v>5.4601000171644609E-4</v>
      </c>
      <c r="T645">
        <f t="shared" si="89"/>
        <v>2.3366856907090564E-2</v>
      </c>
    </row>
    <row r="646" spans="1:20" x14ac:dyDescent="0.3">
      <c r="A646" s="2" t="s">
        <v>1165</v>
      </c>
      <c r="B646" s="2" t="s">
        <v>1152</v>
      </c>
      <c r="C646" s="2" t="s">
        <v>20</v>
      </c>
      <c r="D646" s="2" t="s">
        <v>1155</v>
      </c>
      <c r="E646">
        <v>593090.77949999995</v>
      </c>
      <c r="F646">
        <v>249153.8787</v>
      </c>
      <c r="G646">
        <v>168.93870000000001</v>
      </c>
      <c r="J646" s="5" t="s">
        <v>1171</v>
      </c>
      <c r="K646" s="5" t="s">
        <v>1172</v>
      </c>
      <c r="L646" s="5" t="s">
        <v>1153</v>
      </c>
      <c r="M646" s="3">
        <f t="shared" si="82"/>
        <v>-1.3099999981932342E-2</v>
      </c>
      <c r="N646" s="3">
        <f t="shared" si="83"/>
        <v>1.3500000000931323E-2</v>
      </c>
      <c r="O646" s="3">
        <f t="shared" si="84"/>
        <v>1.6000000000246928E-3</v>
      </c>
      <c r="P646">
        <f t="shared" si="85"/>
        <v>1.7160999952662735E-4</v>
      </c>
      <c r="Q646">
        <f t="shared" si="86"/>
        <v>1.822500000251457E-4</v>
      </c>
      <c r="R646">
        <f t="shared" si="87"/>
        <v>2.5600000000790168E-6</v>
      </c>
      <c r="S646">
        <f t="shared" si="88"/>
        <v>3.5385999955177304E-4</v>
      </c>
      <c r="T646">
        <f t="shared" si="89"/>
        <v>1.8811166884374106E-2</v>
      </c>
    </row>
    <row r="647" spans="1:20" x14ac:dyDescent="0.3">
      <c r="A647" s="2" t="s">
        <v>1165</v>
      </c>
      <c r="B647" s="2" t="s">
        <v>1152</v>
      </c>
      <c r="C647" s="2" t="s">
        <v>20</v>
      </c>
      <c r="D647" s="2" t="s">
        <v>1155</v>
      </c>
      <c r="E647">
        <v>593090.77549999999</v>
      </c>
      <c r="F647">
        <v>249153.87710000001</v>
      </c>
      <c r="G647">
        <v>168.94159999999999</v>
      </c>
      <c r="J647" s="5" t="s">
        <v>1171</v>
      </c>
      <c r="K647" s="5" t="s">
        <v>1172</v>
      </c>
      <c r="L647" s="5" t="s">
        <v>1153</v>
      </c>
      <c r="M647" s="3">
        <f t="shared" si="82"/>
        <v>-9.1000000247731805E-3</v>
      </c>
      <c r="N647" s="3">
        <f t="shared" si="83"/>
        <v>1.5099999989615753E-2</v>
      </c>
      <c r="O647" s="3">
        <f t="shared" si="84"/>
        <v>4.500000000007276E-3</v>
      </c>
      <c r="P647">
        <f t="shared" si="85"/>
        <v>8.2810000450871885E-5</v>
      </c>
      <c r="Q647">
        <f t="shared" si="86"/>
        <v>2.2800999968639575E-4</v>
      </c>
      <c r="R647">
        <f t="shared" si="87"/>
        <v>2.0250000000065483E-5</v>
      </c>
      <c r="S647">
        <f t="shared" si="88"/>
        <v>3.1082000013726765E-4</v>
      </c>
      <c r="T647">
        <f t="shared" si="89"/>
        <v>1.763008792199482E-2</v>
      </c>
    </row>
    <row r="648" spans="1:20" x14ac:dyDescent="0.3">
      <c r="A648" s="2" t="s">
        <v>1165</v>
      </c>
      <c r="B648" s="2" t="s">
        <v>1152</v>
      </c>
      <c r="C648" s="2" t="s">
        <v>20</v>
      </c>
      <c r="D648" s="2" t="s">
        <v>1155</v>
      </c>
      <c r="E648">
        <v>593090.77769999998</v>
      </c>
      <c r="F648">
        <v>249153.87719999999</v>
      </c>
      <c r="G648">
        <v>168.9332</v>
      </c>
      <c r="J648" s="5" t="s">
        <v>1171</v>
      </c>
      <c r="K648" s="5" t="s">
        <v>1172</v>
      </c>
      <c r="L648" s="5" t="s">
        <v>1153</v>
      </c>
      <c r="M648" s="3">
        <f t="shared" si="82"/>
        <v>-1.1300000012852252E-2</v>
      </c>
      <c r="N648" s="3">
        <f t="shared" si="83"/>
        <v>1.5000000013969839E-2</v>
      </c>
      <c r="O648" s="3">
        <f t="shared" si="84"/>
        <v>3.899999999987358E-3</v>
      </c>
      <c r="P648">
        <f t="shared" si="85"/>
        <v>1.2769000029046087E-4</v>
      </c>
      <c r="Q648">
        <f t="shared" si="86"/>
        <v>2.2500000041909515E-4</v>
      </c>
      <c r="R648">
        <f t="shared" si="87"/>
        <v>1.5209999999901392E-5</v>
      </c>
      <c r="S648">
        <f t="shared" si="88"/>
        <v>3.5269000070955602E-4</v>
      </c>
      <c r="T648">
        <f t="shared" si="89"/>
        <v>1.8780042617351965E-2</v>
      </c>
    </row>
    <row r="649" spans="1:20" x14ac:dyDescent="0.3">
      <c r="A649" s="2" t="s">
        <v>1165</v>
      </c>
      <c r="B649" s="2" t="s">
        <v>1152</v>
      </c>
      <c r="C649" s="2" t="s">
        <v>51</v>
      </c>
      <c r="D649" s="2" t="s">
        <v>1147</v>
      </c>
      <c r="E649">
        <v>593090.77639999997</v>
      </c>
      <c r="F649">
        <v>249153.8879</v>
      </c>
      <c r="G649">
        <v>169.0301</v>
      </c>
      <c r="J649" s="5" t="s">
        <v>1171</v>
      </c>
      <c r="K649" s="5" t="s">
        <v>1172</v>
      </c>
      <c r="L649" s="5" t="s">
        <v>1153</v>
      </c>
      <c r="M649" s="3">
        <f t="shared" si="82"/>
        <v>-1.0000000009313226E-2</v>
      </c>
      <c r="N649" s="3">
        <f t="shared" si="83"/>
        <v>4.3000000005122274E-3</v>
      </c>
      <c r="O649" s="3">
        <f t="shared" si="84"/>
        <v>9.3000000000017735E-2</v>
      </c>
      <c r="P649">
        <f t="shared" si="85"/>
        <v>1.0000000018626452E-4</v>
      </c>
      <c r="Q649">
        <f t="shared" si="86"/>
        <v>1.8490000004405155E-5</v>
      </c>
      <c r="R649">
        <f t="shared" si="87"/>
        <v>8.6490000000032981E-3</v>
      </c>
      <c r="S649">
        <f t="shared" si="88"/>
        <v>1.1849000019066968E-4</v>
      </c>
      <c r="T649">
        <f t="shared" si="89"/>
        <v>1.088531121239396E-2</v>
      </c>
    </row>
    <row r="650" spans="1:20" x14ac:dyDescent="0.3">
      <c r="A650" s="2" t="s">
        <v>1165</v>
      </c>
      <c r="B650" s="2" t="s">
        <v>1152</v>
      </c>
      <c r="C650" s="2" t="s">
        <v>51</v>
      </c>
      <c r="D650" s="2" t="s">
        <v>1147</v>
      </c>
      <c r="E650">
        <v>593090.77850000001</v>
      </c>
      <c r="F650">
        <v>249153.87520000001</v>
      </c>
      <c r="G650">
        <v>169.01300000000001</v>
      </c>
      <c r="J650" s="5" t="s">
        <v>1171</v>
      </c>
      <c r="K650" s="5" t="s">
        <v>1172</v>
      </c>
      <c r="L650" s="5" t="s">
        <v>1153</v>
      </c>
      <c r="M650" s="3">
        <f t="shared" si="82"/>
        <v>-1.2100000050850213E-2</v>
      </c>
      <c r="N650" s="3">
        <f t="shared" si="83"/>
        <v>1.6999999992549419E-2</v>
      </c>
      <c r="O650" s="3">
        <f t="shared" si="84"/>
        <v>7.5900000000018508E-2</v>
      </c>
      <c r="P650">
        <f t="shared" si="85"/>
        <v>1.4641000123057513E-4</v>
      </c>
      <c r="Q650">
        <f t="shared" si="86"/>
        <v>2.8899999974668026E-4</v>
      </c>
      <c r="R650">
        <f t="shared" si="87"/>
        <v>5.7608100000028093E-3</v>
      </c>
      <c r="S650">
        <f t="shared" si="88"/>
        <v>4.3541000097725539E-4</v>
      </c>
      <c r="T650">
        <f t="shared" si="89"/>
        <v>2.0866480320774164E-2</v>
      </c>
    </row>
    <row r="651" spans="1:20" x14ac:dyDescent="0.3">
      <c r="A651" s="2" t="s">
        <v>1165</v>
      </c>
      <c r="B651" s="2" t="s">
        <v>1152</v>
      </c>
      <c r="C651" s="2" t="s">
        <v>51</v>
      </c>
      <c r="D651" s="2" t="s">
        <v>1147</v>
      </c>
      <c r="E651">
        <v>593090.78579999995</v>
      </c>
      <c r="F651">
        <v>249153.87280000001</v>
      </c>
      <c r="G651">
        <v>168.99799999999999</v>
      </c>
      <c r="J651" s="5" t="s">
        <v>1171</v>
      </c>
      <c r="K651" s="5" t="s">
        <v>1172</v>
      </c>
      <c r="L651" s="5" t="s">
        <v>1153</v>
      </c>
      <c r="M651" s="3">
        <f t="shared" si="82"/>
        <v>-1.9399999990127981E-2</v>
      </c>
      <c r="N651" s="3">
        <f t="shared" si="83"/>
        <v>1.9399999990127981E-2</v>
      </c>
      <c r="O651" s="3">
        <f t="shared" si="84"/>
        <v>6.0900000000003729E-2</v>
      </c>
      <c r="P651">
        <f t="shared" si="85"/>
        <v>3.7635999961696564E-4</v>
      </c>
      <c r="Q651">
        <f t="shared" si="86"/>
        <v>3.7635999961696564E-4</v>
      </c>
      <c r="R651">
        <f t="shared" si="87"/>
        <v>3.7088100000004544E-3</v>
      </c>
      <c r="S651">
        <f t="shared" si="88"/>
        <v>7.5271999923393128E-4</v>
      </c>
      <c r="T651">
        <f t="shared" si="89"/>
        <v>2.7435743096076898E-2</v>
      </c>
    </row>
    <row r="652" spans="1:20" x14ac:dyDescent="0.3">
      <c r="A652" s="2" t="s">
        <v>1165</v>
      </c>
      <c r="B652" s="2" t="s">
        <v>1152</v>
      </c>
      <c r="C652" s="2" t="s">
        <v>51</v>
      </c>
      <c r="D652" s="2" t="s">
        <v>30</v>
      </c>
      <c r="E652">
        <v>593090.79240000003</v>
      </c>
      <c r="F652">
        <v>249153.88219999999</v>
      </c>
      <c r="G652">
        <v>168.93039999999999</v>
      </c>
      <c r="J652" s="5" t="s">
        <v>1171</v>
      </c>
      <c r="K652" s="5" t="s">
        <v>1172</v>
      </c>
      <c r="L652" s="5" t="s">
        <v>1153</v>
      </c>
      <c r="M652" s="3">
        <f t="shared" si="82"/>
        <v>-2.6000000070780516E-2</v>
      </c>
      <c r="N652" s="3">
        <f t="shared" si="83"/>
        <v>1.0000000009313226E-2</v>
      </c>
      <c r="O652" s="3">
        <f t="shared" si="84"/>
        <v>6.6999999999950433E-3</v>
      </c>
      <c r="P652">
        <f t="shared" si="85"/>
        <v>6.7600000368058682E-4</v>
      </c>
      <c r="Q652">
        <f t="shared" si="86"/>
        <v>1.0000000018626452E-4</v>
      </c>
      <c r="R652">
        <f t="shared" si="87"/>
        <v>4.4889999999933578E-5</v>
      </c>
      <c r="S652">
        <f t="shared" si="88"/>
        <v>7.7600000386685128E-4</v>
      </c>
      <c r="T652">
        <f t="shared" si="89"/>
        <v>2.7856776623774174E-2</v>
      </c>
    </row>
    <row r="653" spans="1:20" x14ac:dyDescent="0.3">
      <c r="A653" s="2" t="s">
        <v>1165</v>
      </c>
      <c r="B653" s="2" t="s">
        <v>1152</v>
      </c>
      <c r="C653" s="2" t="s">
        <v>51</v>
      </c>
      <c r="D653" s="2" t="s">
        <v>30</v>
      </c>
      <c r="E653">
        <v>593090.79749999999</v>
      </c>
      <c r="F653">
        <v>249153.88149999999</v>
      </c>
      <c r="G653">
        <v>168.91569999999999</v>
      </c>
      <c r="J653" s="5" t="s">
        <v>1171</v>
      </c>
      <c r="K653" s="5" t="s">
        <v>1172</v>
      </c>
      <c r="L653" s="5" t="s">
        <v>1153</v>
      </c>
      <c r="M653" s="3">
        <f t="shared" si="82"/>
        <v>-3.1100000021979213E-2</v>
      </c>
      <c r="N653" s="3">
        <f t="shared" si="83"/>
        <v>1.0700000013457611E-2</v>
      </c>
      <c r="O653" s="3">
        <f t="shared" si="84"/>
        <v>2.1399999999999864E-2</v>
      </c>
      <c r="P653">
        <f t="shared" si="85"/>
        <v>9.6721000136710698E-4</v>
      </c>
      <c r="Q653">
        <f t="shared" si="86"/>
        <v>1.1449000028799288E-4</v>
      </c>
      <c r="R653">
        <f t="shared" si="87"/>
        <v>4.5795999999999419E-4</v>
      </c>
      <c r="S653">
        <f t="shared" si="88"/>
        <v>1.0817000016550998E-3</v>
      </c>
      <c r="T653">
        <f t="shared" si="89"/>
        <v>3.2889207981572008E-2</v>
      </c>
    </row>
    <row r="654" spans="1:20" x14ac:dyDescent="0.3">
      <c r="A654" s="2" t="s">
        <v>1165</v>
      </c>
      <c r="B654" s="2" t="s">
        <v>1152</v>
      </c>
      <c r="C654" s="2" t="s">
        <v>51</v>
      </c>
      <c r="D654" s="2" t="s">
        <v>30</v>
      </c>
      <c r="E654">
        <v>593090.79980000004</v>
      </c>
      <c r="F654">
        <v>249153.88380000001</v>
      </c>
      <c r="G654">
        <v>168.911</v>
      </c>
      <c r="J654" s="5" t="s">
        <v>1171</v>
      </c>
      <c r="K654" s="5" t="s">
        <v>1172</v>
      </c>
      <c r="L654" s="5" t="s">
        <v>1153</v>
      </c>
      <c r="M654" s="3">
        <f t="shared" si="82"/>
        <v>-3.340000007301569E-2</v>
      </c>
      <c r="N654" s="3">
        <f t="shared" si="83"/>
        <v>8.3999999915249646E-3</v>
      </c>
      <c r="O654" s="3">
        <f t="shared" si="84"/>
        <v>2.6099999999985357E-2</v>
      </c>
      <c r="P654">
        <f t="shared" si="85"/>
        <v>1.1155600048774481E-3</v>
      </c>
      <c r="Q654">
        <f t="shared" si="86"/>
        <v>7.0559999857619401E-5</v>
      </c>
      <c r="R654">
        <f t="shared" si="87"/>
        <v>6.8120999999923566E-4</v>
      </c>
      <c r="S654">
        <f t="shared" si="88"/>
        <v>1.1861200047350675E-3</v>
      </c>
      <c r="T654">
        <f t="shared" si="89"/>
        <v>3.4440092983833062E-2</v>
      </c>
    </row>
    <row r="655" spans="1:20" x14ac:dyDescent="0.3">
      <c r="A655" s="2" t="s">
        <v>1165</v>
      </c>
      <c r="B655" s="2" t="s">
        <v>1152</v>
      </c>
      <c r="C655" s="2" t="s">
        <v>51</v>
      </c>
      <c r="D655" s="2" t="s">
        <v>1149</v>
      </c>
      <c r="E655">
        <v>593090.78410000005</v>
      </c>
      <c r="F655">
        <v>249153.894</v>
      </c>
      <c r="G655">
        <v>168.91929999999999</v>
      </c>
      <c r="J655" s="5" t="s">
        <v>1171</v>
      </c>
      <c r="K655" s="5" t="s">
        <v>1172</v>
      </c>
      <c r="L655" s="5" t="s">
        <v>1153</v>
      </c>
      <c r="M655" s="3">
        <f t="shared" si="82"/>
        <v>-1.7700000084005296E-2</v>
      </c>
      <c r="N655" s="3">
        <f t="shared" si="83"/>
        <v>-1.799999998183921E-3</v>
      </c>
      <c r="O655" s="3">
        <f t="shared" si="84"/>
        <v>1.7799999999994043E-2</v>
      </c>
      <c r="P655">
        <f t="shared" si="85"/>
        <v>3.1329000297378748E-4</v>
      </c>
      <c r="Q655">
        <f t="shared" si="86"/>
        <v>3.2399999934621155E-6</v>
      </c>
      <c r="R655">
        <f t="shared" si="87"/>
        <v>3.1683999999978791E-4</v>
      </c>
      <c r="S655">
        <f t="shared" si="88"/>
        <v>3.1653000296724958E-4</v>
      </c>
      <c r="T655">
        <f t="shared" si="89"/>
        <v>1.7791290087209796E-2</v>
      </c>
    </row>
    <row r="656" spans="1:20" x14ac:dyDescent="0.3">
      <c r="A656" s="2" t="s">
        <v>1165</v>
      </c>
      <c r="B656" s="2" t="s">
        <v>1152</v>
      </c>
      <c r="C656" s="2" t="s">
        <v>51</v>
      </c>
      <c r="D656" s="2" t="s">
        <v>1149</v>
      </c>
      <c r="E656">
        <v>593090.78810000001</v>
      </c>
      <c r="F656">
        <v>249153.89290000001</v>
      </c>
      <c r="G656">
        <v>168.92259999999999</v>
      </c>
      <c r="J656" s="5" t="s">
        <v>1171</v>
      </c>
      <c r="K656" s="5" t="s">
        <v>1172</v>
      </c>
      <c r="L656" s="5" t="s">
        <v>1153</v>
      </c>
      <c r="M656" s="3">
        <f t="shared" si="82"/>
        <v>-2.1700000041164458E-2</v>
      </c>
      <c r="N656" s="3">
        <f t="shared" si="83"/>
        <v>-7.0000000414438546E-4</v>
      </c>
      <c r="O656" s="3">
        <f t="shared" si="84"/>
        <v>1.4499999999998181E-2</v>
      </c>
      <c r="P656">
        <f t="shared" si="85"/>
        <v>4.7089000178653746E-4</v>
      </c>
      <c r="Q656">
        <f t="shared" si="86"/>
        <v>4.9000000580213966E-7</v>
      </c>
      <c r="R656">
        <f t="shared" si="87"/>
        <v>2.1024999999994724E-4</v>
      </c>
      <c r="S656">
        <f t="shared" si="88"/>
        <v>4.7138000179233958E-4</v>
      </c>
      <c r="T656">
        <f t="shared" si="89"/>
        <v>2.1711287428255829E-2</v>
      </c>
    </row>
    <row r="657" spans="1:20" x14ac:dyDescent="0.3">
      <c r="A657" s="2" t="s">
        <v>1165</v>
      </c>
      <c r="B657" s="2" t="s">
        <v>1152</v>
      </c>
      <c r="C657" s="2" t="s">
        <v>51</v>
      </c>
      <c r="D657" s="2" t="s">
        <v>1149</v>
      </c>
      <c r="E657">
        <v>593090.79070000001</v>
      </c>
      <c r="F657">
        <v>249153.89189999999</v>
      </c>
      <c r="G657">
        <v>168.9186</v>
      </c>
      <c r="J657" s="5" t="s">
        <v>1171</v>
      </c>
      <c r="K657" s="5" t="s">
        <v>1172</v>
      </c>
      <c r="L657" s="5" t="s">
        <v>1153</v>
      </c>
      <c r="M657" s="3">
        <f t="shared" si="82"/>
        <v>-2.4300000048242509E-2</v>
      </c>
      <c r="N657" s="3">
        <f t="shared" si="83"/>
        <v>3.0000001424923539E-4</v>
      </c>
      <c r="O657" s="3">
        <f t="shared" si="84"/>
        <v>1.8499999999988859E-2</v>
      </c>
      <c r="P657">
        <f t="shared" si="85"/>
        <v>5.9049000234458594E-4</v>
      </c>
      <c r="Q657">
        <f t="shared" si="86"/>
        <v>9.0000008549541438E-8</v>
      </c>
      <c r="R657">
        <f t="shared" si="87"/>
        <v>3.4224999999958778E-4</v>
      </c>
      <c r="S657">
        <f t="shared" si="88"/>
        <v>5.9058000235313554E-4</v>
      </c>
      <c r="T657">
        <f t="shared" si="89"/>
        <v>2.4301851829709099E-2</v>
      </c>
    </row>
    <row r="658" spans="1:20" x14ac:dyDescent="0.3">
      <c r="A658" s="2" t="s">
        <v>1165</v>
      </c>
      <c r="B658" s="2" t="s">
        <v>1156</v>
      </c>
      <c r="C658" s="2" t="s">
        <v>422</v>
      </c>
      <c r="D658" s="2" t="s">
        <v>1019</v>
      </c>
      <c r="E658">
        <v>588053.46939999994</v>
      </c>
      <c r="F658">
        <v>263201.7732</v>
      </c>
      <c r="G658">
        <v>76.112200000000001</v>
      </c>
      <c r="J658" s="5" t="s">
        <v>1173</v>
      </c>
      <c r="K658" s="5" t="s">
        <v>1174</v>
      </c>
      <c r="L658" s="5" t="s">
        <v>1157</v>
      </c>
      <c r="M658" s="3">
        <f t="shared" si="82"/>
        <v>-1.2499999953433871E-2</v>
      </c>
      <c r="N658" s="3">
        <f t="shared" si="83"/>
        <v>1.5100000018719584E-2</v>
      </c>
      <c r="O658" s="3">
        <f t="shared" si="84"/>
        <v>0.15739999999999554</v>
      </c>
      <c r="P658">
        <f t="shared" si="85"/>
        <v>1.5624999883584678E-4</v>
      </c>
      <c r="Q658">
        <f t="shared" si="86"/>
        <v>2.2801000056533143E-4</v>
      </c>
      <c r="R658">
        <f t="shared" si="87"/>
        <v>2.4774759999998598E-2</v>
      </c>
      <c r="S658">
        <f t="shared" si="88"/>
        <v>3.8425999940117821E-4</v>
      </c>
      <c r="T658">
        <f t="shared" si="89"/>
        <v>1.9602550839142804E-2</v>
      </c>
    </row>
    <row r="659" spans="1:20" x14ac:dyDescent="0.3">
      <c r="A659" s="2" t="s">
        <v>1165</v>
      </c>
      <c r="B659" s="2" t="s">
        <v>1156</v>
      </c>
      <c r="C659" s="2" t="s">
        <v>422</v>
      </c>
      <c r="D659" s="2" t="s">
        <v>1019</v>
      </c>
      <c r="E659">
        <v>588053.46739999996</v>
      </c>
      <c r="F659">
        <v>263201.77149999997</v>
      </c>
      <c r="G659">
        <v>76.112300000000005</v>
      </c>
      <c r="J659" s="5" t="s">
        <v>1173</v>
      </c>
      <c r="K659" s="5" t="s">
        <v>1174</v>
      </c>
      <c r="L659" s="5" t="s">
        <v>1157</v>
      </c>
      <c r="M659" s="3">
        <f t="shared" si="82"/>
        <v>-1.049999997485429E-2</v>
      </c>
      <c r="N659" s="3">
        <f t="shared" si="83"/>
        <v>1.680000004125759E-2</v>
      </c>
      <c r="O659" s="3">
        <f t="shared" si="84"/>
        <v>0.15749999999999886</v>
      </c>
      <c r="P659">
        <f t="shared" si="85"/>
        <v>1.102499994719401E-4</v>
      </c>
      <c r="Q659">
        <f t="shared" si="86"/>
        <v>2.8224000138625505E-4</v>
      </c>
      <c r="R659">
        <f t="shared" si="87"/>
        <v>2.4806249999999641E-2</v>
      </c>
      <c r="S659">
        <f t="shared" si="88"/>
        <v>3.9249000085819514E-4</v>
      </c>
      <c r="T659">
        <f t="shared" si="89"/>
        <v>1.9811360398978035E-2</v>
      </c>
    </row>
    <row r="660" spans="1:20" x14ac:dyDescent="0.3">
      <c r="A660" s="2" t="s">
        <v>1165</v>
      </c>
      <c r="B660" s="2" t="s">
        <v>1156</v>
      </c>
      <c r="C660" s="2" t="s">
        <v>422</v>
      </c>
      <c r="D660" s="2" t="s">
        <v>1019</v>
      </c>
      <c r="E660">
        <v>588053.46990000003</v>
      </c>
      <c r="F660">
        <v>263201.77289999998</v>
      </c>
      <c r="G660">
        <v>76.113600000000005</v>
      </c>
      <c r="J660" s="5" t="s">
        <v>1173</v>
      </c>
      <c r="K660" s="5" t="s">
        <v>1174</v>
      </c>
      <c r="L660" s="5" t="s">
        <v>1157</v>
      </c>
      <c r="M660" s="3">
        <f t="shared" si="82"/>
        <v>-1.3000000035390258E-2</v>
      </c>
      <c r="N660" s="3">
        <f t="shared" si="83"/>
        <v>1.5400000032968819E-2</v>
      </c>
      <c r="O660" s="3">
        <f t="shared" si="84"/>
        <v>0.15879999999999939</v>
      </c>
      <c r="P660">
        <f t="shared" si="85"/>
        <v>1.690000009201467E-4</v>
      </c>
      <c r="Q660">
        <f t="shared" si="86"/>
        <v>2.3716000101543962E-4</v>
      </c>
      <c r="R660">
        <f t="shared" si="87"/>
        <v>2.5217439999999806E-2</v>
      </c>
      <c r="S660">
        <f t="shared" si="88"/>
        <v>4.0616000193558632E-4</v>
      </c>
      <c r="T660">
        <f t="shared" si="89"/>
        <v>2.0153411669878288E-2</v>
      </c>
    </row>
    <row r="661" spans="1:20" x14ac:dyDescent="0.3">
      <c r="A661" s="2" t="s">
        <v>1165</v>
      </c>
      <c r="B661" s="2" t="s">
        <v>1156</v>
      </c>
      <c r="C661" s="2" t="s">
        <v>422</v>
      </c>
      <c r="D661" s="2" t="s">
        <v>423</v>
      </c>
      <c r="E661">
        <v>588053.46360000002</v>
      </c>
      <c r="F661">
        <v>263201.77370000002</v>
      </c>
      <c r="G661">
        <v>76.085499999999996</v>
      </c>
      <c r="J661" s="5" t="s">
        <v>1173</v>
      </c>
      <c r="K661" s="5" t="s">
        <v>1174</v>
      </c>
      <c r="L661" s="5" t="s">
        <v>1157</v>
      </c>
      <c r="M661" s="3">
        <f t="shared" si="82"/>
        <v>-6.7000000271946192E-3</v>
      </c>
      <c r="N661" s="3">
        <f t="shared" si="83"/>
        <v>1.4599999994970858E-2</v>
      </c>
      <c r="O661" s="3">
        <f t="shared" si="84"/>
        <v>0.13069999999999027</v>
      </c>
      <c r="P661">
        <f t="shared" si="85"/>
        <v>4.4890000364407898E-5</v>
      </c>
      <c r="Q661">
        <f t="shared" si="86"/>
        <v>2.1315999985314904E-4</v>
      </c>
      <c r="R661">
        <f t="shared" si="87"/>
        <v>1.7082489999997456E-2</v>
      </c>
      <c r="S661">
        <f t="shared" si="88"/>
        <v>2.5805000021755694E-4</v>
      </c>
      <c r="T661">
        <f t="shared" si="89"/>
        <v>1.6063934767595295E-2</v>
      </c>
    </row>
    <row r="662" spans="1:20" x14ac:dyDescent="0.3">
      <c r="A662" s="2" t="s">
        <v>1165</v>
      </c>
      <c r="B662" s="2" t="s">
        <v>1156</v>
      </c>
      <c r="C662" s="2" t="s">
        <v>422</v>
      </c>
      <c r="D662" s="2" t="s">
        <v>423</v>
      </c>
      <c r="E662">
        <v>588053.46070000005</v>
      </c>
      <c r="F662">
        <v>263201.76870000002</v>
      </c>
      <c r="G662">
        <v>76.089399999999998</v>
      </c>
      <c r="J662" s="5" t="s">
        <v>1173</v>
      </c>
      <c r="K662" s="5" t="s">
        <v>1174</v>
      </c>
      <c r="L662" s="5" t="s">
        <v>1157</v>
      </c>
      <c r="M662" s="3">
        <f t="shared" si="82"/>
        <v>-3.8000000640749931E-3</v>
      </c>
      <c r="N662" s="3">
        <f t="shared" si="83"/>
        <v>1.9599999999627471E-2</v>
      </c>
      <c r="O662" s="3">
        <f t="shared" si="84"/>
        <v>0.13459999999999184</v>
      </c>
      <c r="P662">
        <f t="shared" si="85"/>
        <v>1.4440000486969952E-5</v>
      </c>
      <c r="Q662">
        <f t="shared" si="86"/>
        <v>3.8415999998539686E-4</v>
      </c>
      <c r="R662">
        <f t="shared" si="87"/>
        <v>1.8117159999997804E-2</v>
      </c>
      <c r="S662">
        <f t="shared" si="88"/>
        <v>3.9860000047236681E-4</v>
      </c>
      <c r="T662">
        <f t="shared" si="89"/>
        <v>1.9964969333118615E-2</v>
      </c>
    </row>
    <row r="663" spans="1:20" x14ac:dyDescent="0.3">
      <c r="A663" s="2" t="s">
        <v>1165</v>
      </c>
      <c r="B663" s="2" t="s">
        <v>1156</v>
      </c>
      <c r="C663" s="2" t="s">
        <v>422</v>
      </c>
      <c r="D663" s="2" t="s">
        <v>423</v>
      </c>
      <c r="E663">
        <v>588053.46259999997</v>
      </c>
      <c r="F663">
        <v>263201.77069999999</v>
      </c>
      <c r="G663">
        <v>76.093299999999999</v>
      </c>
      <c r="J663" s="5" t="s">
        <v>1173</v>
      </c>
      <c r="K663" s="5" t="s">
        <v>1174</v>
      </c>
      <c r="L663" s="5" t="s">
        <v>1157</v>
      </c>
      <c r="M663" s="3">
        <f t="shared" si="82"/>
        <v>-5.6999999796971679E-3</v>
      </c>
      <c r="N663" s="3">
        <f t="shared" si="83"/>
        <v>1.760000002104789E-2</v>
      </c>
      <c r="O663" s="3">
        <f t="shared" si="84"/>
        <v>0.13849999999999341</v>
      </c>
      <c r="P663">
        <f t="shared" si="85"/>
        <v>3.2489999768547714E-5</v>
      </c>
      <c r="Q663">
        <f t="shared" si="86"/>
        <v>3.0976000074088572E-4</v>
      </c>
      <c r="R663">
        <f t="shared" si="87"/>
        <v>1.9182249999998173E-2</v>
      </c>
      <c r="S663">
        <f t="shared" si="88"/>
        <v>3.4225000050943342E-4</v>
      </c>
      <c r="T663">
        <f t="shared" si="89"/>
        <v>1.8500000013768472E-2</v>
      </c>
    </row>
    <row r="664" spans="1:20" x14ac:dyDescent="0.3">
      <c r="A664" s="2" t="s">
        <v>1165</v>
      </c>
      <c r="B664" s="2" t="s">
        <v>1156</v>
      </c>
      <c r="C664" s="2" t="s">
        <v>20</v>
      </c>
      <c r="D664" s="2" t="s">
        <v>1158</v>
      </c>
      <c r="E664">
        <v>588053.45629999996</v>
      </c>
      <c r="F664">
        <v>263201.76880000002</v>
      </c>
      <c r="G664">
        <v>75.978999999999999</v>
      </c>
      <c r="J664" s="5" t="s">
        <v>1173</v>
      </c>
      <c r="K664" s="5" t="s">
        <v>1174</v>
      </c>
      <c r="L664" s="5" t="s">
        <v>1157</v>
      </c>
      <c r="M664" s="3">
        <f t="shared" si="82"/>
        <v>6.0000002849847078E-4</v>
      </c>
      <c r="N664" s="3">
        <f t="shared" si="83"/>
        <v>1.9499999994877726E-2</v>
      </c>
      <c r="O664" s="3">
        <f t="shared" si="84"/>
        <v>2.4199999999993338E-2</v>
      </c>
      <c r="P664">
        <f t="shared" si="85"/>
        <v>3.6000003419816575E-7</v>
      </c>
      <c r="Q664">
        <f t="shared" si="86"/>
        <v>3.802499998002313E-4</v>
      </c>
      <c r="R664">
        <f t="shared" si="87"/>
        <v>5.8563999999967757E-4</v>
      </c>
      <c r="S664">
        <f t="shared" si="88"/>
        <v>3.8060999983442946E-4</v>
      </c>
      <c r="T664">
        <f t="shared" si="89"/>
        <v>1.9509228581223542E-2</v>
      </c>
    </row>
    <row r="665" spans="1:20" x14ac:dyDescent="0.3">
      <c r="A665" s="2" t="s">
        <v>1165</v>
      </c>
      <c r="B665" s="2" t="s">
        <v>1156</v>
      </c>
      <c r="C665" s="2" t="s">
        <v>20</v>
      </c>
      <c r="D665" s="2" t="s">
        <v>1158</v>
      </c>
      <c r="E665">
        <v>588053.45519999997</v>
      </c>
      <c r="F665">
        <v>263201.76949999999</v>
      </c>
      <c r="G665">
        <v>75.978300000000004</v>
      </c>
      <c r="J665" s="5" t="s">
        <v>1173</v>
      </c>
      <c r="K665" s="5" t="s">
        <v>1174</v>
      </c>
      <c r="L665" s="5" t="s">
        <v>1157</v>
      </c>
      <c r="M665" s="3">
        <f t="shared" si="82"/>
        <v>1.7000000225380063E-3</v>
      </c>
      <c r="N665" s="3">
        <f t="shared" si="83"/>
        <v>1.8800000019837171E-2</v>
      </c>
      <c r="O665" s="3">
        <f t="shared" si="84"/>
        <v>2.3499999999998522E-2</v>
      </c>
      <c r="P665">
        <f t="shared" si="85"/>
        <v>2.8900000766292219E-6</v>
      </c>
      <c r="Q665">
        <f t="shared" si="86"/>
        <v>3.5344000074587765E-4</v>
      </c>
      <c r="R665">
        <f t="shared" si="87"/>
        <v>5.5224999999993051E-4</v>
      </c>
      <c r="S665">
        <f t="shared" si="88"/>
        <v>3.5633000082250686E-4</v>
      </c>
      <c r="T665">
        <f t="shared" si="89"/>
        <v>1.8876705242772289E-2</v>
      </c>
    </row>
    <row r="666" spans="1:20" x14ac:dyDescent="0.3">
      <c r="A666" s="2" t="s">
        <v>1165</v>
      </c>
      <c r="B666" s="2" t="s">
        <v>1156</v>
      </c>
      <c r="C666" s="2" t="s">
        <v>20</v>
      </c>
      <c r="D666" s="2" t="s">
        <v>1158</v>
      </c>
      <c r="E666">
        <v>588053.4534</v>
      </c>
      <c r="F666">
        <v>263201.77010000002</v>
      </c>
      <c r="G666">
        <v>75.976100000000002</v>
      </c>
      <c r="J666" s="5" t="s">
        <v>1173</v>
      </c>
      <c r="K666" s="5" t="s">
        <v>1174</v>
      </c>
      <c r="L666" s="5" t="s">
        <v>1157</v>
      </c>
      <c r="M666" s="3">
        <f t="shared" si="82"/>
        <v>3.4999999916180968E-3</v>
      </c>
      <c r="N666" s="3">
        <f t="shared" si="83"/>
        <v>1.81999999913387E-2</v>
      </c>
      <c r="O666" s="3">
        <f t="shared" si="84"/>
        <v>2.1299999999996544E-2</v>
      </c>
      <c r="P666">
        <f t="shared" si="85"/>
        <v>1.2249999941326678E-5</v>
      </c>
      <c r="Q666">
        <f t="shared" si="86"/>
        <v>3.3123999968472871E-4</v>
      </c>
      <c r="R666">
        <f t="shared" si="87"/>
        <v>4.5368999999985279E-4</v>
      </c>
      <c r="S666">
        <f t="shared" si="88"/>
        <v>3.4348999962605537E-4</v>
      </c>
      <c r="T666">
        <f t="shared" si="89"/>
        <v>1.8533483202734864E-2</v>
      </c>
    </row>
    <row r="667" spans="1:20" x14ac:dyDescent="0.3">
      <c r="A667" s="2" t="s">
        <v>1165</v>
      </c>
      <c r="B667" s="2" t="s">
        <v>1156</v>
      </c>
      <c r="C667" s="2" t="s">
        <v>20</v>
      </c>
      <c r="D667" s="2" t="s">
        <v>1112</v>
      </c>
      <c r="E667">
        <v>588053.45689999999</v>
      </c>
      <c r="F667">
        <v>263201.76689999999</v>
      </c>
      <c r="G667">
        <v>75.978399999999993</v>
      </c>
      <c r="J667" s="5" t="s">
        <v>1173</v>
      </c>
      <c r="K667" s="5" t="s">
        <v>1174</v>
      </c>
      <c r="L667" s="5" t="s">
        <v>1157</v>
      </c>
      <c r="M667" s="3">
        <f t="shared" si="82"/>
        <v>0</v>
      </c>
      <c r="N667" s="3">
        <f t="shared" si="83"/>
        <v>2.1400000026915222E-2</v>
      </c>
      <c r="O667" s="3">
        <f t="shared" si="84"/>
        <v>2.3599999999987631E-2</v>
      </c>
      <c r="P667">
        <f t="shared" si="85"/>
        <v>0</v>
      </c>
      <c r="Q667">
        <f t="shared" si="86"/>
        <v>4.5796000115197152E-4</v>
      </c>
      <c r="R667">
        <f t="shared" si="87"/>
        <v>5.5695999999941616E-4</v>
      </c>
      <c r="S667">
        <f t="shared" si="88"/>
        <v>4.5796000115197152E-4</v>
      </c>
      <c r="T667">
        <f t="shared" si="89"/>
        <v>2.1400000026915222E-2</v>
      </c>
    </row>
    <row r="668" spans="1:20" x14ac:dyDescent="0.3">
      <c r="A668" s="2" t="s">
        <v>1165</v>
      </c>
      <c r="B668" s="2" t="s">
        <v>1156</v>
      </c>
      <c r="C668" s="2" t="s">
        <v>20</v>
      </c>
      <c r="D668" s="2" t="s">
        <v>1112</v>
      </c>
      <c r="E668">
        <v>588053.45539999998</v>
      </c>
      <c r="F668">
        <v>263201.76579999999</v>
      </c>
      <c r="G668">
        <v>75.977699999999999</v>
      </c>
      <c r="J668" s="5" t="s">
        <v>1173</v>
      </c>
      <c r="K668" s="5" t="s">
        <v>1174</v>
      </c>
      <c r="L668" s="5" t="s">
        <v>1157</v>
      </c>
      <c r="M668" s="3">
        <f t="shared" si="82"/>
        <v>1.500000013038516E-3</v>
      </c>
      <c r="N668" s="3">
        <f t="shared" si="83"/>
        <v>2.2500000020954758E-2</v>
      </c>
      <c r="O668" s="3">
        <f t="shared" si="84"/>
        <v>2.2899999999992815E-2</v>
      </c>
      <c r="P668">
        <f t="shared" si="85"/>
        <v>2.2500000391155483E-6</v>
      </c>
      <c r="Q668">
        <f t="shared" si="86"/>
        <v>5.062500009429641E-4</v>
      </c>
      <c r="R668">
        <f t="shared" si="87"/>
        <v>5.2440999999967095E-4</v>
      </c>
      <c r="S668">
        <f t="shared" si="88"/>
        <v>5.0850000098207971E-4</v>
      </c>
      <c r="T668">
        <f t="shared" si="89"/>
        <v>2.2549944589335021E-2</v>
      </c>
    </row>
    <row r="669" spans="1:20" x14ac:dyDescent="0.3">
      <c r="A669" s="2" t="s">
        <v>1165</v>
      </c>
      <c r="B669" s="2" t="s">
        <v>1156</v>
      </c>
      <c r="C669" s="2" t="s">
        <v>20</v>
      </c>
      <c r="D669" s="2" t="s">
        <v>1112</v>
      </c>
      <c r="E669">
        <v>588053.45640000002</v>
      </c>
      <c r="F669">
        <v>263201.76520000002</v>
      </c>
      <c r="G669">
        <v>75.977099999999993</v>
      </c>
      <c r="J669" s="5" t="s">
        <v>1173</v>
      </c>
      <c r="K669" s="5" t="s">
        <v>1174</v>
      </c>
      <c r="L669" s="5" t="s">
        <v>1157</v>
      </c>
      <c r="M669" s="3">
        <f t="shared" si="82"/>
        <v>4.9999996554106474E-4</v>
      </c>
      <c r="N669" s="3">
        <f t="shared" si="83"/>
        <v>2.3099999991245568E-2</v>
      </c>
      <c r="O669" s="3">
        <f t="shared" si="84"/>
        <v>2.2299999999987108E-2</v>
      </c>
      <c r="P669">
        <f t="shared" si="85"/>
        <v>2.4999996554106593E-7</v>
      </c>
      <c r="Q669">
        <f t="shared" si="86"/>
        <v>5.3360999959554522E-4</v>
      </c>
      <c r="R669">
        <f t="shared" si="87"/>
        <v>4.97289999999425E-4</v>
      </c>
      <c r="S669">
        <f t="shared" si="88"/>
        <v>5.3385999956108627E-4</v>
      </c>
      <c r="T669">
        <f t="shared" si="89"/>
        <v>2.3105410612258903E-2</v>
      </c>
    </row>
    <row r="670" spans="1:20" x14ac:dyDescent="0.3">
      <c r="A670" s="2" t="s">
        <v>1165</v>
      </c>
      <c r="B670" s="2" t="s">
        <v>1156</v>
      </c>
      <c r="C670" s="2" t="s">
        <v>20</v>
      </c>
      <c r="D670" s="2" t="s">
        <v>1142</v>
      </c>
      <c r="E670">
        <v>588053.44779999997</v>
      </c>
      <c r="F670">
        <v>263201.76659999997</v>
      </c>
      <c r="G670">
        <v>75.970299999999995</v>
      </c>
      <c r="J670" s="5" t="s">
        <v>1173</v>
      </c>
      <c r="K670" s="5" t="s">
        <v>1174</v>
      </c>
      <c r="L670" s="5" t="s">
        <v>1157</v>
      </c>
      <c r="M670" s="3">
        <f t="shared" si="82"/>
        <v>9.1000000247731805E-3</v>
      </c>
      <c r="N670" s="3">
        <f t="shared" si="83"/>
        <v>2.1700000041164458E-2</v>
      </c>
      <c r="O670" s="3">
        <f t="shared" si="84"/>
        <v>1.5499999999988745E-2</v>
      </c>
      <c r="P670">
        <f t="shared" si="85"/>
        <v>8.2810000450871885E-5</v>
      </c>
      <c r="Q670">
        <f t="shared" si="86"/>
        <v>4.7089000178653746E-4</v>
      </c>
      <c r="R670">
        <f t="shared" si="87"/>
        <v>2.4024999999965109E-4</v>
      </c>
      <c r="S670">
        <f t="shared" si="88"/>
        <v>5.5370000223740933E-4</v>
      </c>
      <c r="T670">
        <f t="shared" si="89"/>
        <v>2.3530830887102335E-2</v>
      </c>
    </row>
    <row r="671" spans="1:20" x14ac:dyDescent="0.3">
      <c r="A671" s="2" t="s">
        <v>1165</v>
      </c>
      <c r="B671" s="2" t="s">
        <v>1156</v>
      </c>
      <c r="C671" s="2" t="s">
        <v>20</v>
      </c>
      <c r="D671" s="2" t="s">
        <v>1142</v>
      </c>
      <c r="E671">
        <v>588053.44519999996</v>
      </c>
      <c r="F671">
        <v>263201.76699999999</v>
      </c>
      <c r="G671">
        <v>75.967299999999994</v>
      </c>
      <c r="J671" s="5" t="s">
        <v>1173</v>
      </c>
      <c r="K671" s="5" t="s">
        <v>1174</v>
      </c>
      <c r="L671" s="5" t="s">
        <v>1157</v>
      </c>
      <c r="M671" s="3">
        <f t="shared" si="82"/>
        <v>1.1700000031851232E-2</v>
      </c>
      <c r="N671" s="3">
        <f t="shared" si="83"/>
        <v>2.1300000022165477E-2</v>
      </c>
      <c r="O671" s="3">
        <f t="shared" si="84"/>
        <v>1.2499999999988631E-2</v>
      </c>
      <c r="P671">
        <f t="shared" si="85"/>
        <v>1.3689000074531882E-4</v>
      </c>
      <c r="Q671">
        <f t="shared" si="86"/>
        <v>4.5369000094424932E-4</v>
      </c>
      <c r="R671">
        <f t="shared" si="87"/>
        <v>1.5624999999971578E-4</v>
      </c>
      <c r="S671">
        <f t="shared" si="88"/>
        <v>5.9058000168956814E-4</v>
      </c>
      <c r="T671">
        <f t="shared" si="89"/>
        <v>2.4301851816056489E-2</v>
      </c>
    </row>
    <row r="672" spans="1:20" x14ac:dyDescent="0.3">
      <c r="A672" s="2" t="s">
        <v>1165</v>
      </c>
      <c r="B672" s="2" t="s">
        <v>1156</v>
      </c>
      <c r="C672" s="2" t="s">
        <v>20</v>
      </c>
      <c r="D672" s="2" t="s">
        <v>1142</v>
      </c>
      <c r="E672">
        <v>588053.44850000006</v>
      </c>
      <c r="F672">
        <v>263201.76760000002</v>
      </c>
      <c r="G672">
        <v>75.966200000000001</v>
      </c>
      <c r="J672" s="5" t="s">
        <v>1173</v>
      </c>
      <c r="K672" s="5" t="s">
        <v>1174</v>
      </c>
      <c r="L672" s="5" t="s">
        <v>1157</v>
      </c>
      <c r="M672" s="3">
        <f t="shared" si="82"/>
        <v>8.3999999333173037E-3</v>
      </c>
      <c r="N672" s="3">
        <f t="shared" si="83"/>
        <v>2.0699999993667006E-2</v>
      </c>
      <c r="O672" s="3">
        <f t="shared" si="84"/>
        <v>1.1399999999994748E-2</v>
      </c>
      <c r="P672">
        <f t="shared" si="85"/>
        <v>7.0559998879730706E-5</v>
      </c>
      <c r="Q672">
        <f t="shared" si="86"/>
        <v>4.2848999973781407E-4</v>
      </c>
      <c r="R672">
        <f t="shared" si="87"/>
        <v>1.2995999999988026E-4</v>
      </c>
      <c r="S672">
        <f t="shared" si="88"/>
        <v>4.9904999861754477E-4</v>
      </c>
      <c r="T672">
        <f t="shared" si="89"/>
        <v>2.233942699841571E-2</v>
      </c>
    </row>
    <row r="673" spans="1:20" x14ac:dyDescent="0.3">
      <c r="A673" s="2" t="s">
        <v>1165</v>
      </c>
      <c r="B673" s="2" t="s">
        <v>1156</v>
      </c>
      <c r="C673" s="2" t="s">
        <v>20</v>
      </c>
      <c r="D673" s="2" t="s">
        <v>37</v>
      </c>
      <c r="E673">
        <v>588053.46140000003</v>
      </c>
      <c r="F673">
        <v>263201.76809999999</v>
      </c>
      <c r="G673">
        <v>75.944199999999995</v>
      </c>
      <c r="J673" s="5" t="s">
        <v>1173</v>
      </c>
      <c r="K673" s="5" t="s">
        <v>1174</v>
      </c>
      <c r="L673" s="5" t="s">
        <v>1157</v>
      </c>
      <c r="M673" s="3">
        <f t="shared" si="82"/>
        <v>-4.5000000391155481E-3</v>
      </c>
      <c r="N673" s="3">
        <f t="shared" si="83"/>
        <v>2.0200000028125942E-2</v>
      </c>
      <c r="O673" s="3">
        <f t="shared" si="84"/>
        <v>1.0600000000010823E-2</v>
      </c>
      <c r="P673">
        <f t="shared" si="85"/>
        <v>2.0250000352039935E-5</v>
      </c>
      <c r="Q673">
        <f t="shared" si="86"/>
        <v>4.0804000113628803E-4</v>
      </c>
      <c r="R673">
        <f t="shared" si="87"/>
        <v>1.1236000000022945E-4</v>
      </c>
      <c r="S673">
        <f t="shared" si="88"/>
        <v>4.2829000148832797E-4</v>
      </c>
      <c r="T673">
        <f t="shared" si="89"/>
        <v>2.0695168554238159E-2</v>
      </c>
    </row>
    <row r="674" spans="1:20" x14ac:dyDescent="0.3">
      <c r="A674" s="2" t="s">
        <v>1165</v>
      </c>
      <c r="B674" s="2" t="s">
        <v>1156</v>
      </c>
      <c r="C674" s="2" t="s">
        <v>20</v>
      </c>
      <c r="D674" s="2" t="s">
        <v>37</v>
      </c>
      <c r="E674">
        <v>588053.46219999995</v>
      </c>
      <c r="F674">
        <v>263201.76980000001</v>
      </c>
      <c r="G674">
        <v>75.947100000000006</v>
      </c>
      <c r="J674" s="5" t="s">
        <v>1173</v>
      </c>
      <c r="K674" s="5" t="s">
        <v>1174</v>
      </c>
      <c r="L674" s="5" t="s">
        <v>1157</v>
      </c>
      <c r="M674" s="3">
        <f t="shared" si="82"/>
        <v>-5.2999999606981874E-3</v>
      </c>
      <c r="N674" s="3">
        <f t="shared" si="83"/>
        <v>1.8500000005587935E-2</v>
      </c>
      <c r="O674" s="3">
        <f t="shared" si="84"/>
        <v>7.6999999999998181E-3</v>
      </c>
      <c r="P674">
        <f t="shared" si="85"/>
        <v>2.8089999583400787E-5</v>
      </c>
      <c r="Q674">
        <f t="shared" si="86"/>
        <v>3.4225000020675361E-4</v>
      </c>
      <c r="R674">
        <f t="shared" si="87"/>
        <v>5.9289999999997198E-5</v>
      </c>
      <c r="S674">
        <f t="shared" si="88"/>
        <v>3.7033999979015439E-4</v>
      </c>
      <c r="T674">
        <f t="shared" si="89"/>
        <v>1.9244219905991369E-2</v>
      </c>
    </row>
    <row r="675" spans="1:20" x14ac:dyDescent="0.3">
      <c r="A675" s="2" t="s">
        <v>1165</v>
      </c>
      <c r="B675" s="2" t="s">
        <v>1156</v>
      </c>
      <c r="C675" s="2" t="s">
        <v>20</v>
      </c>
      <c r="D675" s="2" t="s">
        <v>37</v>
      </c>
      <c r="E675">
        <v>588053.46169999999</v>
      </c>
      <c r="F675">
        <v>263201.76929999999</v>
      </c>
      <c r="G675">
        <v>75.949600000000004</v>
      </c>
      <c r="J675" s="5" t="s">
        <v>1173</v>
      </c>
      <c r="K675" s="5" t="s">
        <v>1174</v>
      </c>
      <c r="L675" s="5" t="s">
        <v>1157</v>
      </c>
      <c r="M675" s="3">
        <f t="shared" si="82"/>
        <v>-4.7999999951571226E-3</v>
      </c>
      <c r="N675" s="3">
        <f t="shared" si="83"/>
        <v>1.9000000029336661E-2</v>
      </c>
      <c r="O675" s="3">
        <f t="shared" si="84"/>
        <v>5.2000000000020918E-3</v>
      </c>
      <c r="P675">
        <f t="shared" si="85"/>
        <v>2.3039999953508377E-5</v>
      </c>
      <c r="Q675">
        <f t="shared" si="86"/>
        <v>3.6100000111479315E-4</v>
      </c>
      <c r="R675">
        <f t="shared" si="87"/>
        <v>2.7040000000021754E-5</v>
      </c>
      <c r="S675">
        <f t="shared" si="88"/>
        <v>3.8404000106830152E-4</v>
      </c>
      <c r="T675">
        <f t="shared" si="89"/>
        <v>1.9596938563671153E-2</v>
      </c>
    </row>
    <row r="676" spans="1:20" x14ac:dyDescent="0.3">
      <c r="A676" s="2" t="s">
        <v>1165</v>
      </c>
      <c r="B676" s="2" t="s">
        <v>1156</v>
      </c>
      <c r="C676" s="2" t="s">
        <v>20</v>
      </c>
      <c r="D676" s="2" t="s">
        <v>1159</v>
      </c>
      <c r="E676">
        <v>588053.45849999995</v>
      </c>
      <c r="F676">
        <v>263201.76939999999</v>
      </c>
      <c r="G676">
        <v>75.970500000000001</v>
      </c>
      <c r="J676" s="5" t="s">
        <v>1173</v>
      </c>
      <c r="K676" s="5" t="s">
        <v>1174</v>
      </c>
      <c r="L676" s="5" t="s">
        <v>1157</v>
      </c>
      <c r="M676" s="3">
        <f t="shared" si="82"/>
        <v>-1.5999999595806003E-3</v>
      </c>
      <c r="N676" s="3">
        <f t="shared" si="83"/>
        <v>1.8900000024586916E-2</v>
      </c>
      <c r="O676" s="3">
        <f t="shared" si="84"/>
        <v>1.5699999999995384E-2</v>
      </c>
      <c r="P676">
        <f t="shared" si="85"/>
        <v>2.5599998706579225E-6</v>
      </c>
      <c r="Q676">
        <f t="shared" si="86"/>
        <v>3.5721000092938542E-4</v>
      </c>
      <c r="R676">
        <f t="shared" si="87"/>
        <v>2.4648999999985508E-4</v>
      </c>
      <c r="S676">
        <f t="shared" si="88"/>
        <v>3.5977000080004333E-4</v>
      </c>
      <c r="T676">
        <f t="shared" si="89"/>
        <v>1.8967603981527116E-2</v>
      </c>
    </row>
    <row r="677" spans="1:20" x14ac:dyDescent="0.3">
      <c r="A677" s="2" t="s">
        <v>1165</v>
      </c>
      <c r="B677" s="2" t="s">
        <v>1156</v>
      </c>
      <c r="C677" s="2" t="s">
        <v>20</v>
      </c>
      <c r="D677" s="2" t="s">
        <v>1159</v>
      </c>
      <c r="E677">
        <v>588053.45900000003</v>
      </c>
      <c r="F677">
        <v>263201.7683</v>
      </c>
      <c r="G677">
        <v>75.970399999999998</v>
      </c>
      <c r="J677" s="5" t="s">
        <v>1173</v>
      </c>
      <c r="K677" s="5" t="s">
        <v>1174</v>
      </c>
      <c r="L677" s="5" t="s">
        <v>1157</v>
      </c>
      <c r="M677" s="3">
        <f t="shared" si="82"/>
        <v>-2.1000000415369868E-3</v>
      </c>
      <c r="N677" s="3">
        <f t="shared" si="83"/>
        <v>2.0000000018626451E-2</v>
      </c>
      <c r="O677" s="3">
        <f t="shared" si="84"/>
        <v>1.5599999999992065E-2</v>
      </c>
      <c r="P677">
        <f t="shared" si="85"/>
        <v>4.4100001744553464E-6</v>
      </c>
      <c r="Q677">
        <f t="shared" si="86"/>
        <v>4.0000000074505806E-4</v>
      </c>
      <c r="R677">
        <f t="shared" si="87"/>
        <v>2.4335999999975242E-4</v>
      </c>
      <c r="S677">
        <f t="shared" si="88"/>
        <v>4.0441000091951339E-4</v>
      </c>
      <c r="T677">
        <f t="shared" si="89"/>
        <v>2.0109947809964931E-2</v>
      </c>
    </row>
    <row r="678" spans="1:20" x14ac:dyDescent="0.3">
      <c r="A678" s="2" t="s">
        <v>1165</v>
      </c>
      <c r="B678" s="2" t="s">
        <v>1156</v>
      </c>
      <c r="C678" s="2" t="s">
        <v>20</v>
      </c>
      <c r="D678" s="2" t="s">
        <v>1159</v>
      </c>
      <c r="E678">
        <v>588053.45959999994</v>
      </c>
      <c r="F678">
        <v>263201.76870000002</v>
      </c>
      <c r="G678">
        <v>75.970200000000006</v>
      </c>
      <c r="J678" s="5" t="s">
        <v>1173</v>
      </c>
      <c r="K678" s="5" t="s">
        <v>1174</v>
      </c>
      <c r="L678" s="5" t="s">
        <v>1157</v>
      </c>
      <c r="M678" s="3">
        <f t="shared" si="82"/>
        <v>-2.6999999536201358E-3</v>
      </c>
      <c r="N678" s="3">
        <f t="shared" si="83"/>
        <v>1.9599999999627471E-2</v>
      </c>
      <c r="O678" s="3">
        <f t="shared" si="84"/>
        <v>1.5399999999999636E-2</v>
      </c>
      <c r="P678">
        <f t="shared" si="85"/>
        <v>7.2899997495487354E-6</v>
      </c>
      <c r="Q678">
        <f t="shared" si="86"/>
        <v>3.8415999998539686E-4</v>
      </c>
      <c r="R678">
        <f t="shared" si="87"/>
        <v>2.3715999999998879E-4</v>
      </c>
      <c r="S678">
        <f t="shared" si="88"/>
        <v>3.9144999973494558E-4</v>
      </c>
      <c r="T678">
        <f t="shared" si="89"/>
        <v>1.9785095393627637E-2</v>
      </c>
    </row>
    <row r="679" spans="1:20" x14ac:dyDescent="0.3">
      <c r="A679" s="2" t="s">
        <v>1165</v>
      </c>
      <c r="B679" s="2" t="s">
        <v>1156</v>
      </c>
      <c r="C679" s="2" t="s">
        <v>51</v>
      </c>
      <c r="D679" s="2" t="s">
        <v>1144</v>
      </c>
      <c r="E679">
        <v>588053.4595</v>
      </c>
      <c r="F679">
        <v>263201.76929999999</v>
      </c>
      <c r="G679">
        <v>75.972800000000007</v>
      </c>
      <c r="J679" s="5" t="s">
        <v>1173</v>
      </c>
      <c r="K679" s="5" t="s">
        <v>1174</v>
      </c>
      <c r="L679" s="5" t="s">
        <v>1157</v>
      </c>
      <c r="M679" s="3">
        <f t="shared" si="82"/>
        <v>-2.6000000070780516E-3</v>
      </c>
      <c r="N679" s="3">
        <f t="shared" si="83"/>
        <v>1.9000000029336661E-2</v>
      </c>
      <c r="O679" s="3">
        <f t="shared" si="84"/>
        <v>1.8000000000000682E-2</v>
      </c>
      <c r="P679">
        <f t="shared" si="85"/>
        <v>6.7600000368058682E-6</v>
      </c>
      <c r="Q679">
        <f t="shared" si="86"/>
        <v>3.6100000111479315E-4</v>
      </c>
      <c r="R679">
        <f t="shared" si="87"/>
        <v>3.2400000000002457E-4</v>
      </c>
      <c r="S679">
        <f t="shared" si="88"/>
        <v>3.6776000115159901E-4</v>
      </c>
      <c r="T679">
        <f t="shared" si="89"/>
        <v>1.9177069670614409E-2</v>
      </c>
    </row>
    <row r="680" spans="1:20" x14ac:dyDescent="0.3">
      <c r="A680" s="2" t="s">
        <v>1165</v>
      </c>
      <c r="B680" s="2" t="s">
        <v>1156</v>
      </c>
      <c r="C680" s="2" t="s">
        <v>51</v>
      </c>
      <c r="D680" s="2" t="s">
        <v>1144</v>
      </c>
      <c r="E680">
        <v>588053.45750000002</v>
      </c>
      <c r="F680">
        <v>263201.76679999998</v>
      </c>
      <c r="G680">
        <v>75.972999999999999</v>
      </c>
      <c r="J680" s="5" t="s">
        <v>1173</v>
      </c>
      <c r="K680" s="5" t="s">
        <v>1174</v>
      </c>
      <c r="L680" s="5" t="s">
        <v>1157</v>
      </c>
      <c r="M680" s="3">
        <f t="shared" si="82"/>
        <v>-6.0000002849847078E-4</v>
      </c>
      <c r="N680" s="3">
        <f t="shared" si="83"/>
        <v>2.1500000031664968E-2</v>
      </c>
      <c r="O680" s="3">
        <f t="shared" si="84"/>
        <v>1.8199999999993111E-2</v>
      </c>
      <c r="P680">
        <f t="shared" si="85"/>
        <v>3.6000003419816575E-7</v>
      </c>
      <c r="Q680">
        <f t="shared" si="86"/>
        <v>4.6225000136159361E-4</v>
      </c>
      <c r="R680">
        <f t="shared" si="87"/>
        <v>3.3123999999974923E-4</v>
      </c>
      <c r="S680">
        <f t="shared" si="88"/>
        <v>4.6261000139579176E-4</v>
      </c>
      <c r="T680">
        <f t="shared" si="89"/>
        <v>2.1508370496060174E-2</v>
      </c>
    </row>
    <row r="681" spans="1:20" x14ac:dyDescent="0.3">
      <c r="A681" s="2" t="s">
        <v>1165</v>
      </c>
      <c r="B681" s="2" t="s">
        <v>1156</v>
      </c>
      <c r="C681" s="2" t="s">
        <v>51</v>
      </c>
      <c r="D681" s="2" t="s">
        <v>1144</v>
      </c>
      <c r="E681">
        <v>588053.46120000002</v>
      </c>
      <c r="F681">
        <v>263201.76770000003</v>
      </c>
      <c r="G681">
        <v>75.970299999999995</v>
      </c>
      <c r="J681" s="5" t="s">
        <v>1173</v>
      </c>
      <c r="K681" s="5" t="s">
        <v>1174</v>
      </c>
      <c r="L681" s="5" t="s">
        <v>1157</v>
      </c>
      <c r="M681" s="3">
        <f t="shared" si="82"/>
        <v>-4.3000000296160579E-3</v>
      </c>
      <c r="N681" s="3">
        <f t="shared" si="83"/>
        <v>2.0599999988917261E-2</v>
      </c>
      <c r="O681" s="3">
        <f t="shared" si="84"/>
        <v>1.5499999999988745E-2</v>
      </c>
      <c r="P681">
        <f t="shared" si="85"/>
        <v>1.8490000254698099E-5</v>
      </c>
      <c r="Q681">
        <f t="shared" si="86"/>
        <v>4.2435999954339116E-4</v>
      </c>
      <c r="R681">
        <f t="shared" si="87"/>
        <v>2.4024999999965109E-4</v>
      </c>
      <c r="S681">
        <f t="shared" si="88"/>
        <v>4.4284999979808925E-4</v>
      </c>
      <c r="T681">
        <f t="shared" si="89"/>
        <v>2.1044001515826055E-2</v>
      </c>
    </row>
    <row r="682" spans="1:20" x14ac:dyDescent="0.3">
      <c r="A682" s="2" t="s">
        <v>1165</v>
      </c>
      <c r="B682" s="2" t="s">
        <v>1156</v>
      </c>
      <c r="C682" s="2" t="s">
        <v>51</v>
      </c>
      <c r="D682" s="2" t="s">
        <v>30</v>
      </c>
      <c r="E682">
        <v>588053.46840000001</v>
      </c>
      <c r="F682">
        <v>263201.76530000003</v>
      </c>
      <c r="G682">
        <v>75.9679</v>
      </c>
      <c r="J682" s="5" t="s">
        <v>1173</v>
      </c>
      <c r="K682" s="5" t="s">
        <v>1174</v>
      </c>
      <c r="L682" s="5" t="s">
        <v>1157</v>
      </c>
      <c r="M682" s="3">
        <f t="shared" si="82"/>
        <v>-1.1500000022351742E-2</v>
      </c>
      <c r="N682" s="3">
        <f t="shared" si="83"/>
        <v>2.2999999986495823E-2</v>
      </c>
      <c r="O682" s="3">
        <f t="shared" si="84"/>
        <v>1.3099999999994338E-2</v>
      </c>
      <c r="P682">
        <f t="shared" si="85"/>
        <v>1.3225000051409006E-4</v>
      </c>
      <c r="Q682">
        <f t="shared" si="86"/>
        <v>5.2899999937880784E-4</v>
      </c>
      <c r="R682">
        <f t="shared" si="87"/>
        <v>1.7160999999985167E-4</v>
      </c>
      <c r="S682">
        <f t="shared" si="88"/>
        <v>6.612499998928979E-4</v>
      </c>
      <c r="T682">
        <f t="shared" si="89"/>
        <v>2.5714781739165082E-2</v>
      </c>
    </row>
    <row r="683" spans="1:20" x14ac:dyDescent="0.3">
      <c r="A683" s="2" t="s">
        <v>1165</v>
      </c>
      <c r="B683" s="2" t="s">
        <v>1156</v>
      </c>
      <c r="C683" s="2" t="s">
        <v>51</v>
      </c>
      <c r="D683" s="2" t="s">
        <v>30</v>
      </c>
      <c r="E683">
        <v>588053.46589999995</v>
      </c>
      <c r="F683">
        <v>263201.76490000001</v>
      </c>
      <c r="G683">
        <v>75.968400000000003</v>
      </c>
      <c r="J683" s="5" t="s">
        <v>1173</v>
      </c>
      <c r="K683" s="5" t="s">
        <v>1174</v>
      </c>
      <c r="L683" s="5" t="s">
        <v>1157</v>
      </c>
      <c r="M683" s="3">
        <f t="shared" si="82"/>
        <v>-8.9999999618157744E-3</v>
      </c>
      <c r="N683" s="3">
        <f t="shared" si="83"/>
        <v>2.3400000005494803E-2</v>
      </c>
      <c r="O683" s="3">
        <f t="shared" si="84"/>
        <v>1.3599999999996726E-2</v>
      </c>
      <c r="P683">
        <f t="shared" si="85"/>
        <v>8.0999999312683941E-5</v>
      </c>
      <c r="Q683">
        <f t="shared" si="86"/>
        <v>5.4756000025715681E-4</v>
      </c>
      <c r="R683">
        <f t="shared" si="87"/>
        <v>1.8495999999991095E-4</v>
      </c>
      <c r="S683">
        <f t="shared" si="88"/>
        <v>6.2855999956984074E-4</v>
      </c>
      <c r="T683">
        <f t="shared" si="89"/>
        <v>2.5071098890352628E-2</v>
      </c>
    </row>
    <row r="684" spans="1:20" x14ac:dyDescent="0.3">
      <c r="A684" s="2" t="s">
        <v>1165</v>
      </c>
      <c r="B684" s="2" t="s">
        <v>1156</v>
      </c>
      <c r="C684" s="2" t="s">
        <v>51</v>
      </c>
      <c r="D684" s="2" t="s">
        <v>30</v>
      </c>
      <c r="E684">
        <v>588053.46340000001</v>
      </c>
      <c r="F684">
        <v>263201.76490000001</v>
      </c>
      <c r="G684">
        <v>75.971699999999998</v>
      </c>
      <c r="J684" s="5" t="s">
        <v>1173</v>
      </c>
      <c r="K684" s="5" t="s">
        <v>1174</v>
      </c>
      <c r="L684" s="5" t="s">
        <v>1157</v>
      </c>
      <c r="M684" s="3">
        <f t="shared" si="82"/>
        <v>-6.5000000176951289E-3</v>
      </c>
      <c r="N684" s="3">
        <f t="shared" si="83"/>
        <v>2.3400000005494803E-2</v>
      </c>
      <c r="O684" s="3">
        <f t="shared" si="84"/>
        <v>1.6899999999992588E-2</v>
      </c>
      <c r="P684">
        <f t="shared" si="85"/>
        <v>4.2250000230036676E-5</v>
      </c>
      <c r="Q684">
        <f t="shared" si="86"/>
        <v>5.4756000025715681E-4</v>
      </c>
      <c r="R684">
        <f t="shared" si="87"/>
        <v>2.8560999999974944E-4</v>
      </c>
      <c r="S684">
        <f t="shared" si="88"/>
        <v>5.8981000048719348E-4</v>
      </c>
      <c r="T684">
        <f t="shared" si="89"/>
        <v>2.4286004209980561E-2</v>
      </c>
    </row>
    <row r="685" spans="1:20" x14ac:dyDescent="0.3">
      <c r="A685" s="2" t="s">
        <v>1165</v>
      </c>
      <c r="B685" s="2" t="s">
        <v>1156</v>
      </c>
      <c r="C685" s="2" t="s">
        <v>51</v>
      </c>
      <c r="D685" s="2" t="s">
        <v>1145</v>
      </c>
      <c r="E685">
        <v>588053.46340000001</v>
      </c>
      <c r="F685">
        <v>263201.7684</v>
      </c>
      <c r="G685">
        <v>75.970600000000005</v>
      </c>
      <c r="J685" s="5" t="s">
        <v>1173</v>
      </c>
      <c r="K685" s="5" t="s">
        <v>1174</v>
      </c>
      <c r="L685" s="5" t="s">
        <v>1157</v>
      </c>
      <c r="M685" s="3">
        <f t="shared" si="82"/>
        <v>-6.5000000176951289E-3</v>
      </c>
      <c r="N685" s="3">
        <f t="shared" si="83"/>
        <v>1.9900000013876706E-2</v>
      </c>
      <c r="O685" s="3">
        <f t="shared" si="84"/>
        <v>1.5799999999998704E-2</v>
      </c>
      <c r="P685">
        <f t="shared" si="85"/>
        <v>4.2250000230036676E-5</v>
      </c>
      <c r="Q685">
        <f t="shared" si="86"/>
        <v>3.9601000055229294E-4</v>
      </c>
      <c r="R685">
        <f t="shared" si="87"/>
        <v>2.4963999999995905E-4</v>
      </c>
      <c r="S685">
        <f t="shared" si="88"/>
        <v>4.382600007823296E-4</v>
      </c>
      <c r="T685">
        <f t="shared" si="89"/>
        <v>2.0934660273869494E-2</v>
      </c>
    </row>
    <row r="686" spans="1:20" x14ac:dyDescent="0.3">
      <c r="A686" s="2" t="s">
        <v>1165</v>
      </c>
      <c r="B686" s="2" t="s">
        <v>1156</v>
      </c>
      <c r="C686" s="2" t="s">
        <v>51</v>
      </c>
      <c r="D686" s="2" t="s">
        <v>1145</v>
      </c>
      <c r="E686">
        <v>588053.46429999999</v>
      </c>
      <c r="F686">
        <v>263201.76760000002</v>
      </c>
      <c r="G686">
        <v>75.971699999999998</v>
      </c>
      <c r="J686" s="5" t="s">
        <v>1173</v>
      </c>
      <c r="K686" s="5" t="s">
        <v>1174</v>
      </c>
      <c r="L686" s="5" t="s">
        <v>1157</v>
      </c>
      <c r="M686" s="3">
        <f t="shared" si="82"/>
        <v>-7.4000000022351742E-3</v>
      </c>
      <c r="N686" s="3">
        <f t="shared" si="83"/>
        <v>2.0699999993667006E-2</v>
      </c>
      <c r="O686" s="3">
        <f t="shared" si="84"/>
        <v>1.6899999999992588E-2</v>
      </c>
      <c r="P686">
        <f t="shared" si="85"/>
        <v>5.4760000033080578E-5</v>
      </c>
      <c r="Q686">
        <f t="shared" si="86"/>
        <v>4.2848999973781407E-4</v>
      </c>
      <c r="R686">
        <f t="shared" si="87"/>
        <v>2.8560999999974944E-4</v>
      </c>
      <c r="S686">
        <f t="shared" si="88"/>
        <v>4.8324999977089465E-4</v>
      </c>
      <c r="T686">
        <f t="shared" si="89"/>
        <v>2.1982947931769629E-2</v>
      </c>
    </row>
    <row r="687" spans="1:20" x14ac:dyDescent="0.3">
      <c r="A687" s="2" t="s">
        <v>1165</v>
      </c>
      <c r="B687" s="2" t="s">
        <v>1156</v>
      </c>
      <c r="C687" s="2" t="s">
        <v>51</v>
      </c>
      <c r="D687" s="2" t="s">
        <v>1145</v>
      </c>
      <c r="E687">
        <v>588053.46420000005</v>
      </c>
      <c r="F687">
        <v>263201.76750000002</v>
      </c>
      <c r="G687">
        <v>75.970399999999998</v>
      </c>
      <c r="J687" s="5" t="s">
        <v>1173</v>
      </c>
      <c r="K687" s="5" t="s">
        <v>1174</v>
      </c>
      <c r="L687" s="5" t="s">
        <v>1157</v>
      </c>
      <c r="M687" s="3">
        <f t="shared" si="82"/>
        <v>-7.30000005569309E-3</v>
      </c>
      <c r="N687" s="3">
        <f t="shared" si="83"/>
        <v>2.0799999998416752E-2</v>
      </c>
      <c r="O687" s="3">
        <f t="shared" si="84"/>
        <v>1.5599999999992065E-2</v>
      </c>
      <c r="P687">
        <f t="shared" si="85"/>
        <v>5.3290000813119117E-5</v>
      </c>
      <c r="Q687">
        <f t="shared" si="86"/>
        <v>4.3263999993413686E-4</v>
      </c>
      <c r="R687">
        <f t="shared" si="87"/>
        <v>2.4335999999975242E-4</v>
      </c>
      <c r="S687">
        <f t="shared" si="88"/>
        <v>4.8593000074725597E-4</v>
      </c>
      <c r="T687">
        <f t="shared" si="89"/>
        <v>2.2043820012585296E-2</v>
      </c>
    </row>
    <row r="688" spans="1:20" x14ac:dyDescent="0.3">
      <c r="A688" s="2" t="s">
        <v>1165</v>
      </c>
      <c r="B688" s="2" t="s">
        <v>1160</v>
      </c>
      <c r="C688" s="2" t="s">
        <v>20</v>
      </c>
      <c r="D688" s="2" t="s">
        <v>30</v>
      </c>
      <c r="E688">
        <v>581735.72389999998</v>
      </c>
      <c r="F688">
        <v>249015.9448</v>
      </c>
      <c r="G688">
        <v>66.333699999999993</v>
      </c>
      <c r="J688" s="5" t="s">
        <v>1175</v>
      </c>
      <c r="K688" s="5" t="s">
        <v>1176</v>
      </c>
      <c r="L688" s="5" t="s">
        <v>1161</v>
      </c>
      <c r="M688" s="3">
        <f t="shared" si="82"/>
        <v>-1.39999995008111E-3</v>
      </c>
      <c r="N688" s="3">
        <f t="shared" si="83"/>
        <v>7.0000000123400241E-3</v>
      </c>
      <c r="O688" s="3">
        <f t="shared" si="84"/>
        <v>1.8199999999993111E-2</v>
      </c>
      <c r="P688">
        <f t="shared" si="85"/>
        <v>1.9599998602271105E-6</v>
      </c>
      <c r="Q688">
        <f t="shared" si="86"/>
        <v>4.9000000172760337E-5</v>
      </c>
      <c r="R688">
        <f t="shared" si="87"/>
        <v>3.3123999999974923E-4</v>
      </c>
      <c r="S688">
        <f t="shared" si="88"/>
        <v>5.0960000032987447E-5</v>
      </c>
      <c r="T688">
        <f t="shared" si="89"/>
        <v>7.1386273213403881E-3</v>
      </c>
    </row>
    <row r="689" spans="1:20" x14ac:dyDescent="0.3">
      <c r="A689" s="2" t="s">
        <v>1165</v>
      </c>
      <c r="B689" s="2" t="s">
        <v>1160</v>
      </c>
      <c r="C689" s="2" t="s">
        <v>20</v>
      </c>
      <c r="D689" s="2" t="s">
        <v>30</v>
      </c>
      <c r="E689">
        <v>581735.72030000004</v>
      </c>
      <c r="F689">
        <v>249015.9443</v>
      </c>
      <c r="G689">
        <v>66.330500000000001</v>
      </c>
      <c r="J689" s="5" t="s">
        <v>1175</v>
      </c>
      <c r="K689" s="5" t="s">
        <v>1176</v>
      </c>
      <c r="L689" s="5" t="s">
        <v>1161</v>
      </c>
      <c r="M689" s="3">
        <f t="shared" si="82"/>
        <v>2.199999988079071E-3</v>
      </c>
      <c r="N689" s="3">
        <f t="shared" si="83"/>
        <v>7.5000000069849193E-3</v>
      </c>
      <c r="O689" s="3">
        <f t="shared" si="84"/>
        <v>1.5000000000000568E-2</v>
      </c>
      <c r="P689">
        <f t="shared" si="85"/>
        <v>4.8399999475479127E-6</v>
      </c>
      <c r="Q689">
        <f t="shared" si="86"/>
        <v>5.6250000104773786E-5</v>
      </c>
      <c r="R689">
        <f t="shared" si="87"/>
        <v>2.2500000000001704E-4</v>
      </c>
      <c r="S689">
        <f t="shared" si="88"/>
        <v>6.1090000052321699E-5</v>
      </c>
      <c r="T689">
        <f t="shared" si="89"/>
        <v>7.8160092152147372E-3</v>
      </c>
    </row>
    <row r="690" spans="1:20" x14ac:dyDescent="0.3">
      <c r="A690" s="2" t="s">
        <v>1165</v>
      </c>
      <c r="B690" s="2" t="s">
        <v>1160</v>
      </c>
      <c r="C690" s="2" t="s">
        <v>20</v>
      </c>
      <c r="D690" s="2" t="s">
        <v>30</v>
      </c>
      <c r="E690">
        <v>581735.71959999995</v>
      </c>
      <c r="F690">
        <v>249015.9472</v>
      </c>
      <c r="G690">
        <v>66.328599999999994</v>
      </c>
      <c r="J690" s="5" t="s">
        <v>1175</v>
      </c>
      <c r="K690" s="5" t="s">
        <v>1176</v>
      </c>
      <c r="L690" s="5" t="s">
        <v>1161</v>
      </c>
      <c r="M690" s="3">
        <f t="shared" si="82"/>
        <v>2.9000000795349479E-3</v>
      </c>
      <c r="N690" s="3">
        <f t="shared" si="83"/>
        <v>4.6000000147614628E-3</v>
      </c>
      <c r="O690" s="3">
        <f t="shared" si="84"/>
        <v>1.3099999999994338E-2</v>
      </c>
      <c r="P690">
        <f t="shared" si="85"/>
        <v>8.410000461302704E-6</v>
      </c>
      <c r="Q690">
        <f t="shared" si="86"/>
        <v>2.1160000135805457E-5</v>
      </c>
      <c r="R690">
        <f t="shared" si="87"/>
        <v>1.7160999999985167E-4</v>
      </c>
      <c r="S690">
        <f t="shared" si="88"/>
        <v>2.9570000597108161E-5</v>
      </c>
      <c r="T690">
        <f t="shared" si="89"/>
        <v>5.4378305046321697E-3</v>
      </c>
    </row>
    <row r="691" spans="1:20" x14ac:dyDescent="0.3">
      <c r="A691" s="2" t="s">
        <v>1165</v>
      </c>
      <c r="B691" s="2" t="s">
        <v>1160</v>
      </c>
      <c r="C691" s="2" t="s">
        <v>20</v>
      </c>
      <c r="D691" s="2" t="s">
        <v>1142</v>
      </c>
      <c r="E691">
        <v>581735.73560000001</v>
      </c>
      <c r="F691">
        <v>249015.95319999999</v>
      </c>
      <c r="G691">
        <v>66.313000000000002</v>
      </c>
      <c r="J691" s="5" t="s">
        <v>1175</v>
      </c>
      <c r="K691" s="5" t="s">
        <v>1176</v>
      </c>
      <c r="L691" s="5" t="s">
        <v>1161</v>
      </c>
      <c r="M691" s="3">
        <f t="shared" si="82"/>
        <v>-1.3099999981932342E-2</v>
      </c>
      <c r="N691" s="3">
        <f t="shared" si="83"/>
        <v>-1.3999999791849405E-3</v>
      </c>
      <c r="O691" s="3">
        <f t="shared" si="84"/>
        <v>2.4999999999977263E-3</v>
      </c>
      <c r="P691">
        <f t="shared" si="85"/>
        <v>1.7160999952662735E-4</v>
      </c>
      <c r="Q691">
        <f t="shared" si="86"/>
        <v>1.9599999417178337E-6</v>
      </c>
      <c r="R691">
        <f t="shared" si="87"/>
        <v>6.2499999999886314E-6</v>
      </c>
      <c r="S691">
        <f t="shared" si="88"/>
        <v>1.7356999946834518E-4</v>
      </c>
      <c r="T691">
        <f t="shared" si="89"/>
        <v>1.317459674784565E-2</v>
      </c>
    </row>
    <row r="692" spans="1:20" x14ac:dyDescent="0.3">
      <c r="A692" s="2" t="s">
        <v>1165</v>
      </c>
      <c r="B692" s="2" t="s">
        <v>1160</v>
      </c>
      <c r="C692" s="2" t="s">
        <v>20</v>
      </c>
      <c r="D692" s="2" t="s">
        <v>1142</v>
      </c>
      <c r="E692">
        <v>581735.72380000004</v>
      </c>
      <c r="F692">
        <v>249015.954</v>
      </c>
      <c r="G692">
        <v>66.323800000000006</v>
      </c>
      <c r="J692" s="5" t="s">
        <v>1175</v>
      </c>
      <c r="K692" s="5" t="s">
        <v>1176</v>
      </c>
      <c r="L692" s="5" t="s">
        <v>1161</v>
      </c>
      <c r="M692" s="3">
        <f t="shared" si="82"/>
        <v>-1.3000000035390258E-3</v>
      </c>
      <c r="N692" s="3">
        <f t="shared" si="83"/>
        <v>-2.199999988079071E-3</v>
      </c>
      <c r="O692" s="3">
        <f t="shared" si="84"/>
        <v>8.3000000000055252E-3</v>
      </c>
      <c r="P692">
        <f t="shared" si="85"/>
        <v>1.690000009201467E-6</v>
      </c>
      <c r="Q692">
        <f t="shared" si="86"/>
        <v>4.8399999475479127E-6</v>
      </c>
      <c r="R692">
        <f t="shared" si="87"/>
        <v>6.8890000000091723E-5</v>
      </c>
      <c r="S692">
        <f t="shared" si="88"/>
        <v>6.5299999567493798E-6</v>
      </c>
      <c r="T692">
        <f t="shared" si="89"/>
        <v>2.5553864593734895E-3</v>
      </c>
    </row>
    <row r="693" spans="1:20" x14ac:dyDescent="0.3">
      <c r="A693" s="2" t="s">
        <v>1165</v>
      </c>
      <c r="B693" s="2" t="s">
        <v>1160</v>
      </c>
      <c r="C693" s="2" t="s">
        <v>20</v>
      </c>
      <c r="D693" s="2" t="s">
        <v>1142</v>
      </c>
      <c r="E693">
        <v>581735.71629999997</v>
      </c>
      <c r="F693">
        <v>249015.94769999999</v>
      </c>
      <c r="G693">
        <v>66.336200000000005</v>
      </c>
      <c r="J693" s="5" t="s">
        <v>1175</v>
      </c>
      <c r="K693" s="5" t="s">
        <v>1176</v>
      </c>
      <c r="L693" s="5" t="s">
        <v>1161</v>
      </c>
      <c r="M693" s="3">
        <f t="shared" si="82"/>
        <v>6.2000000616535544E-3</v>
      </c>
      <c r="N693" s="3">
        <f t="shared" si="83"/>
        <v>4.1000000201165676E-3</v>
      </c>
      <c r="O693" s="3">
        <f t="shared" si="84"/>
        <v>2.0700000000005048E-2</v>
      </c>
      <c r="P693">
        <f t="shared" si="85"/>
        <v>3.8440000764504079E-5</v>
      </c>
      <c r="Q693">
        <f t="shared" si="86"/>
        <v>1.6810000164955855E-5</v>
      </c>
      <c r="R693">
        <f t="shared" si="87"/>
        <v>4.2849000000020899E-4</v>
      </c>
      <c r="S693">
        <f t="shared" si="88"/>
        <v>5.5250000929459934E-5</v>
      </c>
      <c r="T693">
        <f t="shared" si="89"/>
        <v>7.4330344361814935E-3</v>
      </c>
    </row>
    <row r="694" spans="1:20" x14ac:dyDescent="0.3">
      <c r="A694" s="2" t="s">
        <v>1165</v>
      </c>
      <c r="B694" s="2" t="s">
        <v>1160</v>
      </c>
      <c r="C694" s="2" t="s">
        <v>20</v>
      </c>
      <c r="D694" s="2" t="s">
        <v>1112</v>
      </c>
      <c r="E694">
        <v>581735.71030000004</v>
      </c>
      <c r="F694">
        <v>249015.9472</v>
      </c>
      <c r="G694">
        <v>66.3386</v>
      </c>
      <c r="J694" s="5" t="s">
        <v>1175</v>
      </c>
      <c r="K694" s="5" t="s">
        <v>1176</v>
      </c>
      <c r="L694" s="5" t="s">
        <v>1161</v>
      </c>
      <c r="M694" s="3">
        <f t="shared" si="82"/>
        <v>1.2199999997392297E-2</v>
      </c>
      <c r="N694" s="3">
        <f t="shared" si="83"/>
        <v>4.6000000147614628E-3</v>
      </c>
      <c r="O694" s="3">
        <f t="shared" si="84"/>
        <v>2.3099999999999454E-2</v>
      </c>
      <c r="P694">
        <f t="shared" si="85"/>
        <v>1.4883999993637204E-4</v>
      </c>
      <c r="Q694">
        <f t="shared" si="86"/>
        <v>2.1160000135805457E-5</v>
      </c>
      <c r="R694">
        <f t="shared" si="87"/>
        <v>5.3360999999997475E-4</v>
      </c>
      <c r="S694">
        <f t="shared" si="88"/>
        <v>1.7000000007217749E-4</v>
      </c>
      <c r="T694">
        <f t="shared" si="89"/>
        <v>1.3038404813173178E-2</v>
      </c>
    </row>
    <row r="695" spans="1:20" x14ac:dyDescent="0.3">
      <c r="A695" s="2" t="s">
        <v>1165</v>
      </c>
      <c r="B695" s="2" t="s">
        <v>1160</v>
      </c>
      <c r="C695" s="2" t="s">
        <v>20</v>
      </c>
      <c r="D695" s="2" t="s">
        <v>1112</v>
      </c>
      <c r="E695">
        <v>581735.71490000002</v>
      </c>
      <c r="F695">
        <v>249015.948</v>
      </c>
      <c r="G695">
        <v>66.335300000000004</v>
      </c>
      <c r="J695" s="5" t="s">
        <v>1175</v>
      </c>
      <c r="K695" s="5" t="s">
        <v>1176</v>
      </c>
      <c r="L695" s="5" t="s">
        <v>1161</v>
      </c>
      <c r="M695" s="3">
        <f t="shared" si="82"/>
        <v>7.6000000117346644E-3</v>
      </c>
      <c r="N695" s="3">
        <f t="shared" si="83"/>
        <v>3.8000000058673322E-3</v>
      </c>
      <c r="O695" s="3">
        <f t="shared" si="84"/>
        <v>1.9800000000003593E-2</v>
      </c>
      <c r="P695">
        <f t="shared" si="85"/>
        <v>5.77600001783669E-5</v>
      </c>
      <c r="Q695">
        <f t="shared" si="86"/>
        <v>1.4440000044591725E-5</v>
      </c>
      <c r="R695">
        <f t="shared" si="87"/>
        <v>3.9204000000014227E-4</v>
      </c>
      <c r="S695">
        <f t="shared" si="88"/>
        <v>7.2200000222958621E-5</v>
      </c>
      <c r="T695">
        <f t="shared" si="89"/>
        <v>8.4970583276189546E-3</v>
      </c>
    </row>
    <row r="696" spans="1:20" x14ac:dyDescent="0.3">
      <c r="A696" s="2" t="s">
        <v>1165</v>
      </c>
      <c r="B696" s="2" t="s">
        <v>1160</v>
      </c>
      <c r="C696" s="2" t="s">
        <v>20</v>
      </c>
      <c r="D696" s="2" t="s">
        <v>1112</v>
      </c>
      <c r="E696">
        <v>581735.71840000001</v>
      </c>
      <c r="F696">
        <v>249015.94870000001</v>
      </c>
      <c r="G696">
        <v>66.326800000000006</v>
      </c>
      <c r="J696" s="5" t="s">
        <v>1175</v>
      </c>
      <c r="K696" s="5" t="s">
        <v>1176</v>
      </c>
      <c r="L696" s="5" t="s">
        <v>1161</v>
      </c>
      <c r="M696" s="3">
        <f t="shared" si="82"/>
        <v>4.1000000201165676E-3</v>
      </c>
      <c r="N696" s="3">
        <f t="shared" si="83"/>
        <v>3.1000000017229468E-3</v>
      </c>
      <c r="O696" s="3">
        <f t="shared" si="84"/>
        <v>1.1300000000005639E-2</v>
      </c>
      <c r="P696">
        <f t="shared" si="85"/>
        <v>1.6810000164955855E-5</v>
      </c>
      <c r="Q696">
        <f t="shared" si="86"/>
        <v>9.6100000106822691E-6</v>
      </c>
      <c r="R696">
        <f t="shared" si="87"/>
        <v>1.2769000000012744E-4</v>
      </c>
      <c r="S696">
        <f t="shared" si="88"/>
        <v>2.6420000175638124E-5</v>
      </c>
      <c r="T696">
        <f t="shared" si="89"/>
        <v>5.1400389274438496E-3</v>
      </c>
    </row>
    <row r="697" spans="1:20" x14ac:dyDescent="0.3">
      <c r="A697" s="2" t="s">
        <v>1165</v>
      </c>
      <c r="B697" s="2" t="s">
        <v>1160</v>
      </c>
      <c r="C697" s="2" t="s">
        <v>20</v>
      </c>
      <c r="D697" s="2" t="s">
        <v>37</v>
      </c>
      <c r="E697">
        <v>581735.73010000004</v>
      </c>
      <c r="F697">
        <v>249015.95980000001</v>
      </c>
      <c r="G697">
        <v>66.297799999999995</v>
      </c>
      <c r="J697" s="5" t="s">
        <v>1175</v>
      </c>
      <c r="K697" s="5" t="s">
        <v>1176</v>
      </c>
      <c r="L697" s="5" t="s">
        <v>1161</v>
      </c>
      <c r="M697" s="3">
        <f t="shared" si="82"/>
        <v>-7.6000000117346644E-3</v>
      </c>
      <c r="N697" s="3">
        <f t="shared" si="83"/>
        <v>-8.0000000016298145E-3</v>
      </c>
      <c r="O697" s="3">
        <f t="shared" si="84"/>
        <v>1.7700000000004934E-2</v>
      </c>
      <c r="P697">
        <f t="shared" si="85"/>
        <v>5.77600001783669E-5</v>
      </c>
      <c r="Q697">
        <f t="shared" si="86"/>
        <v>6.4000000026077038E-5</v>
      </c>
      <c r="R697">
        <f t="shared" si="87"/>
        <v>3.1329000000017464E-4</v>
      </c>
      <c r="S697">
        <f t="shared" si="88"/>
        <v>1.2176000020444394E-4</v>
      </c>
      <c r="T697">
        <f t="shared" si="89"/>
        <v>1.1034491388570836E-2</v>
      </c>
    </row>
    <row r="698" spans="1:20" x14ac:dyDescent="0.3">
      <c r="A698" s="2" t="s">
        <v>1165</v>
      </c>
      <c r="B698" s="2" t="s">
        <v>1160</v>
      </c>
      <c r="C698" s="2" t="s">
        <v>20</v>
      </c>
      <c r="D698" s="2" t="s">
        <v>37</v>
      </c>
      <c r="E698">
        <v>581735.73120000004</v>
      </c>
      <c r="F698">
        <v>249015.96</v>
      </c>
      <c r="G698">
        <v>66.297899999999998</v>
      </c>
      <c r="J698" s="5" t="s">
        <v>1175</v>
      </c>
      <c r="K698" s="5" t="s">
        <v>1176</v>
      </c>
      <c r="L698" s="5" t="s">
        <v>1161</v>
      </c>
      <c r="M698" s="3">
        <f t="shared" si="82"/>
        <v>-8.7000000057742E-3</v>
      </c>
      <c r="N698" s="3">
        <f t="shared" si="83"/>
        <v>-8.1999999820254743E-3</v>
      </c>
      <c r="O698" s="3">
        <f t="shared" si="84"/>
        <v>1.7600000000001614E-2</v>
      </c>
      <c r="P698">
        <f t="shared" si="85"/>
        <v>7.5690000100471079E-5</v>
      </c>
      <c r="Q698">
        <f t="shared" si="86"/>
        <v>6.7239999705217776E-5</v>
      </c>
      <c r="R698">
        <f t="shared" si="87"/>
        <v>3.0976000000005683E-4</v>
      </c>
      <c r="S698">
        <f t="shared" si="88"/>
        <v>1.4292999980568884E-4</v>
      </c>
      <c r="T698">
        <f t="shared" si="89"/>
        <v>1.1955333529671552E-2</v>
      </c>
    </row>
    <row r="699" spans="1:20" x14ac:dyDescent="0.3">
      <c r="A699" s="2" t="s">
        <v>1165</v>
      </c>
      <c r="B699" s="2" t="s">
        <v>1160</v>
      </c>
      <c r="C699" s="2" t="s">
        <v>20</v>
      </c>
      <c r="D699" s="2" t="s">
        <v>37</v>
      </c>
      <c r="E699">
        <v>581735.73320000002</v>
      </c>
      <c r="F699">
        <v>249015.95970000001</v>
      </c>
      <c r="G699">
        <v>66.297499999999999</v>
      </c>
      <c r="J699" s="5" t="s">
        <v>1175</v>
      </c>
      <c r="K699" s="5" t="s">
        <v>1176</v>
      </c>
      <c r="L699" s="5" t="s">
        <v>1161</v>
      </c>
      <c r="M699" s="3">
        <f t="shared" si="82"/>
        <v>-1.0699999984353781E-2</v>
      </c>
      <c r="N699" s="3">
        <f t="shared" si="83"/>
        <v>-7.8999999968800694E-3</v>
      </c>
      <c r="O699" s="3">
        <f t="shared" si="84"/>
        <v>1.8000000000000682E-2</v>
      </c>
      <c r="P699">
        <f t="shared" si="85"/>
        <v>1.1448999966517091E-4</v>
      </c>
      <c r="Q699">
        <f t="shared" si="86"/>
        <v>6.2409999950705102E-5</v>
      </c>
      <c r="R699">
        <f t="shared" si="87"/>
        <v>3.2400000000002457E-4</v>
      </c>
      <c r="S699">
        <f t="shared" si="88"/>
        <v>1.7689999961587602E-4</v>
      </c>
      <c r="T699">
        <f t="shared" si="89"/>
        <v>1.3300375920096245E-2</v>
      </c>
    </row>
    <row r="700" spans="1:20" x14ac:dyDescent="0.3">
      <c r="A700" s="2" t="s">
        <v>1165</v>
      </c>
      <c r="B700" s="2" t="s">
        <v>1160</v>
      </c>
      <c r="C700" s="2" t="s">
        <v>20</v>
      </c>
      <c r="D700" s="2" t="s">
        <v>1143</v>
      </c>
      <c r="E700">
        <v>581735.73010000004</v>
      </c>
      <c r="F700">
        <v>249015.9584</v>
      </c>
      <c r="G700">
        <v>66.300799999999995</v>
      </c>
      <c r="J700" s="5" t="s">
        <v>1175</v>
      </c>
      <c r="K700" s="5" t="s">
        <v>1176</v>
      </c>
      <c r="L700" s="5" t="s">
        <v>1161</v>
      </c>
      <c r="M700" s="3">
        <f t="shared" si="82"/>
        <v>-7.6000000117346644E-3</v>
      </c>
      <c r="N700" s="3">
        <f t="shared" si="83"/>
        <v>-6.5999999933410436E-3</v>
      </c>
      <c r="O700" s="3">
        <f t="shared" si="84"/>
        <v>1.470000000000482E-2</v>
      </c>
      <c r="P700">
        <f t="shared" si="85"/>
        <v>5.77600001783669E-5</v>
      </c>
      <c r="Q700">
        <f t="shared" si="86"/>
        <v>4.3559999912101775E-5</v>
      </c>
      <c r="R700">
        <f t="shared" si="87"/>
        <v>2.160900000001417E-4</v>
      </c>
      <c r="S700">
        <f t="shared" si="88"/>
        <v>1.0132000009046867E-4</v>
      </c>
      <c r="T700">
        <f t="shared" si="89"/>
        <v>1.0065783630223167E-2</v>
      </c>
    </row>
    <row r="701" spans="1:20" x14ac:dyDescent="0.3">
      <c r="A701" s="2" t="s">
        <v>1165</v>
      </c>
      <c r="B701" s="2" t="s">
        <v>1160</v>
      </c>
      <c r="C701" s="2" t="s">
        <v>20</v>
      </c>
      <c r="D701" s="2" t="s">
        <v>1143</v>
      </c>
      <c r="E701">
        <v>581735.73089999997</v>
      </c>
      <c r="F701">
        <v>249015.9589</v>
      </c>
      <c r="G701">
        <v>66.299899999999994</v>
      </c>
      <c r="J701" s="5" t="s">
        <v>1175</v>
      </c>
      <c r="K701" s="5" t="s">
        <v>1176</v>
      </c>
      <c r="L701" s="5" t="s">
        <v>1161</v>
      </c>
      <c r="M701" s="3">
        <f t="shared" si="82"/>
        <v>-8.3999999333173037E-3</v>
      </c>
      <c r="N701" s="3">
        <f t="shared" si="83"/>
        <v>-7.0999999879859388E-3</v>
      </c>
      <c r="O701" s="3">
        <f t="shared" si="84"/>
        <v>1.5600000000006276E-2</v>
      </c>
      <c r="P701">
        <f t="shared" si="85"/>
        <v>7.0559998879730706E-5</v>
      </c>
      <c r="Q701">
        <f t="shared" si="86"/>
        <v>5.0409999829400328E-5</v>
      </c>
      <c r="R701">
        <f t="shared" si="87"/>
        <v>2.4336000000019581E-4</v>
      </c>
      <c r="S701">
        <f t="shared" si="88"/>
        <v>1.2096999870913103E-4</v>
      </c>
      <c r="T701">
        <f t="shared" si="89"/>
        <v>1.0998636220419831E-2</v>
      </c>
    </row>
    <row r="702" spans="1:20" x14ac:dyDescent="0.3">
      <c r="A702" s="2" t="s">
        <v>1165</v>
      </c>
      <c r="B702" s="2" t="s">
        <v>1160</v>
      </c>
      <c r="C702" s="2" t="s">
        <v>20</v>
      </c>
      <c r="D702" s="2" t="s">
        <v>1143</v>
      </c>
      <c r="E702">
        <v>581735.73069999996</v>
      </c>
      <c r="F702">
        <v>249015.9596</v>
      </c>
      <c r="G702">
        <v>66.293700000000001</v>
      </c>
      <c r="J702" s="5" t="s">
        <v>1175</v>
      </c>
      <c r="K702" s="5" t="s">
        <v>1176</v>
      </c>
      <c r="L702" s="5" t="s">
        <v>1161</v>
      </c>
      <c r="M702" s="3">
        <f t="shared" si="82"/>
        <v>-8.1999999238178134E-3</v>
      </c>
      <c r="N702" s="3">
        <f t="shared" si="83"/>
        <v>-7.7999999921303242E-3</v>
      </c>
      <c r="O702" s="3">
        <f t="shared" si="84"/>
        <v>2.1799999999998931E-2</v>
      </c>
      <c r="P702">
        <f t="shared" si="85"/>
        <v>6.7239998750612146E-5</v>
      </c>
      <c r="Q702">
        <f t="shared" si="86"/>
        <v>6.0839999877233057E-5</v>
      </c>
      <c r="R702">
        <f t="shared" si="87"/>
        <v>4.7523999999995342E-4</v>
      </c>
      <c r="S702">
        <f t="shared" si="88"/>
        <v>1.280799986278452E-4</v>
      </c>
      <c r="T702">
        <f t="shared" si="89"/>
        <v>1.131724342001378E-2</v>
      </c>
    </row>
    <row r="703" spans="1:20" x14ac:dyDescent="0.3">
      <c r="A703" s="2" t="s">
        <v>1165</v>
      </c>
      <c r="B703" s="2" t="s">
        <v>1160</v>
      </c>
      <c r="C703" s="2" t="s">
        <v>51</v>
      </c>
      <c r="D703" s="2" t="s">
        <v>1144</v>
      </c>
      <c r="E703">
        <v>581735.70010000002</v>
      </c>
      <c r="F703">
        <v>249015.90229999999</v>
      </c>
      <c r="G703">
        <v>66.418599999999998</v>
      </c>
      <c r="J703" s="5" t="s">
        <v>1175</v>
      </c>
      <c r="K703" s="5" t="s">
        <v>1176</v>
      </c>
      <c r="L703" s="5" t="s">
        <v>1161</v>
      </c>
      <c r="M703" s="3">
        <f t="shared" si="82"/>
        <v>2.2400000016205013E-2</v>
      </c>
      <c r="N703" s="3">
        <f t="shared" si="83"/>
        <v>4.9500000022817403E-2</v>
      </c>
      <c r="O703" s="3">
        <f t="shared" si="84"/>
        <v>0.10309999999999775</v>
      </c>
      <c r="P703">
        <f t="shared" si="85"/>
        <v>5.0176000072598456E-4</v>
      </c>
      <c r="Q703">
        <f t="shared" si="86"/>
        <v>2.4502500022589228E-3</v>
      </c>
      <c r="R703">
        <f t="shared" si="87"/>
        <v>1.0629609999999536E-2</v>
      </c>
      <c r="S703">
        <f t="shared" si="88"/>
        <v>2.9520100029849072E-3</v>
      </c>
      <c r="T703">
        <f t="shared" si="89"/>
        <v>5.4332402882487238E-2</v>
      </c>
    </row>
    <row r="704" spans="1:20" x14ac:dyDescent="0.3">
      <c r="A704" s="2" t="s">
        <v>1165</v>
      </c>
      <c r="B704" s="2" t="s">
        <v>1160</v>
      </c>
      <c r="C704" s="2" t="s">
        <v>51</v>
      </c>
      <c r="D704" s="2" t="s">
        <v>1144</v>
      </c>
      <c r="E704">
        <v>581735.69779999997</v>
      </c>
      <c r="F704">
        <v>249015.89869999999</v>
      </c>
      <c r="G704">
        <v>66.431100000000001</v>
      </c>
      <c r="J704" s="5" t="s">
        <v>1175</v>
      </c>
      <c r="K704" s="5" t="s">
        <v>1176</v>
      </c>
      <c r="L704" s="5" t="s">
        <v>1161</v>
      </c>
      <c r="M704" s="3">
        <f t="shared" si="82"/>
        <v>2.470000006724149E-2</v>
      </c>
      <c r="N704" s="3">
        <f t="shared" si="83"/>
        <v>5.3100000019185245E-2</v>
      </c>
      <c r="O704" s="3">
        <f t="shared" si="84"/>
        <v>0.11560000000000059</v>
      </c>
      <c r="P704">
        <f t="shared" si="85"/>
        <v>6.1009000332172959E-4</v>
      </c>
      <c r="Q704">
        <f t="shared" si="86"/>
        <v>2.8196100020374732E-3</v>
      </c>
      <c r="R704">
        <f t="shared" si="87"/>
        <v>1.3363360000000137E-2</v>
      </c>
      <c r="S704">
        <f t="shared" si="88"/>
        <v>3.4297000053592026E-3</v>
      </c>
      <c r="T704">
        <f t="shared" si="89"/>
        <v>5.8563640642972349E-2</v>
      </c>
    </row>
    <row r="705" spans="1:20" x14ac:dyDescent="0.3">
      <c r="A705" s="2" t="s">
        <v>1165</v>
      </c>
      <c r="B705" s="2" t="s">
        <v>1160</v>
      </c>
      <c r="C705" s="2" t="s">
        <v>51</v>
      </c>
      <c r="D705" s="2" t="s">
        <v>1144</v>
      </c>
      <c r="E705">
        <v>581735.69940000004</v>
      </c>
      <c r="F705">
        <v>249015.8897</v>
      </c>
      <c r="G705">
        <v>66.451999999999998</v>
      </c>
      <c r="J705" s="5" t="s">
        <v>1175</v>
      </c>
      <c r="K705" s="5" t="s">
        <v>1176</v>
      </c>
      <c r="L705" s="5" t="s">
        <v>1161</v>
      </c>
      <c r="M705" s="3">
        <f t="shared" si="82"/>
        <v>2.3099999991245568E-2</v>
      </c>
      <c r="N705" s="3">
        <f t="shared" si="83"/>
        <v>6.210000001010485E-2</v>
      </c>
      <c r="O705" s="3">
        <f t="shared" si="84"/>
        <v>0.13649999999999807</v>
      </c>
      <c r="P705">
        <f t="shared" si="85"/>
        <v>5.3360999959554522E-4</v>
      </c>
      <c r="Q705">
        <f t="shared" si="86"/>
        <v>3.8564100012550223E-3</v>
      </c>
      <c r="R705">
        <f t="shared" si="87"/>
        <v>1.8632249999999472E-2</v>
      </c>
      <c r="S705">
        <f t="shared" si="88"/>
        <v>4.3900200008505676E-3</v>
      </c>
      <c r="T705">
        <f t="shared" si="89"/>
        <v>6.6257226027434682E-2</v>
      </c>
    </row>
    <row r="706" spans="1:20" x14ac:dyDescent="0.3">
      <c r="A706" s="2" t="s">
        <v>1165</v>
      </c>
      <c r="B706" s="2" t="s">
        <v>1160</v>
      </c>
      <c r="C706" s="2" t="s">
        <v>51</v>
      </c>
      <c r="D706" s="2" t="s">
        <v>1145</v>
      </c>
      <c r="E706">
        <v>581735.72530000005</v>
      </c>
      <c r="F706">
        <v>249015.95800000001</v>
      </c>
      <c r="G706">
        <v>66.325299999999999</v>
      </c>
      <c r="J706" s="5" t="s">
        <v>1175</v>
      </c>
      <c r="K706" s="5" t="s">
        <v>1176</v>
      </c>
      <c r="L706" s="5" t="s">
        <v>1161</v>
      </c>
      <c r="M706" s="3">
        <f t="shared" si="82"/>
        <v>-2.8000000165775418E-3</v>
      </c>
      <c r="N706" s="3">
        <f t="shared" si="83"/>
        <v>-6.2000000034458935E-3</v>
      </c>
      <c r="O706" s="3">
        <f t="shared" si="84"/>
        <v>9.7999999999984766E-3</v>
      </c>
      <c r="P706">
        <f t="shared" si="85"/>
        <v>7.8400000928342345E-6</v>
      </c>
      <c r="Q706">
        <f t="shared" si="86"/>
        <v>3.8440000042729076E-5</v>
      </c>
      <c r="R706">
        <f t="shared" si="87"/>
        <v>9.6039999999970139E-5</v>
      </c>
      <c r="S706">
        <f t="shared" si="88"/>
        <v>4.6280000135563311E-5</v>
      </c>
      <c r="T706">
        <f t="shared" si="89"/>
        <v>6.8029405506415614E-3</v>
      </c>
    </row>
    <row r="707" spans="1:20" x14ac:dyDescent="0.3">
      <c r="A707" s="2" t="s">
        <v>1165</v>
      </c>
      <c r="B707" s="2" t="s">
        <v>1160</v>
      </c>
      <c r="C707" s="2" t="s">
        <v>51</v>
      </c>
      <c r="D707" s="2" t="s">
        <v>1145</v>
      </c>
      <c r="E707">
        <v>581735.72660000005</v>
      </c>
      <c r="F707">
        <v>249015.95759999999</v>
      </c>
      <c r="G707">
        <v>66.323099999999997</v>
      </c>
      <c r="J707" s="5" t="s">
        <v>1175</v>
      </c>
      <c r="K707" s="5" t="s">
        <v>1176</v>
      </c>
      <c r="L707" s="5" t="s">
        <v>1161</v>
      </c>
      <c r="M707" s="3">
        <f t="shared" ref="M707:M738" si="90">J707-E707</f>
        <v>-4.1000000201165676E-3</v>
      </c>
      <c r="N707" s="3">
        <f t="shared" ref="N707:N738" si="91">K707-F707</f>
        <v>-5.799999984446913E-3</v>
      </c>
      <c r="O707" s="3">
        <f t="shared" ref="O707:O738" si="92">ABS(L707-G707)</f>
        <v>7.5999999999964984E-3</v>
      </c>
      <c r="P707">
        <f t="shared" ref="P707:P738" si="93">POWER(M707,2)</f>
        <v>1.6810000164955855E-5</v>
      </c>
      <c r="Q707">
        <f t="shared" ref="Q707:Q738" si="94">POWER(N707,2)</f>
        <v>3.3639999819584188E-5</v>
      </c>
      <c r="R707">
        <f t="shared" ref="R707:R738" si="95">POWER(O707,2)</f>
        <v>5.7759999999946775E-5</v>
      </c>
      <c r="S707">
        <f t="shared" ref="S707:S738" si="96">P707+Q707</f>
        <v>5.0449999984540043E-5</v>
      </c>
      <c r="T707">
        <f t="shared" ref="T707:T770" si="97">SQRT(S707)</f>
        <v>7.102816341743607E-3</v>
      </c>
    </row>
    <row r="708" spans="1:20" x14ac:dyDescent="0.3">
      <c r="A708" s="2" t="s">
        <v>1165</v>
      </c>
      <c r="B708" s="2" t="s">
        <v>1160</v>
      </c>
      <c r="C708" s="2" t="s">
        <v>51</v>
      </c>
      <c r="D708" s="2" t="s">
        <v>1145</v>
      </c>
      <c r="E708">
        <v>581735.7291</v>
      </c>
      <c r="F708">
        <v>249015.95680000001</v>
      </c>
      <c r="G708">
        <v>66.316100000000006</v>
      </c>
      <c r="J708" s="5" t="s">
        <v>1175</v>
      </c>
      <c r="K708" s="5" t="s">
        <v>1176</v>
      </c>
      <c r="L708" s="5" t="s">
        <v>1161</v>
      </c>
      <c r="M708" s="3">
        <f t="shared" si="90"/>
        <v>-6.5999999642372131E-3</v>
      </c>
      <c r="N708" s="3">
        <f t="shared" si="91"/>
        <v>-5.0000000046566129E-3</v>
      </c>
      <c r="O708" s="3">
        <f t="shared" si="92"/>
        <v>6.0000000000570708E-4</v>
      </c>
      <c r="P708">
        <f t="shared" si="93"/>
        <v>4.3559999527931215E-5</v>
      </c>
      <c r="Q708">
        <f t="shared" si="94"/>
        <v>2.5000000046566129E-5</v>
      </c>
      <c r="R708">
        <f t="shared" si="95"/>
        <v>3.6000000000684852E-7</v>
      </c>
      <c r="S708">
        <f t="shared" si="96"/>
        <v>6.8559999574497343E-5</v>
      </c>
      <c r="T708">
        <f t="shared" si="97"/>
        <v>8.280096592099476E-3</v>
      </c>
    </row>
    <row r="709" spans="1:20" x14ac:dyDescent="0.3">
      <c r="A709" s="2" t="s">
        <v>1165</v>
      </c>
      <c r="B709" s="2" t="s">
        <v>1160</v>
      </c>
      <c r="C709" s="2" t="s">
        <v>51</v>
      </c>
      <c r="D709" s="2" t="s">
        <v>30</v>
      </c>
      <c r="E709">
        <v>581735.72900000005</v>
      </c>
      <c r="F709">
        <v>249015.9412</v>
      </c>
      <c r="G709">
        <v>66.2971</v>
      </c>
      <c r="J709" s="5" t="s">
        <v>1175</v>
      </c>
      <c r="K709" s="5" t="s">
        <v>1176</v>
      </c>
      <c r="L709" s="5" t="s">
        <v>1161</v>
      </c>
      <c r="M709" s="3">
        <f t="shared" si="90"/>
        <v>-6.5000000176951289E-3</v>
      </c>
      <c r="N709" s="3">
        <f t="shared" si="91"/>
        <v>1.0600000008707866E-2</v>
      </c>
      <c r="O709" s="3">
        <f t="shared" si="92"/>
        <v>1.839999999999975E-2</v>
      </c>
      <c r="P709">
        <f t="shared" si="93"/>
        <v>4.2250000230036676E-5</v>
      </c>
      <c r="Q709">
        <f t="shared" si="94"/>
        <v>1.1236000018460677E-4</v>
      </c>
      <c r="R709">
        <f t="shared" si="95"/>
        <v>3.385599999999908E-4</v>
      </c>
      <c r="S709">
        <f t="shared" si="96"/>
        <v>1.5461000041464343E-4</v>
      </c>
      <c r="T709">
        <f t="shared" si="97"/>
        <v>1.2434226972942204E-2</v>
      </c>
    </row>
    <row r="710" spans="1:20" x14ac:dyDescent="0.3">
      <c r="A710" s="2" t="s">
        <v>1165</v>
      </c>
      <c r="B710" s="2" t="s">
        <v>1160</v>
      </c>
      <c r="C710" s="2" t="s">
        <v>51</v>
      </c>
      <c r="D710" s="2" t="s">
        <v>30</v>
      </c>
      <c r="E710">
        <v>581735.72320000001</v>
      </c>
      <c r="F710">
        <v>249015.9418</v>
      </c>
      <c r="G710">
        <v>66.299199999999999</v>
      </c>
      <c r="J710" s="5" t="s">
        <v>1175</v>
      </c>
      <c r="K710" s="5" t="s">
        <v>1176</v>
      </c>
      <c r="L710" s="5" t="s">
        <v>1161</v>
      </c>
      <c r="M710" s="3">
        <f t="shared" si="90"/>
        <v>-6.99999975040555E-4</v>
      </c>
      <c r="N710" s="3">
        <f t="shared" si="91"/>
        <v>1.0000000009313226E-2</v>
      </c>
      <c r="O710" s="3">
        <f t="shared" si="92"/>
        <v>1.6300000000001091E-2</v>
      </c>
      <c r="P710">
        <f t="shared" si="93"/>
        <v>4.8999996505677762E-7</v>
      </c>
      <c r="Q710">
        <f t="shared" si="94"/>
        <v>1.0000000018626452E-4</v>
      </c>
      <c r="R710">
        <f t="shared" si="95"/>
        <v>2.6569000000003557E-4</v>
      </c>
      <c r="S710">
        <f t="shared" si="96"/>
        <v>1.0049000015132129E-4</v>
      </c>
      <c r="T710">
        <f t="shared" si="97"/>
        <v>1.0024470068353802E-2</v>
      </c>
    </row>
    <row r="711" spans="1:20" x14ac:dyDescent="0.3">
      <c r="A711" s="2" t="s">
        <v>1165</v>
      </c>
      <c r="B711" s="2" t="s">
        <v>1160</v>
      </c>
      <c r="C711" s="2" t="s">
        <v>51</v>
      </c>
      <c r="D711" s="2" t="s">
        <v>30</v>
      </c>
      <c r="E711">
        <v>581735.72400000005</v>
      </c>
      <c r="F711">
        <v>249015.94039999999</v>
      </c>
      <c r="G711">
        <v>66.298500000000004</v>
      </c>
      <c r="J711" s="5" t="s">
        <v>1175</v>
      </c>
      <c r="K711" s="5" t="s">
        <v>1176</v>
      </c>
      <c r="L711" s="5" t="s">
        <v>1161</v>
      </c>
      <c r="M711" s="3">
        <f t="shared" si="90"/>
        <v>-1.500000013038516E-3</v>
      </c>
      <c r="N711" s="3">
        <f t="shared" si="91"/>
        <v>1.1400000017601997E-2</v>
      </c>
      <c r="O711" s="3">
        <f t="shared" si="92"/>
        <v>1.6999999999995907E-2</v>
      </c>
      <c r="P711">
        <f t="shared" si="93"/>
        <v>2.2500000391155483E-6</v>
      </c>
      <c r="Q711">
        <f t="shared" si="94"/>
        <v>1.2996000040132552E-4</v>
      </c>
      <c r="R711">
        <f t="shared" si="95"/>
        <v>2.8899999999986087E-4</v>
      </c>
      <c r="S711">
        <f t="shared" si="96"/>
        <v>1.3221000044044107E-4</v>
      </c>
      <c r="T711">
        <f t="shared" si="97"/>
        <v>1.1498260757194588E-2</v>
      </c>
    </row>
    <row r="712" spans="1:20" x14ac:dyDescent="0.3">
      <c r="A712" s="2" t="s">
        <v>1165</v>
      </c>
      <c r="B712" s="2" t="s">
        <v>1160</v>
      </c>
      <c r="C712" s="2" t="s">
        <v>422</v>
      </c>
      <c r="D712" s="2" t="s">
        <v>423</v>
      </c>
      <c r="E712">
        <v>581735.70369999995</v>
      </c>
      <c r="F712">
        <v>249015.97029999999</v>
      </c>
      <c r="G712">
        <v>66.424300000000002</v>
      </c>
      <c r="J712" s="5" t="s">
        <v>1175</v>
      </c>
      <c r="K712" s="5" t="s">
        <v>1176</v>
      </c>
      <c r="L712" s="5" t="s">
        <v>1161</v>
      </c>
      <c r="M712" s="3">
        <f t="shared" si="90"/>
        <v>1.8800000078044832E-2</v>
      </c>
      <c r="N712" s="3">
        <f t="shared" si="91"/>
        <v>-1.8499999976484105E-2</v>
      </c>
      <c r="O712" s="3">
        <f t="shared" si="92"/>
        <v>0.10880000000000223</v>
      </c>
      <c r="P712">
        <f t="shared" si="93"/>
        <v>3.5344000293448567E-4</v>
      </c>
      <c r="Q712">
        <f t="shared" si="94"/>
        <v>3.4224999912991187E-4</v>
      </c>
      <c r="R712">
        <f t="shared" si="95"/>
        <v>1.1837440000000485E-2</v>
      </c>
      <c r="S712">
        <f t="shared" si="96"/>
        <v>6.9569000206439759E-4</v>
      </c>
      <c r="T712">
        <f t="shared" si="97"/>
        <v>2.6375936041482917E-2</v>
      </c>
    </row>
    <row r="713" spans="1:20" x14ac:dyDescent="0.3">
      <c r="A713" s="2" t="s">
        <v>1165</v>
      </c>
      <c r="B713" s="2" t="s">
        <v>1160</v>
      </c>
      <c r="C713" s="2" t="s">
        <v>422</v>
      </c>
      <c r="D713" s="2" t="s">
        <v>423</v>
      </c>
      <c r="E713">
        <v>581735.70239999995</v>
      </c>
      <c r="F713">
        <v>249015.9693</v>
      </c>
      <c r="G713">
        <v>66.428100000000001</v>
      </c>
      <c r="J713" s="5" t="s">
        <v>1175</v>
      </c>
      <c r="K713" s="5" t="s">
        <v>1176</v>
      </c>
      <c r="L713" s="5" t="s">
        <v>1161</v>
      </c>
      <c r="M713" s="3">
        <f t="shared" si="90"/>
        <v>2.0100000081583858E-2</v>
      </c>
      <c r="N713" s="3">
        <f t="shared" si="91"/>
        <v>-1.7499999987194315E-2</v>
      </c>
      <c r="O713" s="3">
        <f t="shared" si="92"/>
        <v>0.11260000000000048</v>
      </c>
      <c r="P713">
        <f t="shared" si="93"/>
        <v>4.0401000327967108E-4</v>
      </c>
      <c r="Q713">
        <f t="shared" si="94"/>
        <v>3.06249999551801E-4</v>
      </c>
      <c r="R713">
        <f t="shared" si="95"/>
        <v>1.2678760000000108E-2</v>
      </c>
      <c r="S713">
        <f t="shared" si="96"/>
        <v>7.1026000283147214E-4</v>
      </c>
      <c r="T713">
        <f t="shared" si="97"/>
        <v>2.6650703608562986E-2</v>
      </c>
    </row>
    <row r="714" spans="1:20" x14ac:dyDescent="0.3">
      <c r="A714" s="2" t="s">
        <v>1165</v>
      </c>
      <c r="B714" s="2" t="s">
        <v>1160</v>
      </c>
      <c r="C714" s="2" t="s">
        <v>422</v>
      </c>
      <c r="D714" s="2" t="s">
        <v>423</v>
      </c>
      <c r="E714">
        <v>581735.70330000005</v>
      </c>
      <c r="F714">
        <v>249015.97099999999</v>
      </c>
      <c r="G714">
        <v>66.430000000000007</v>
      </c>
      <c r="J714" s="5" t="s">
        <v>1175</v>
      </c>
      <c r="K714" s="5" t="s">
        <v>1176</v>
      </c>
      <c r="L714" s="5" t="s">
        <v>1161</v>
      </c>
      <c r="M714" s="3">
        <f t="shared" si="90"/>
        <v>1.919999998062849E-2</v>
      </c>
      <c r="N714" s="3">
        <f t="shared" si="91"/>
        <v>-1.919999998062849E-2</v>
      </c>
      <c r="O714" s="3">
        <f t="shared" si="92"/>
        <v>0.11450000000000671</v>
      </c>
      <c r="P714">
        <f t="shared" si="93"/>
        <v>3.6863999925613403E-4</v>
      </c>
      <c r="Q714">
        <f t="shared" si="94"/>
        <v>3.6863999925613403E-4</v>
      </c>
      <c r="R714">
        <f t="shared" si="95"/>
        <v>1.3110250000001536E-2</v>
      </c>
      <c r="S714">
        <f t="shared" si="96"/>
        <v>7.3727999851226807E-4</v>
      </c>
      <c r="T714">
        <f t="shared" si="97"/>
        <v>2.7152900370167973E-2</v>
      </c>
    </row>
    <row r="715" spans="1:20" x14ac:dyDescent="0.3">
      <c r="A715" s="2" t="s">
        <v>1165</v>
      </c>
      <c r="B715" s="2" t="s">
        <v>1160</v>
      </c>
      <c r="C715" s="2" t="s">
        <v>422</v>
      </c>
      <c r="D715" s="2" t="s">
        <v>1019</v>
      </c>
      <c r="E715">
        <v>581735.69579999999</v>
      </c>
      <c r="F715">
        <v>249015.96840000001</v>
      </c>
      <c r="G715">
        <v>66.436000000000007</v>
      </c>
      <c r="J715" s="5" t="s">
        <v>1175</v>
      </c>
      <c r="K715" s="5" t="s">
        <v>1176</v>
      </c>
      <c r="L715" s="5" t="s">
        <v>1161</v>
      </c>
      <c r="M715" s="3">
        <f t="shared" si="90"/>
        <v>2.6700000045821071E-2</v>
      </c>
      <c r="N715" s="3">
        <f t="shared" si="91"/>
        <v>-1.6600000002654269E-2</v>
      </c>
      <c r="O715" s="3">
        <f t="shared" si="92"/>
        <v>0.12050000000000693</v>
      </c>
      <c r="P715">
        <f t="shared" si="93"/>
        <v>7.1289000244684512E-4</v>
      </c>
      <c r="Q715">
        <f t="shared" si="94"/>
        <v>2.7556000008812173E-4</v>
      </c>
      <c r="R715">
        <f t="shared" si="95"/>
        <v>1.4520250000001671E-2</v>
      </c>
      <c r="S715">
        <f t="shared" si="96"/>
        <v>9.884500025349669E-4</v>
      </c>
      <c r="T715">
        <f t="shared" si="97"/>
        <v>3.1439624720008455E-2</v>
      </c>
    </row>
    <row r="716" spans="1:20" x14ac:dyDescent="0.3">
      <c r="A716" s="2" t="s">
        <v>1165</v>
      </c>
      <c r="B716" s="2" t="s">
        <v>1160</v>
      </c>
      <c r="C716" s="2" t="s">
        <v>422</v>
      </c>
      <c r="D716" s="2" t="s">
        <v>1019</v>
      </c>
      <c r="E716">
        <v>581735.69660000002</v>
      </c>
      <c r="F716">
        <v>249015.97</v>
      </c>
      <c r="G716">
        <v>66.437200000000004</v>
      </c>
      <c r="J716" s="5" t="s">
        <v>1175</v>
      </c>
      <c r="K716" s="5" t="s">
        <v>1176</v>
      </c>
      <c r="L716" s="5" t="s">
        <v>1161</v>
      </c>
      <c r="M716" s="3">
        <f t="shared" si="90"/>
        <v>2.590000000782311E-2</v>
      </c>
      <c r="N716" s="3">
        <f t="shared" si="91"/>
        <v>-1.81999999913387E-2</v>
      </c>
      <c r="O716" s="3">
        <f t="shared" si="92"/>
        <v>0.12170000000000414</v>
      </c>
      <c r="P716">
        <f t="shared" si="93"/>
        <v>6.7081000040523702E-4</v>
      </c>
      <c r="Q716">
        <f t="shared" si="94"/>
        <v>3.3123999968472871E-4</v>
      </c>
      <c r="R716">
        <f t="shared" si="95"/>
        <v>1.4810890000001008E-2</v>
      </c>
      <c r="S716">
        <f t="shared" si="96"/>
        <v>1.0020500000899658E-3</v>
      </c>
      <c r="T716">
        <f t="shared" si="97"/>
        <v>3.1655173354287067E-2</v>
      </c>
    </row>
    <row r="717" spans="1:20" x14ac:dyDescent="0.3">
      <c r="A717" s="2" t="s">
        <v>1165</v>
      </c>
      <c r="B717" s="2" t="s">
        <v>1160</v>
      </c>
      <c r="C717" s="2" t="s">
        <v>422</v>
      </c>
      <c r="D717" s="2" t="s">
        <v>1019</v>
      </c>
      <c r="E717">
        <v>581735.69629999995</v>
      </c>
      <c r="F717">
        <v>249015.9663</v>
      </c>
      <c r="G717">
        <v>66.437799999999996</v>
      </c>
      <c r="J717" s="5" t="s">
        <v>1175</v>
      </c>
      <c r="K717" s="5" t="s">
        <v>1176</v>
      </c>
      <c r="L717" s="5" t="s">
        <v>1161</v>
      </c>
      <c r="M717" s="3">
        <f t="shared" si="90"/>
        <v>2.6200000080280006E-2</v>
      </c>
      <c r="N717" s="3">
        <f t="shared" si="91"/>
        <v>-1.4499999990221113E-2</v>
      </c>
      <c r="O717" s="3">
        <f t="shared" si="92"/>
        <v>0.12229999999999563</v>
      </c>
      <c r="P717">
        <f t="shared" si="93"/>
        <v>6.864400042066723E-4</v>
      </c>
      <c r="Q717">
        <f t="shared" si="94"/>
        <v>2.1024999971641227E-4</v>
      </c>
      <c r="R717">
        <f t="shared" si="95"/>
        <v>1.4957289999998933E-2</v>
      </c>
      <c r="S717">
        <f t="shared" si="96"/>
        <v>8.9669000392308463E-4</v>
      </c>
      <c r="T717">
        <f t="shared" si="97"/>
        <v>2.9944782582665124E-2</v>
      </c>
    </row>
    <row r="718" spans="1:20" x14ac:dyDescent="0.3">
      <c r="A718" s="2" t="s">
        <v>1165</v>
      </c>
      <c r="B718" s="2" t="s">
        <v>1162</v>
      </c>
      <c r="C718" s="2" t="s">
        <v>20</v>
      </c>
      <c r="D718" s="2" t="s">
        <v>30</v>
      </c>
      <c r="E718">
        <v>527868.59420000005</v>
      </c>
      <c r="F718">
        <v>274958.45929999999</v>
      </c>
      <c r="G718">
        <v>66.664699999999996</v>
      </c>
      <c r="J718" s="5" t="s">
        <v>1177</v>
      </c>
      <c r="K718" s="5" t="s">
        <v>1178</v>
      </c>
      <c r="L718" s="5" t="s">
        <v>1163</v>
      </c>
      <c r="M718" s="3">
        <f t="shared" si="90"/>
        <v>-9.4000000972300768E-3</v>
      </c>
      <c r="N718" s="3">
        <f t="shared" si="91"/>
        <v>-7.6000000117346644E-3</v>
      </c>
      <c r="O718" s="3">
        <f t="shared" si="92"/>
        <v>1.1099999999999E-2</v>
      </c>
      <c r="P718">
        <f t="shared" si="93"/>
        <v>8.8360001827925453E-5</v>
      </c>
      <c r="Q718">
        <f t="shared" si="94"/>
        <v>5.77600001783669E-5</v>
      </c>
      <c r="R718">
        <f t="shared" si="95"/>
        <v>1.2320999999997778E-4</v>
      </c>
      <c r="S718">
        <f t="shared" si="96"/>
        <v>1.4612000200629234E-4</v>
      </c>
      <c r="T718">
        <f t="shared" si="97"/>
        <v>1.208801067199613E-2</v>
      </c>
    </row>
    <row r="719" spans="1:20" x14ac:dyDescent="0.3">
      <c r="A719" s="2" t="s">
        <v>1165</v>
      </c>
      <c r="B719" s="2" t="s">
        <v>1162</v>
      </c>
      <c r="C719" s="2" t="s">
        <v>20</v>
      </c>
      <c r="D719" s="2" t="s">
        <v>30</v>
      </c>
      <c r="E719">
        <v>527868.58700000006</v>
      </c>
      <c r="F719">
        <v>274958.46519999998</v>
      </c>
      <c r="G719">
        <v>66.677899999999994</v>
      </c>
      <c r="J719" s="5" t="s">
        <v>1177</v>
      </c>
      <c r="K719" s="5" t="s">
        <v>1178</v>
      </c>
      <c r="L719" s="5" t="s">
        <v>1163</v>
      </c>
      <c r="M719" s="3">
        <f t="shared" si="90"/>
        <v>-2.2000001044943929E-3</v>
      </c>
      <c r="N719" s="3">
        <f t="shared" si="91"/>
        <v>-1.3500000000931323E-2</v>
      </c>
      <c r="O719" s="3">
        <f t="shared" si="92"/>
        <v>2.0999999999986585E-3</v>
      </c>
      <c r="P719">
        <f t="shared" si="93"/>
        <v>4.8400004597753396E-6</v>
      </c>
      <c r="Q719">
        <f t="shared" si="94"/>
        <v>1.822500000251457E-4</v>
      </c>
      <c r="R719">
        <f t="shared" si="95"/>
        <v>4.4099999999943657E-6</v>
      </c>
      <c r="S719">
        <f t="shared" si="96"/>
        <v>1.8709000048492102E-4</v>
      </c>
      <c r="T719">
        <f t="shared" si="97"/>
        <v>1.3678084678964414E-2</v>
      </c>
    </row>
    <row r="720" spans="1:20" x14ac:dyDescent="0.3">
      <c r="A720" s="2" t="s">
        <v>1165</v>
      </c>
      <c r="B720" s="2" t="s">
        <v>1162</v>
      </c>
      <c r="C720" s="2" t="s">
        <v>20</v>
      </c>
      <c r="D720" s="2" t="s">
        <v>30</v>
      </c>
      <c r="E720">
        <v>527868.58349999995</v>
      </c>
      <c r="F720">
        <v>274958.46659999999</v>
      </c>
      <c r="G720">
        <v>66.678600000000003</v>
      </c>
      <c r="J720" s="5" t="s">
        <v>1177</v>
      </c>
      <c r="K720" s="5" t="s">
        <v>1178</v>
      </c>
      <c r="L720" s="5" t="s">
        <v>1163</v>
      </c>
      <c r="M720" s="3">
        <f t="shared" si="90"/>
        <v>1.3000000035390258E-3</v>
      </c>
      <c r="N720" s="3">
        <f t="shared" si="91"/>
        <v>-1.4900000009220093E-2</v>
      </c>
      <c r="O720" s="3">
        <f t="shared" si="92"/>
        <v>2.8000000000076852E-3</v>
      </c>
      <c r="P720">
        <f t="shared" si="93"/>
        <v>1.690000009201467E-6</v>
      </c>
      <c r="Q720">
        <f t="shared" si="94"/>
        <v>2.2201000027475878E-4</v>
      </c>
      <c r="R720">
        <f t="shared" si="95"/>
        <v>7.8400000000430372E-6</v>
      </c>
      <c r="S720">
        <f t="shared" si="96"/>
        <v>2.2370000028396026E-4</v>
      </c>
      <c r="T720">
        <f t="shared" si="97"/>
        <v>1.495660390208821E-2</v>
      </c>
    </row>
    <row r="721" spans="1:20" x14ac:dyDescent="0.3">
      <c r="A721" s="2" t="s">
        <v>1165</v>
      </c>
      <c r="B721" s="2" t="s">
        <v>1162</v>
      </c>
      <c r="C721" s="2" t="s">
        <v>20</v>
      </c>
      <c r="D721" s="2" t="s">
        <v>1112</v>
      </c>
      <c r="E721">
        <v>527868.5246</v>
      </c>
      <c r="F721">
        <v>274958.4509</v>
      </c>
      <c r="G721">
        <v>66.809799999999996</v>
      </c>
      <c r="J721" s="5" t="s">
        <v>1177</v>
      </c>
      <c r="K721" s="5" t="s">
        <v>1178</v>
      </c>
      <c r="L721" s="5" t="s">
        <v>1163</v>
      </c>
      <c r="M721" s="3">
        <f t="shared" si="90"/>
        <v>6.0199999948963523E-2</v>
      </c>
      <c r="N721" s="3">
        <f t="shared" si="91"/>
        <v>7.9999997979030013E-4</v>
      </c>
      <c r="O721" s="3">
        <f t="shared" si="92"/>
        <v>0.13400000000000034</v>
      </c>
      <c r="P721">
        <f t="shared" si="93"/>
        <v>3.6240399938552081E-3</v>
      </c>
      <c r="Q721">
        <f t="shared" si="94"/>
        <v>6.3999996766448062E-7</v>
      </c>
      <c r="R721">
        <f t="shared" si="95"/>
        <v>1.795600000000009E-2</v>
      </c>
      <c r="S721">
        <f t="shared" si="96"/>
        <v>3.6246799938228725E-3</v>
      </c>
      <c r="T721">
        <f t="shared" si="97"/>
        <v>6.0205315328655765E-2</v>
      </c>
    </row>
    <row r="722" spans="1:20" x14ac:dyDescent="0.3">
      <c r="A722" s="2" t="s">
        <v>1165</v>
      </c>
      <c r="B722" s="2" t="s">
        <v>1162</v>
      </c>
      <c r="C722" s="2" t="s">
        <v>20</v>
      </c>
      <c r="D722" s="2" t="s">
        <v>1112</v>
      </c>
      <c r="E722">
        <v>527868.52020000003</v>
      </c>
      <c r="F722">
        <v>274958.4584</v>
      </c>
      <c r="G722">
        <v>66.830600000000004</v>
      </c>
      <c r="J722" s="5" t="s">
        <v>1177</v>
      </c>
      <c r="K722" s="5" t="s">
        <v>1178</v>
      </c>
      <c r="L722" s="5" t="s">
        <v>1163</v>
      </c>
      <c r="M722" s="3">
        <f t="shared" si="90"/>
        <v>6.4599999925121665E-2</v>
      </c>
      <c r="N722" s="3">
        <f t="shared" si="91"/>
        <v>-6.7000000271946192E-3</v>
      </c>
      <c r="O722" s="3">
        <f t="shared" si="92"/>
        <v>0.15480000000000871</v>
      </c>
      <c r="P722">
        <f t="shared" si="93"/>
        <v>4.1731599903257191E-3</v>
      </c>
      <c r="Q722">
        <f t="shared" si="94"/>
        <v>4.4890000364407898E-5</v>
      </c>
      <c r="R722">
        <f t="shared" si="95"/>
        <v>2.3963040000002697E-2</v>
      </c>
      <c r="S722">
        <f t="shared" si="96"/>
        <v>4.2180499906901269E-3</v>
      </c>
      <c r="T722">
        <f t="shared" si="97"/>
        <v>6.4946516386101313E-2</v>
      </c>
    </row>
    <row r="723" spans="1:20" x14ac:dyDescent="0.3">
      <c r="A723" s="2" t="s">
        <v>1165</v>
      </c>
      <c r="B723" s="2" t="s">
        <v>1162</v>
      </c>
      <c r="C723" s="2" t="s">
        <v>20</v>
      </c>
      <c r="D723" s="2" t="s">
        <v>1112</v>
      </c>
      <c r="E723">
        <v>527868.53060000006</v>
      </c>
      <c r="F723">
        <v>274958.46389999997</v>
      </c>
      <c r="G723">
        <v>66.825199999999995</v>
      </c>
      <c r="J723" s="5" t="s">
        <v>1177</v>
      </c>
      <c r="K723" s="5" t="s">
        <v>1178</v>
      </c>
      <c r="L723" s="5" t="s">
        <v>1163</v>
      </c>
      <c r="M723" s="3">
        <f t="shared" si="90"/>
        <v>5.4199999896809459E-2</v>
      </c>
      <c r="N723" s="3">
        <f t="shared" si="91"/>
        <v>-1.2199999997392297E-2</v>
      </c>
      <c r="O723" s="3">
        <f t="shared" si="92"/>
        <v>0.14939999999999998</v>
      </c>
      <c r="P723">
        <f t="shared" si="93"/>
        <v>2.9376399888141453E-3</v>
      </c>
      <c r="Q723">
        <f t="shared" si="94"/>
        <v>1.4883999993637204E-4</v>
      </c>
      <c r="R723">
        <f t="shared" si="95"/>
        <v>2.2320359999999994E-2</v>
      </c>
      <c r="S723">
        <f t="shared" si="96"/>
        <v>3.0864799887505173E-3</v>
      </c>
      <c r="T723">
        <f t="shared" si="97"/>
        <v>5.5556097673887403E-2</v>
      </c>
    </row>
    <row r="724" spans="1:20" x14ac:dyDescent="0.3">
      <c r="A724" s="2" t="s">
        <v>1165</v>
      </c>
      <c r="B724" s="2" t="s">
        <v>1162</v>
      </c>
      <c r="C724" s="2" t="s">
        <v>20</v>
      </c>
      <c r="D724" s="2" t="s">
        <v>37</v>
      </c>
      <c r="E724">
        <v>527868.61930000002</v>
      </c>
      <c r="F724">
        <v>274958.4878</v>
      </c>
      <c r="G724">
        <v>66.678100000000001</v>
      </c>
      <c r="J724" s="5" t="s">
        <v>1177</v>
      </c>
      <c r="K724" s="5" t="s">
        <v>1178</v>
      </c>
      <c r="L724" s="5" t="s">
        <v>1163</v>
      </c>
      <c r="M724" s="3">
        <f t="shared" si="90"/>
        <v>-3.4500000067055225E-2</v>
      </c>
      <c r="N724" s="3">
        <f t="shared" si="91"/>
        <v>-3.6100000026635826E-2</v>
      </c>
      <c r="O724" s="3">
        <f t="shared" si="92"/>
        <v>2.3000000000052978E-3</v>
      </c>
      <c r="P724">
        <f t="shared" si="93"/>
        <v>1.1902500046268106E-3</v>
      </c>
      <c r="Q724">
        <f t="shared" si="94"/>
        <v>1.3032100019231066E-3</v>
      </c>
      <c r="R724">
        <f t="shared" si="95"/>
        <v>5.2900000000243702E-6</v>
      </c>
      <c r="S724">
        <f t="shared" si="96"/>
        <v>2.4934600065499172E-3</v>
      </c>
      <c r="T724">
        <f t="shared" si="97"/>
        <v>4.9934557237948124E-2</v>
      </c>
    </row>
    <row r="725" spans="1:20" x14ac:dyDescent="0.3">
      <c r="A725" s="2" t="s">
        <v>1165</v>
      </c>
      <c r="B725" s="2" t="s">
        <v>1162</v>
      </c>
      <c r="C725" s="2" t="s">
        <v>20</v>
      </c>
      <c r="D725" s="2" t="s">
        <v>37</v>
      </c>
      <c r="E725">
        <v>527868.61419999995</v>
      </c>
      <c r="F725">
        <v>274958.48149999999</v>
      </c>
      <c r="G725">
        <v>66.665000000000006</v>
      </c>
      <c r="J725" s="5" t="s">
        <v>1177</v>
      </c>
      <c r="K725" s="5" t="s">
        <v>1178</v>
      </c>
      <c r="L725" s="5" t="s">
        <v>1163</v>
      </c>
      <c r="M725" s="3">
        <f t="shared" si="90"/>
        <v>-2.9399999999441206E-2</v>
      </c>
      <c r="N725" s="3">
        <f t="shared" si="91"/>
        <v>-2.9800000018440187E-2</v>
      </c>
      <c r="O725" s="3">
        <f t="shared" si="92"/>
        <v>1.0799999999989041E-2</v>
      </c>
      <c r="P725">
        <f t="shared" si="93"/>
        <v>8.6435999996714293E-4</v>
      </c>
      <c r="Q725">
        <f t="shared" si="94"/>
        <v>8.8804000109903513E-4</v>
      </c>
      <c r="R725">
        <f t="shared" si="95"/>
        <v>1.1663999999976327E-4</v>
      </c>
      <c r="S725">
        <f t="shared" si="96"/>
        <v>1.7524000010661781E-3</v>
      </c>
      <c r="T725">
        <f t="shared" si="97"/>
        <v>4.1861676997776598E-2</v>
      </c>
    </row>
    <row r="726" spans="1:20" x14ac:dyDescent="0.3">
      <c r="A726" s="2" t="s">
        <v>1165</v>
      </c>
      <c r="B726" s="2" t="s">
        <v>1162</v>
      </c>
      <c r="C726" s="2" t="s">
        <v>20</v>
      </c>
      <c r="D726" s="2" t="s">
        <v>37</v>
      </c>
      <c r="E726">
        <v>527868.60629999998</v>
      </c>
      <c r="F726">
        <v>274958.48149999999</v>
      </c>
      <c r="G726">
        <v>66.664000000000001</v>
      </c>
      <c r="J726" s="5" t="s">
        <v>1177</v>
      </c>
      <c r="K726" s="5" t="s">
        <v>1178</v>
      </c>
      <c r="L726" s="5" t="s">
        <v>1163</v>
      </c>
      <c r="M726" s="3">
        <f t="shared" si="90"/>
        <v>-2.1500000031664968E-2</v>
      </c>
      <c r="N726" s="3">
        <f t="shared" si="91"/>
        <v>-2.9800000018440187E-2</v>
      </c>
      <c r="O726" s="3">
        <f t="shared" si="92"/>
        <v>1.1799999999993815E-2</v>
      </c>
      <c r="P726">
        <f t="shared" si="93"/>
        <v>4.6225000136159361E-4</v>
      </c>
      <c r="Q726">
        <f t="shared" si="94"/>
        <v>8.8804000109903513E-4</v>
      </c>
      <c r="R726">
        <f t="shared" si="95"/>
        <v>1.3923999999985404E-4</v>
      </c>
      <c r="S726">
        <f t="shared" si="96"/>
        <v>1.3502900024606288E-3</v>
      </c>
      <c r="T726">
        <f t="shared" si="97"/>
        <v>3.6746292363456598E-2</v>
      </c>
    </row>
    <row r="727" spans="1:20" x14ac:dyDescent="0.3">
      <c r="A727" s="2" t="s">
        <v>1165</v>
      </c>
      <c r="B727" s="2" t="s">
        <v>1162</v>
      </c>
      <c r="C727" s="2" t="s">
        <v>20</v>
      </c>
      <c r="D727" s="2" t="s">
        <v>1164</v>
      </c>
      <c r="E727">
        <v>527868.59629999998</v>
      </c>
      <c r="F727">
        <v>274958.46919999999</v>
      </c>
      <c r="G727">
        <v>66.663200000000003</v>
      </c>
      <c r="J727" s="5" t="s">
        <v>1177</v>
      </c>
      <c r="K727" s="5" t="s">
        <v>1178</v>
      </c>
      <c r="L727" s="5" t="s">
        <v>1163</v>
      </c>
      <c r="M727" s="3">
        <f t="shared" si="90"/>
        <v>-1.1500000022351742E-2</v>
      </c>
      <c r="N727" s="3">
        <f t="shared" si="91"/>
        <v>-1.7500000016298145E-2</v>
      </c>
      <c r="O727" s="3">
        <f t="shared" si="92"/>
        <v>1.2599999999991951E-2</v>
      </c>
      <c r="P727">
        <f t="shared" si="93"/>
        <v>1.3225000051409006E-4</v>
      </c>
      <c r="Q727">
        <f t="shared" si="94"/>
        <v>3.0625000057043507E-4</v>
      </c>
      <c r="R727">
        <f t="shared" si="95"/>
        <v>1.5875999999979718E-4</v>
      </c>
      <c r="S727">
        <f t="shared" si="96"/>
        <v>4.3850000108452514E-4</v>
      </c>
      <c r="T727">
        <f t="shared" si="97"/>
        <v>2.0940391617267455E-2</v>
      </c>
    </row>
    <row r="728" spans="1:20" x14ac:dyDescent="0.3">
      <c r="A728" s="2" t="s">
        <v>1165</v>
      </c>
      <c r="B728" s="2" t="s">
        <v>1162</v>
      </c>
      <c r="C728" s="2" t="s">
        <v>20</v>
      </c>
      <c r="D728" s="2" t="s">
        <v>1164</v>
      </c>
      <c r="E728">
        <v>527868.59889999998</v>
      </c>
      <c r="F728">
        <v>274958.47120000003</v>
      </c>
      <c r="G728">
        <v>66.661500000000004</v>
      </c>
      <c r="J728" s="5" t="s">
        <v>1177</v>
      </c>
      <c r="K728" s="5" t="s">
        <v>1178</v>
      </c>
      <c r="L728" s="5" t="s">
        <v>1163</v>
      </c>
      <c r="M728" s="3">
        <f t="shared" si="90"/>
        <v>-1.4100000029429793E-2</v>
      </c>
      <c r="N728" s="3">
        <f t="shared" si="91"/>
        <v>-1.9500000053085387E-2</v>
      </c>
      <c r="O728" s="3">
        <f t="shared" si="92"/>
        <v>1.4299999999991542E-2</v>
      </c>
      <c r="P728">
        <f t="shared" si="93"/>
        <v>1.9881000082992017E-4</v>
      </c>
      <c r="Q728">
        <f t="shared" si="94"/>
        <v>3.8025000207033007E-4</v>
      </c>
      <c r="R728">
        <f t="shared" si="95"/>
        <v>2.044899999997581E-4</v>
      </c>
      <c r="S728">
        <f t="shared" si="96"/>
        <v>5.790600029002503E-4</v>
      </c>
      <c r="T728">
        <f t="shared" si="97"/>
        <v>2.4063665616448595E-2</v>
      </c>
    </row>
    <row r="729" spans="1:20" x14ac:dyDescent="0.3">
      <c r="A729" s="2" t="s">
        <v>1165</v>
      </c>
      <c r="B729" s="2" t="s">
        <v>1162</v>
      </c>
      <c r="C729" s="2" t="s">
        <v>20</v>
      </c>
      <c r="D729" s="2" t="s">
        <v>1164</v>
      </c>
      <c r="E729">
        <v>527868.60640000005</v>
      </c>
      <c r="F729">
        <v>274958.47330000001</v>
      </c>
      <c r="G729">
        <v>66.660399999999996</v>
      </c>
      <c r="J729" s="5" t="s">
        <v>1177</v>
      </c>
      <c r="K729" s="5" t="s">
        <v>1178</v>
      </c>
      <c r="L729" s="5" t="s">
        <v>1163</v>
      </c>
      <c r="M729" s="3">
        <f t="shared" si="90"/>
        <v>-2.1600000094622374E-2</v>
      </c>
      <c r="N729" s="3">
        <f t="shared" si="91"/>
        <v>-2.1600000036414713E-2</v>
      </c>
      <c r="O729" s="3">
        <f t="shared" si="92"/>
        <v>1.5399999999999636E-2</v>
      </c>
      <c r="P729">
        <f t="shared" si="93"/>
        <v>4.6656000408768655E-4</v>
      </c>
      <c r="Q729">
        <f t="shared" si="94"/>
        <v>4.6656000157311559E-4</v>
      </c>
      <c r="R729">
        <f t="shared" si="95"/>
        <v>2.3715999999998879E-4</v>
      </c>
      <c r="S729">
        <f t="shared" si="96"/>
        <v>9.3312000566080208E-4</v>
      </c>
      <c r="T729">
        <f t="shared" si="97"/>
        <v>3.0547013039916065E-2</v>
      </c>
    </row>
    <row r="730" spans="1:20" x14ac:dyDescent="0.3">
      <c r="A730" s="2" t="s">
        <v>1165</v>
      </c>
      <c r="B730" s="2" t="s">
        <v>1162</v>
      </c>
      <c r="C730" s="2" t="s">
        <v>51</v>
      </c>
      <c r="D730" s="2" t="s">
        <v>1144</v>
      </c>
      <c r="E730">
        <v>527868.62230000005</v>
      </c>
      <c r="F730">
        <v>274958.46980000002</v>
      </c>
      <c r="G730">
        <v>66.600899999999996</v>
      </c>
      <c r="J730" s="5" t="s">
        <v>1177</v>
      </c>
      <c r="K730" s="5" t="s">
        <v>1178</v>
      </c>
      <c r="L730" s="5" t="s">
        <v>1163</v>
      </c>
      <c r="M730" s="3">
        <f t="shared" si="90"/>
        <v>-3.7500000093132257E-2</v>
      </c>
      <c r="N730" s="3">
        <f t="shared" si="91"/>
        <v>-1.8100000044796616E-2</v>
      </c>
      <c r="O730" s="3">
        <f t="shared" si="92"/>
        <v>7.4899999999999523E-2</v>
      </c>
      <c r="P730">
        <f t="shared" si="93"/>
        <v>1.4062500069849193E-3</v>
      </c>
      <c r="Q730">
        <f t="shared" si="94"/>
        <v>3.2761000162163749E-4</v>
      </c>
      <c r="R730">
        <f t="shared" si="95"/>
        <v>5.6100099999999284E-3</v>
      </c>
      <c r="S730">
        <f t="shared" si="96"/>
        <v>1.7338600086065567E-3</v>
      </c>
      <c r="T730">
        <f t="shared" si="97"/>
        <v>4.1639644674355193E-2</v>
      </c>
    </row>
    <row r="731" spans="1:20" x14ac:dyDescent="0.3">
      <c r="A731" s="2" t="s">
        <v>1165</v>
      </c>
      <c r="B731" s="2" t="s">
        <v>1162</v>
      </c>
      <c r="C731" s="2" t="s">
        <v>51</v>
      </c>
      <c r="D731" s="2" t="s">
        <v>1144</v>
      </c>
      <c r="E731">
        <v>527868.62990000006</v>
      </c>
      <c r="F731">
        <v>274958.45880000002</v>
      </c>
      <c r="G731">
        <v>66.580299999999994</v>
      </c>
      <c r="J731" s="5" t="s">
        <v>1177</v>
      </c>
      <c r="K731" s="5" t="s">
        <v>1178</v>
      </c>
      <c r="L731" s="5" t="s">
        <v>1163</v>
      </c>
      <c r="M731" s="3">
        <f t="shared" si="90"/>
        <v>-4.5100000104866922E-2</v>
      </c>
      <c r="N731" s="3">
        <f t="shared" si="91"/>
        <v>-7.1000000461935997E-3</v>
      </c>
      <c r="O731" s="3">
        <f t="shared" si="92"/>
        <v>9.5500000000001251E-2</v>
      </c>
      <c r="P731">
        <f t="shared" si="93"/>
        <v>2.0340100094589962E-3</v>
      </c>
      <c r="Q731">
        <f t="shared" si="94"/>
        <v>5.0410000655949118E-5</v>
      </c>
      <c r="R731">
        <f t="shared" si="95"/>
        <v>9.1202500000002393E-3</v>
      </c>
      <c r="S731">
        <f t="shared" si="96"/>
        <v>2.0844200101149454E-3</v>
      </c>
      <c r="T731">
        <f t="shared" si="97"/>
        <v>4.5655448854599441E-2</v>
      </c>
    </row>
    <row r="732" spans="1:20" x14ac:dyDescent="0.3">
      <c r="A732" s="2" t="s">
        <v>1165</v>
      </c>
      <c r="B732" s="2" t="s">
        <v>1162</v>
      </c>
      <c r="C732" s="2" t="s">
        <v>51</v>
      </c>
      <c r="D732" s="2" t="s">
        <v>1144</v>
      </c>
      <c r="E732">
        <v>527868.62300000002</v>
      </c>
      <c r="F732">
        <v>274958.46149999998</v>
      </c>
      <c r="G732">
        <v>66.588899999999995</v>
      </c>
      <c r="J732" s="5" t="s">
        <v>1177</v>
      </c>
      <c r="K732" s="5" t="s">
        <v>1178</v>
      </c>
      <c r="L732" s="5" t="s">
        <v>1163</v>
      </c>
      <c r="M732" s="3">
        <f t="shared" si="90"/>
        <v>-3.8200000068172812E-2</v>
      </c>
      <c r="N732" s="3">
        <f t="shared" si="91"/>
        <v>-9.7999999998137355E-3</v>
      </c>
      <c r="O732" s="3">
        <f t="shared" si="92"/>
        <v>8.6899999999999977E-2</v>
      </c>
      <c r="P732">
        <f t="shared" si="93"/>
        <v>1.4592400052084028E-3</v>
      </c>
      <c r="Q732">
        <f t="shared" si="94"/>
        <v>9.6039999996349216E-5</v>
      </c>
      <c r="R732">
        <f t="shared" si="95"/>
        <v>7.5516099999999959E-3</v>
      </c>
      <c r="S732">
        <f t="shared" si="96"/>
        <v>1.555280005204752E-3</v>
      </c>
      <c r="T732">
        <f t="shared" si="97"/>
        <v>3.943703849434884E-2</v>
      </c>
    </row>
    <row r="733" spans="1:20" x14ac:dyDescent="0.3">
      <c r="A733" s="2" t="s">
        <v>1165</v>
      </c>
      <c r="B733" s="2" t="s">
        <v>1162</v>
      </c>
      <c r="C733" s="2" t="s">
        <v>51</v>
      </c>
      <c r="D733" s="2" t="s">
        <v>1158</v>
      </c>
      <c r="E733">
        <v>527868.6176</v>
      </c>
      <c r="F733">
        <v>274958.45510000002</v>
      </c>
      <c r="G733">
        <v>66.5822</v>
      </c>
      <c r="J733" s="5" t="s">
        <v>1177</v>
      </c>
      <c r="K733" s="5" t="s">
        <v>1178</v>
      </c>
      <c r="L733" s="5" t="s">
        <v>1163</v>
      </c>
      <c r="M733" s="3">
        <f t="shared" si="90"/>
        <v>-3.2800000044517219E-2</v>
      </c>
      <c r="N733" s="3">
        <f t="shared" si="91"/>
        <v>-3.4000000450760126E-3</v>
      </c>
      <c r="O733" s="3">
        <f t="shared" si="92"/>
        <v>9.3599999999995021E-2</v>
      </c>
      <c r="P733">
        <f t="shared" si="93"/>
        <v>1.0758400029203296E-3</v>
      </c>
      <c r="Q733">
        <f t="shared" si="94"/>
        <v>1.1560000306516888E-5</v>
      </c>
      <c r="R733">
        <f t="shared" si="95"/>
        <v>8.7609599999990684E-3</v>
      </c>
      <c r="S733">
        <f t="shared" si="96"/>
        <v>1.0874000032268464E-3</v>
      </c>
      <c r="T733">
        <f t="shared" si="97"/>
        <v>3.2975748713666021E-2</v>
      </c>
    </row>
    <row r="734" spans="1:20" x14ac:dyDescent="0.3">
      <c r="A734" s="2" t="s">
        <v>1165</v>
      </c>
      <c r="B734" s="2" t="s">
        <v>1162</v>
      </c>
      <c r="C734" s="2" t="s">
        <v>51</v>
      </c>
      <c r="D734" s="2" t="s">
        <v>30</v>
      </c>
      <c r="E734">
        <v>527868.62139999995</v>
      </c>
      <c r="F734">
        <v>274958.4572</v>
      </c>
      <c r="G734">
        <v>66.585999999999999</v>
      </c>
      <c r="J734" s="5" t="s">
        <v>1177</v>
      </c>
      <c r="K734" s="5" t="s">
        <v>1178</v>
      </c>
      <c r="L734" s="5" t="s">
        <v>1163</v>
      </c>
      <c r="M734" s="3">
        <f t="shared" si="90"/>
        <v>-3.659999999217689E-2</v>
      </c>
      <c r="N734" s="3">
        <f t="shared" si="91"/>
        <v>-5.5000000284053385E-3</v>
      </c>
      <c r="O734" s="3">
        <f t="shared" si="92"/>
        <v>8.9799999999996771E-2</v>
      </c>
      <c r="P734">
        <f t="shared" si="93"/>
        <v>1.3395599994273483E-3</v>
      </c>
      <c r="Q734">
        <f t="shared" si="94"/>
        <v>3.0250000312458725E-5</v>
      </c>
      <c r="R734">
        <f t="shared" si="95"/>
        <v>8.0640399999994204E-3</v>
      </c>
      <c r="S734">
        <f t="shared" si="96"/>
        <v>1.369809999739807E-3</v>
      </c>
      <c r="T734">
        <f t="shared" si="97"/>
        <v>3.7010944323805181E-2</v>
      </c>
    </row>
    <row r="735" spans="1:20" x14ac:dyDescent="0.3">
      <c r="A735" s="2" t="s">
        <v>1165</v>
      </c>
      <c r="B735" s="2" t="s">
        <v>1162</v>
      </c>
      <c r="C735" s="2" t="s">
        <v>51</v>
      </c>
      <c r="D735" s="2" t="s">
        <v>30</v>
      </c>
      <c r="E735">
        <v>527868.61840000004</v>
      </c>
      <c r="F735">
        <v>274958.45569999999</v>
      </c>
      <c r="G735">
        <v>66.576899999999995</v>
      </c>
      <c r="J735" s="5" t="s">
        <v>1177</v>
      </c>
      <c r="K735" s="5" t="s">
        <v>1178</v>
      </c>
      <c r="L735" s="5" t="s">
        <v>1163</v>
      </c>
      <c r="M735" s="3">
        <f t="shared" si="90"/>
        <v>-3.360000008251518E-2</v>
      </c>
      <c r="N735" s="3">
        <f t="shared" si="91"/>
        <v>-4.0000000153668225E-3</v>
      </c>
      <c r="O735" s="3">
        <f t="shared" si="92"/>
        <v>9.8900000000000432E-2</v>
      </c>
      <c r="P735">
        <f t="shared" si="93"/>
        <v>1.1289600055450202E-3</v>
      </c>
      <c r="Q735">
        <f t="shared" si="94"/>
        <v>1.600000012293458E-5</v>
      </c>
      <c r="R735">
        <f t="shared" si="95"/>
        <v>9.7812100000000853E-3</v>
      </c>
      <c r="S735">
        <f t="shared" si="96"/>
        <v>1.1449600056679548E-3</v>
      </c>
      <c r="T735">
        <f t="shared" si="97"/>
        <v>3.3837257655843722E-2</v>
      </c>
    </row>
    <row r="736" spans="1:20" x14ac:dyDescent="0.3">
      <c r="A736" s="2" t="s">
        <v>1165</v>
      </c>
      <c r="B736" s="2" t="s">
        <v>1162</v>
      </c>
      <c r="C736" s="2" t="s">
        <v>51</v>
      </c>
      <c r="D736" s="2" t="s">
        <v>30</v>
      </c>
      <c r="E736">
        <v>527868.61179999996</v>
      </c>
      <c r="F736">
        <v>274958.4596</v>
      </c>
      <c r="G736">
        <v>66.614400000000003</v>
      </c>
      <c r="J736" s="5" t="s">
        <v>1177</v>
      </c>
      <c r="K736" s="5" t="s">
        <v>1178</v>
      </c>
      <c r="L736" s="5" t="s">
        <v>1163</v>
      </c>
      <c r="M736" s="3">
        <f t="shared" si="90"/>
        <v>-2.7000000001862645E-2</v>
      </c>
      <c r="N736" s="3">
        <f t="shared" si="91"/>
        <v>-7.9000000259838998E-3</v>
      </c>
      <c r="O736" s="3">
        <f t="shared" si="92"/>
        <v>6.1399999999991905E-2</v>
      </c>
      <c r="P736">
        <f t="shared" si="93"/>
        <v>7.2900000010058278E-4</v>
      </c>
      <c r="Q736">
        <f t="shared" si="94"/>
        <v>6.2410000410545615E-5</v>
      </c>
      <c r="R736">
        <f t="shared" si="95"/>
        <v>3.7699599999990062E-3</v>
      </c>
      <c r="S736">
        <f t="shared" si="96"/>
        <v>7.9141000051112845E-4</v>
      </c>
      <c r="T736">
        <f t="shared" si="97"/>
        <v>2.8132010246534615E-2</v>
      </c>
    </row>
    <row r="737" spans="1:20" x14ac:dyDescent="0.3">
      <c r="A737" s="2" t="s">
        <v>1165</v>
      </c>
      <c r="B737" s="2" t="s">
        <v>1162</v>
      </c>
      <c r="C737" s="2" t="s">
        <v>51</v>
      </c>
      <c r="D737" s="2" t="s">
        <v>1145</v>
      </c>
      <c r="E737">
        <v>527868.61399999994</v>
      </c>
      <c r="F737">
        <v>274958.46169999999</v>
      </c>
      <c r="G737">
        <v>66.610299999999995</v>
      </c>
      <c r="J737" s="5" t="s">
        <v>1177</v>
      </c>
      <c r="K737" s="5" t="s">
        <v>1178</v>
      </c>
      <c r="L737" s="5" t="s">
        <v>1163</v>
      </c>
      <c r="M737" s="3">
        <f t="shared" si="90"/>
        <v>-2.9199999989941716E-2</v>
      </c>
      <c r="N737" s="3">
        <f t="shared" si="91"/>
        <v>-1.0000000009313226E-2</v>
      </c>
      <c r="O737" s="3">
        <f t="shared" si="92"/>
        <v>6.5500000000000114E-2</v>
      </c>
      <c r="P737">
        <f t="shared" si="93"/>
        <v>8.5263999941259617E-4</v>
      </c>
      <c r="Q737">
        <f t="shared" si="94"/>
        <v>1.0000000018626452E-4</v>
      </c>
      <c r="R737">
        <f t="shared" si="95"/>
        <v>4.2902500000000145E-3</v>
      </c>
      <c r="S737">
        <f t="shared" si="96"/>
        <v>9.5263999959886063E-4</v>
      </c>
      <c r="T737">
        <f t="shared" si="97"/>
        <v>3.0864866751678367E-2</v>
      </c>
    </row>
    <row r="738" spans="1:20" x14ac:dyDescent="0.3">
      <c r="A738" s="2" t="s">
        <v>1165</v>
      </c>
      <c r="B738" s="2" t="s">
        <v>1162</v>
      </c>
      <c r="C738" s="2" t="s">
        <v>51</v>
      </c>
      <c r="D738" s="2" t="s">
        <v>1145</v>
      </c>
      <c r="E738">
        <v>527868.61340000003</v>
      </c>
      <c r="F738">
        <v>274958.4632</v>
      </c>
      <c r="G738">
        <v>66.617500000000007</v>
      </c>
      <c r="J738" s="5" t="s">
        <v>1177</v>
      </c>
      <c r="K738" s="5" t="s">
        <v>1178</v>
      </c>
      <c r="L738" s="5" t="s">
        <v>1163</v>
      </c>
      <c r="M738" s="3">
        <f t="shared" si="90"/>
        <v>-2.8600000077858567E-2</v>
      </c>
      <c r="N738" s="3">
        <f t="shared" si="91"/>
        <v>-1.1500000022351742E-2</v>
      </c>
      <c r="O738" s="3">
        <f t="shared" si="92"/>
        <v>5.8299999999988472E-2</v>
      </c>
      <c r="P738">
        <f t="shared" si="93"/>
        <v>8.1796000445351E-4</v>
      </c>
      <c r="Q738">
        <f t="shared" si="94"/>
        <v>1.3225000051409006E-4</v>
      </c>
      <c r="R738">
        <f t="shared" si="95"/>
        <v>3.3988899999986559E-3</v>
      </c>
      <c r="S738">
        <f t="shared" si="96"/>
        <v>9.5021000496760006E-4</v>
      </c>
      <c r="T738">
        <f t="shared" si="97"/>
        <v>3.0825476557023414E-2</v>
      </c>
    </row>
    <row r="739" spans="1:20" x14ac:dyDescent="0.3">
      <c r="A739" s="2" t="s">
        <v>1279</v>
      </c>
      <c r="B739" s="4" t="s">
        <v>1179</v>
      </c>
      <c r="C739" s="2" t="s">
        <v>1108</v>
      </c>
      <c r="D739" s="2" t="s">
        <v>30</v>
      </c>
      <c r="E739" s="8">
        <v>554380.74226666661</v>
      </c>
      <c r="F739" s="8">
        <v>286933.76806666667</v>
      </c>
      <c r="G739" s="3">
        <v>232.86733333333333</v>
      </c>
      <c r="J739" s="5" t="s">
        <v>1213</v>
      </c>
      <c r="K739" s="5" t="s">
        <v>1214</v>
      </c>
      <c r="L739" s="5" t="s">
        <v>1280</v>
      </c>
      <c r="M739" s="3">
        <f t="shared" ref="M739:M802" si="98">J739-E739</f>
        <v>2.8833333402872086E-2</v>
      </c>
      <c r="N739" s="3">
        <f t="shared" ref="N739:N802" si="99">K739-F739</f>
        <v>1.253333332715556E-2</v>
      </c>
      <c r="O739" s="3">
        <f t="shared" ref="O739:O802" si="100">ABS(L739-G739)</f>
        <v>1.5566666666671836E-2</v>
      </c>
      <c r="P739">
        <f t="shared" ref="P739:P802" si="101">POWER(M739,2)</f>
        <v>8.3136111512117916E-4</v>
      </c>
      <c r="Q739">
        <f t="shared" ref="Q739:Q802" si="102">POWER(N739,2)</f>
        <v>1.5708444428958826E-4</v>
      </c>
      <c r="R739">
        <f t="shared" ref="R739:R802" si="103">POWER(O739,2)</f>
        <v>2.4232111111127202E-4</v>
      </c>
      <c r="S739">
        <f t="shared" ref="S739:S802" si="104">P739+Q739</f>
        <v>9.884455594107674E-4</v>
      </c>
      <c r="T739">
        <f t="shared" si="97"/>
        <v>3.143955405871348E-2</v>
      </c>
    </row>
    <row r="740" spans="1:20" x14ac:dyDescent="0.3">
      <c r="A740" s="2" t="s">
        <v>1279</v>
      </c>
      <c r="B740" s="4" t="s">
        <v>1179</v>
      </c>
      <c r="C740" s="2" t="s">
        <v>1108</v>
      </c>
      <c r="D740" s="2" t="s">
        <v>1112</v>
      </c>
      <c r="E740" s="8">
        <v>554380.74326666666</v>
      </c>
      <c r="F740" s="8">
        <v>286933.77240000002</v>
      </c>
      <c r="G740" s="3">
        <v>232.857</v>
      </c>
      <c r="J740" s="5" t="s">
        <v>1213</v>
      </c>
      <c r="K740" s="5" t="s">
        <v>1214</v>
      </c>
      <c r="L740" s="5" t="s">
        <v>1280</v>
      </c>
      <c r="M740" s="3">
        <f t="shared" si="98"/>
        <v>2.7833333355374634E-2</v>
      </c>
      <c r="N740" s="3">
        <f t="shared" si="99"/>
        <v>8.1999999820254743E-3</v>
      </c>
      <c r="O740" s="3">
        <f t="shared" si="100"/>
        <v>2.590000000000714E-2</v>
      </c>
      <c r="P740">
        <f t="shared" si="101"/>
        <v>7.7469444567141018E-4</v>
      </c>
      <c r="Q740">
        <f t="shared" si="102"/>
        <v>6.7239999705217776E-5</v>
      </c>
      <c r="R740">
        <f t="shared" si="103"/>
        <v>6.708100000003698E-4</v>
      </c>
      <c r="S740">
        <f t="shared" si="104"/>
        <v>8.4193444537662796E-4</v>
      </c>
      <c r="T740">
        <f t="shared" si="97"/>
        <v>2.9016106654350234E-2</v>
      </c>
    </row>
    <row r="741" spans="1:20" x14ac:dyDescent="0.3">
      <c r="A741" s="2" t="s">
        <v>1279</v>
      </c>
      <c r="B741" s="4" t="s">
        <v>1180</v>
      </c>
      <c r="C741" s="2" t="s">
        <v>1108</v>
      </c>
      <c r="D741" s="2" t="s">
        <v>37</v>
      </c>
      <c r="E741" s="8">
        <v>554380.74353333341</v>
      </c>
      <c r="F741" s="8">
        <v>286933.78849999997</v>
      </c>
      <c r="G741" s="3">
        <v>232.85633333333331</v>
      </c>
      <c r="J741" s="5" t="s">
        <v>1215</v>
      </c>
      <c r="K741" s="5" t="s">
        <v>1216</v>
      </c>
      <c r="L741" s="5" t="s">
        <v>1280</v>
      </c>
      <c r="M741" s="3">
        <f t="shared" si="98"/>
        <v>2.7566666598431766E-2</v>
      </c>
      <c r="N741" s="3">
        <f t="shared" si="99"/>
        <v>-7.8999999677762389E-3</v>
      </c>
      <c r="O741" s="3">
        <f t="shared" si="100"/>
        <v>2.6566666666695937E-2</v>
      </c>
      <c r="P741">
        <f t="shared" si="101"/>
        <v>7.5992110734909358E-4</v>
      </c>
      <c r="Q741">
        <f t="shared" si="102"/>
        <v>6.2409999490864576E-5</v>
      </c>
      <c r="R741">
        <f t="shared" si="103"/>
        <v>7.0578777777933306E-4</v>
      </c>
      <c r="S741">
        <f t="shared" si="104"/>
        <v>8.2233110683995814E-4</v>
      </c>
      <c r="T741">
        <f t="shared" si="97"/>
        <v>2.8676316130911206E-2</v>
      </c>
    </row>
    <row r="742" spans="1:20" x14ac:dyDescent="0.3">
      <c r="A742" s="2" t="s">
        <v>1279</v>
      </c>
      <c r="B742" s="4" t="s">
        <v>1180</v>
      </c>
      <c r="C742" s="2" t="s">
        <v>1108</v>
      </c>
      <c r="D742" s="2" t="s">
        <v>46</v>
      </c>
      <c r="E742" s="8">
        <v>554380.74320000003</v>
      </c>
      <c r="F742" s="8">
        <v>286933.76033333334</v>
      </c>
      <c r="G742" s="3">
        <v>232.89499999999998</v>
      </c>
      <c r="J742" s="5" t="s">
        <v>1215</v>
      </c>
      <c r="K742" s="5" t="s">
        <v>1216</v>
      </c>
      <c r="L742" s="5" t="s">
        <v>1280</v>
      </c>
      <c r="M742" s="3">
        <f t="shared" si="98"/>
        <v>2.789999998640269E-2</v>
      </c>
      <c r="N742" s="3">
        <f t="shared" si="99"/>
        <v>2.0266666659153998E-2</v>
      </c>
      <c r="O742" s="3">
        <f t="shared" si="100"/>
        <v>1.2099999999975353E-2</v>
      </c>
      <c r="P742">
        <f t="shared" si="101"/>
        <v>7.7840999924127011E-4</v>
      </c>
      <c r="Q742">
        <f t="shared" si="102"/>
        <v>4.1073777747326426E-4</v>
      </c>
      <c r="R742">
        <f t="shared" si="103"/>
        <v>1.4640999999940353E-4</v>
      </c>
      <c r="S742">
        <f t="shared" si="104"/>
        <v>1.1891477767145345E-3</v>
      </c>
      <c r="T742">
        <f t="shared" si="97"/>
        <v>3.4484022049559915E-2</v>
      </c>
    </row>
    <row r="743" spans="1:20" x14ac:dyDescent="0.3">
      <c r="A743" s="2" t="s">
        <v>1279</v>
      </c>
      <c r="B743" s="4" t="s">
        <v>1180</v>
      </c>
      <c r="C743" s="2" t="s">
        <v>1114</v>
      </c>
      <c r="D743" s="2" t="s">
        <v>30</v>
      </c>
      <c r="E743" s="8">
        <v>554380.73223333328</v>
      </c>
      <c r="F743" s="8">
        <v>286933.77659999998</v>
      </c>
      <c r="G743" s="3">
        <v>232.82866666666666</v>
      </c>
      <c r="J743" s="5" t="s">
        <v>1215</v>
      </c>
      <c r="K743" s="5" t="s">
        <v>1216</v>
      </c>
      <c r="L743" s="5" t="s">
        <v>1280</v>
      </c>
      <c r="M743" s="3">
        <f t="shared" si="98"/>
        <v>3.8866666727699339E-2</v>
      </c>
      <c r="N743" s="3">
        <f t="shared" si="99"/>
        <v>4.0000000153668225E-3</v>
      </c>
      <c r="O743" s="3">
        <f t="shared" si="100"/>
        <v>5.4233333333343126E-2</v>
      </c>
      <c r="P743">
        <f t="shared" si="101"/>
        <v>1.510617782522051E-3</v>
      </c>
      <c r="Q743">
        <f t="shared" si="102"/>
        <v>1.600000012293458E-5</v>
      </c>
      <c r="R743">
        <f t="shared" si="103"/>
        <v>2.9412544444455068E-3</v>
      </c>
      <c r="S743">
        <f t="shared" si="104"/>
        <v>1.5266177826449856E-3</v>
      </c>
      <c r="T743">
        <f t="shared" si="97"/>
        <v>3.9071956473217276E-2</v>
      </c>
    </row>
    <row r="744" spans="1:20" x14ac:dyDescent="0.3">
      <c r="A744" s="2" t="s">
        <v>1279</v>
      </c>
      <c r="B744" s="4" t="s">
        <v>1180</v>
      </c>
      <c r="C744" s="2" t="s">
        <v>1114</v>
      </c>
      <c r="D744" s="2" t="s">
        <v>52</v>
      </c>
      <c r="E744" s="8">
        <v>554380.74116666662</v>
      </c>
      <c r="F744" s="8">
        <v>286933.76900000003</v>
      </c>
      <c r="G744" s="3">
        <v>232.80833333333331</v>
      </c>
      <c r="J744" s="5" t="s">
        <v>1215</v>
      </c>
      <c r="K744" s="5" t="s">
        <v>1216</v>
      </c>
      <c r="L744" s="5" t="s">
        <v>1280</v>
      </c>
      <c r="M744" s="3">
        <f t="shared" si="98"/>
        <v>2.9933333396911621E-2</v>
      </c>
      <c r="N744" s="3">
        <f t="shared" si="99"/>
        <v>1.1599999968893826E-2</v>
      </c>
      <c r="O744" s="3">
        <f t="shared" si="100"/>
        <v>7.4566666666697756E-2</v>
      </c>
      <c r="P744">
        <f t="shared" si="101"/>
        <v>8.9600444825066461E-4</v>
      </c>
      <c r="Q744">
        <f t="shared" si="102"/>
        <v>1.3455999927833675E-4</v>
      </c>
      <c r="R744">
        <f t="shared" si="103"/>
        <v>5.5601877777824143E-3</v>
      </c>
      <c r="S744">
        <f t="shared" si="104"/>
        <v>1.0305644475290014E-3</v>
      </c>
      <c r="T744">
        <f t="shared" si="97"/>
        <v>3.21024056346094E-2</v>
      </c>
    </row>
    <row r="745" spans="1:20" x14ac:dyDescent="0.3">
      <c r="A745" s="2" t="s">
        <v>1279</v>
      </c>
      <c r="B745" s="4" t="s">
        <v>1180</v>
      </c>
      <c r="C745" s="2" t="s">
        <v>1114</v>
      </c>
      <c r="D745" s="2" t="s">
        <v>63</v>
      </c>
      <c r="E745" s="8">
        <v>554382.02656666667</v>
      </c>
      <c r="F745" s="8">
        <v>286933.84213333338</v>
      </c>
      <c r="G745" s="3">
        <v>232.02666666666664</v>
      </c>
      <c r="J745" s="5" t="s">
        <v>1215</v>
      </c>
      <c r="K745" s="5" t="s">
        <v>1216</v>
      </c>
      <c r="L745" s="5" t="s">
        <v>1280</v>
      </c>
      <c r="M745" s="3">
        <f t="shared" si="98"/>
        <v>-1.2554666666546836</v>
      </c>
      <c r="N745" s="3">
        <f t="shared" si="99"/>
        <v>-6.1533333384431899E-2</v>
      </c>
      <c r="O745" s="3">
        <f t="shared" si="100"/>
        <v>0.85623333333336404</v>
      </c>
      <c r="P745">
        <f t="shared" si="101"/>
        <v>1.5761965510810225</v>
      </c>
      <c r="Q745">
        <f t="shared" si="102"/>
        <v>3.7863511173996411E-3</v>
      </c>
      <c r="R745">
        <f t="shared" si="103"/>
        <v>0.73313552111116376</v>
      </c>
      <c r="S745">
        <f t="shared" si="104"/>
        <v>1.5799829021984222</v>
      </c>
      <c r="T745">
        <f t="shared" si="97"/>
        <v>1.2569737078389596</v>
      </c>
    </row>
    <row r="746" spans="1:20" x14ac:dyDescent="0.3">
      <c r="A746" s="2" t="s">
        <v>1279</v>
      </c>
      <c r="B746" s="4" t="s">
        <v>1181</v>
      </c>
      <c r="C746" s="2" t="s">
        <v>1108</v>
      </c>
      <c r="D746" s="2" t="s">
        <v>30</v>
      </c>
      <c r="E746" s="3">
        <v>568029.38300000003</v>
      </c>
      <c r="F746" s="3">
        <v>280126.41456666664</v>
      </c>
      <c r="G746" s="3">
        <v>167.91</v>
      </c>
      <c r="J746" s="5" t="s">
        <v>1217</v>
      </c>
      <c r="K746" s="5" t="s">
        <v>1218</v>
      </c>
      <c r="L746" s="5" t="s">
        <v>1281</v>
      </c>
      <c r="M746" s="3">
        <f t="shared" si="98"/>
        <v>-1.8200000049546361E-2</v>
      </c>
      <c r="N746" s="3">
        <f t="shared" si="99"/>
        <v>2.1033333381637931E-2</v>
      </c>
      <c r="O746" s="3">
        <f t="shared" si="100"/>
        <v>2.1500000000003183E-2</v>
      </c>
      <c r="P746">
        <f t="shared" si="101"/>
        <v>3.3124000180348754E-4</v>
      </c>
      <c r="Q746">
        <f t="shared" si="102"/>
        <v>4.4240111314312452E-4</v>
      </c>
      <c r="R746">
        <f t="shared" si="103"/>
        <v>4.6225000000013687E-4</v>
      </c>
      <c r="S746">
        <f t="shared" si="104"/>
        <v>7.7364111494661206E-4</v>
      </c>
      <c r="T746">
        <f t="shared" si="97"/>
        <v>2.7814404810216811E-2</v>
      </c>
    </row>
    <row r="747" spans="1:20" x14ac:dyDescent="0.3">
      <c r="A747" s="2" t="s">
        <v>1279</v>
      </c>
      <c r="B747" s="4" t="s">
        <v>1181</v>
      </c>
      <c r="C747" s="2" t="s">
        <v>1108</v>
      </c>
      <c r="D747" s="2" t="s">
        <v>37</v>
      </c>
      <c r="E747" s="3">
        <v>568029.37156666664</v>
      </c>
      <c r="F747" s="3">
        <v>280126.41656666668</v>
      </c>
      <c r="G747" s="3">
        <v>167.89366666666666</v>
      </c>
      <c r="J747" s="5" t="s">
        <v>1217</v>
      </c>
      <c r="K747" s="5" t="s">
        <v>1218</v>
      </c>
      <c r="L747" s="5" t="s">
        <v>1281</v>
      </c>
      <c r="M747" s="3">
        <f t="shared" si="98"/>
        <v>-6.7666666582226753E-3</v>
      </c>
      <c r="N747" s="3">
        <f t="shared" si="99"/>
        <v>1.9033333344850689E-2</v>
      </c>
      <c r="O747" s="3">
        <f t="shared" si="100"/>
        <v>5.166666666667652E-3</v>
      </c>
      <c r="P747">
        <f t="shared" si="101"/>
        <v>4.5787777663502428E-5</v>
      </c>
      <c r="Q747">
        <f t="shared" si="102"/>
        <v>3.6226777821620512E-4</v>
      </c>
      <c r="R747">
        <f t="shared" si="103"/>
        <v>2.6694444444454627E-5</v>
      </c>
      <c r="S747">
        <f t="shared" si="104"/>
        <v>4.0805555587970755E-4</v>
      </c>
      <c r="T747">
        <f t="shared" si="97"/>
        <v>2.0200385042857663E-2</v>
      </c>
    </row>
    <row r="748" spans="1:20" x14ac:dyDescent="0.3">
      <c r="A748" s="2" t="s">
        <v>1279</v>
      </c>
      <c r="B748" s="4" t="s">
        <v>1182</v>
      </c>
      <c r="C748" s="2" t="s">
        <v>1108</v>
      </c>
      <c r="D748" s="2" t="s">
        <v>46</v>
      </c>
      <c r="E748" s="3">
        <v>568029.35956666665</v>
      </c>
      <c r="F748" s="3">
        <v>280126.44766666665</v>
      </c>
      <c r="G748" s="3">
        <v>167.92066666666668</v>
      </c>
      <c r="J748" s="5" t="s">
        <v>1219</v>
      </c>
      <c r="K748" s="5" t="s">
        <v>1220</v>
      </c>
      <c r="L748" s="5" t="s">
        <v>1281</v>
      </c>
      <c r="M748" s="3">
        <f t="shared" si="98"/>
        <v>5.2333333296701312E-3</v>
      </c>
      <c r="N748" s="3">
        <f t="shared" si="99"/>
        <v>-1.2066666618920863E-2</v>
      </c>
      <c r="O748" s="3">
        <f t="shared" si="100"/>
        <v>3.2166666666682886E-2</v>
      </c>
      <c r="P748">
        <f t="shared" si="101"/>
        <v>2.7387777739436262E-5</v>
      </c>
      <c r="Q748">
        <f t="shared" si="102"/>
        <v>1.4560444329217903E-4</v>
      </c>
      <c r="R748">
        <f t="shared" si="103"/>
        <v>1.0346944444454879E-3</v>
      </c>
      <c r="S748">
        <f t="shared" si="104"/>
        <v>1.7299222103161528E-4</v>
      </c>
      <c r="T748">
        <f t="shared" si="97"/>
        <v>1.3152650722634402E-2</v>
      </c>
    </row>
    <row r="749" spans="1:20" x14ac:dyDescent="0.3">
      <c r="A749" s="2" t="s">
        <v>1279</v>
      </c>
      <c r="B749" s="4" t="s">
        <v>1182</v>
      </c>
      <c r="C749" s="2" t="s">
        <v>1108</v>
      </c>
      <c r="D749" s="2" t="s">
        <v>1112</v>
      </c>
      <c r="E749" s="3">
        <v>568029.37636666663</v>
      </c>
      <c r="F749" s="3">
        <v>280126.42859999998</v>
      </c>
      <c r="G749" s="3">
        <v>167.95466666666664</v>
      </c>
      <c r="J749" s="5" t="s">
        <v>1219</v>
      </c>
      <c r="K749" s="5" t="s">
        <v>1220</v>
      </c>
      <c r="L749" s="5" t="s">
        <v>1281</v>
      </c>
      <c r="M749" s="3">
        <f t="shared" si="98"/>
        <v>-1.1566666653379798E-2</v>
      </c>
      <c r="N749" s="3">
        <f t="shared" si="99"/>
        <v>7.0000000414438546E-3</v>
      </c>
      <c r="O749" s="3">
        <f t="shared" si="100"/>
        <v>6.6166666666646279E-2</v>
      </c>
      <c r="P749">
        <f t="shared" si="101"/>
        <v>1.3378777747040821E-4</v>
      </c>
      <c r="Q749">
        <f t="shared" si="102"/>
        <v>4.9000000580213962E-5</v>
      </c>
      <c r="R749">
        <f t="shared" si="103"/>
        <v>4.3780277777750801E-3</v>
      </c>
      <c r="S749">
        <f t="shared" si="104"/>
        <v>1.8278777805062218E-4</v>
      </c>
      <c r="T749">
        <f t="shared" si="97"/>
        <v>1.3519903034068779E-2</v>
      </c>
    </row>
    <row r="750" spans="1:20" x14ac:dyDescent="0.3">
      <c r="A750" s="2" t="s">
        <v>1279</v>
      </c>
      <c r="B750" s="4" t="s">
        <v>1182</v>
      </c>
      <c r="C750" s="2" t="s">
        <v>1114</v>
      </c>
      <c r="D750" s="2" t="s">
        <v>52</v>
      </c>
      <c r="E750" s="3">
        <v>568029.35290000006</v>
      </c>
      <c r="F750" s="3">
        <v>280126.44569999998</v>
      </c>
      <c r="G750" s="3">
        <v>167.82033333333334</v>
      </c>
      <c r="J750" s="5" t="s">
        <v>1219</v>
      </c>
      <c r="K750" s="5" t="s">
        <v>1220</v>
      </c>
      <c r="L750" s="5" t="s">
        <v>1281</v>
      </c>
      <c r="M750" s="3">
        <f t="shared" si="98"/>
        <v>1.18999999249354E-2</v>
      </c>
      <c r="N750" s="3">
        <f t="shared" si="99"/>
        <v>-1.009999995585531E-2</v>
      </c>
      <c r="O750" s="3">
        <f t="shared" si="100"/>
        <v>6.8166666666655829E-2</v>
      </c>
      <c r="P750">
        <f t="shared" si="101"/>
        <v>1.4160999821346252E-4</v>
      </c>
      <c r="Q750">
        <f t="shared" si="102"/>
        <v>1.0200999910827726E-4</v>
      </c>
      <c r="R750">
        <f t="shared" si="103"/>
        <v>4.6466944444429666E-3</v>
      </c>
      <c r="S750">
        <f t="shared" si="104"/>
        <v>2.4361999732173977E-4</v>
      </c>
      <c r="T750">
        <f t="shared" si="97"/>
        <v>1.5608331022942196E-2</v>
      </c>
    </row>
    <row r="751" spans="1:20" x14ac:dyDescent="0.3">
      <c r="A751" s="2" t="s">
        <v>1279</v>
      </c>
      <c r="B751" s="4" t="s">
        <v>1182</v>
      </c>
      <c r="C751" s="2" t="s">
        <v>1114</v>
      </c>
      <c r="D751" s="2" t="s">
        <v>30</v>
      </c>
      <c r="E751" s="3">
        <v>568029.36609999998</v>
      </c>
      <c r="F751" s="3">
        <v>280126.4241</v>
      </c>
      <c r="G751" s="3">
        <v>167.88</v>
      </c>
      <c r="J751" s="5" t="s">
        <v>1219</v>
      </c>
      <c r="K751" s="5" t="s">
        <v>1220</v>
      </c>
      <c r="L751" s="5" t="s">
        <v>1281</v>
      </c>
      <c r="M751" s="3">
        <f t="shared" si="98"/>
        <v>-1.3000000035390258E-3</v>
      </c>
      <c r="N751" s="3">
        <f t="shared" si="99"/>
        <v>1.1500000022351742E-2</v>
      </c>
      <c r="O751" s="3">
        <f t="shared" si="100"/>
        <v>8.4999999999979536E-3</v>
      </c>
      <c r="P751">
        <f t="shared" si="101"/>
        <v>1.690000009201467E-6</v>
      </c>
      <c r="Q751">
        <f t="shared" si="102"/>
        <v>1.3225000051409006E-4</v>
      </c>
      <c r="R751">
        <f t="shared" si="103"/>
        <v>7.2249999999965219E-5</v>
      </c>
      <c r="S751">
        <f t="shared" si="104"/>
        <v>1.3394000052329152E-4</v>
      </c>
      <c r="T751">
        <f t="shared" si="97"/>
        <v>1.157324502995126E-2</v>
      </c>
    </row>
    <row r="752" spans="1:20" x14ac:dyDescent="0.3">
      <c r="A752" s="2" t="s">
        <v>1279</v>
      </c>
      <c r="B752" s="4" t="s">
        <v>1182</v>
      </c>
      <c r="C752" s="2" t="s">
        <v>1120</v>
      </c>
      <c r="D752" s="2" t="s">
        <v>1019</v>
      </c>
      <c r="E752" s="3">
        <v>568029.36576666671</v>
      </c>
      <c r="F752" s="3">
        <v>280126.42016666668</v>
      </c>
      <c r="G752" s="3">
        <v>167.95966666666666</v>
      </c>
      <c r="J752" s="5" t="s">
        <v>1219</v>
      </c>
      <c r="K752" s="5" t="s">
        <v>1220</v>
      </c>
      <c r="L752" s="5" t="s">
        <v>1281</v>
      </c>
      <c r="M752" s="3">
        <f t="shared" si="98"/>
        <v>-9.6666673198342323E-4</v>
      </c>
      <c r="N752" s="3">
        <f t="shared" si="99"/>
        <v>1.5433333348482847E-2</v>
      </c>
      <c r="O752" s="3">
        <f t="shared" si="100"/>
        <v>7.1166666666670153E-2</v>
      </c>
      <c r="P752">
        <f t="shared" si="101"/>
        <v>9.3444457072351141E-7</v>
      </c>
      <c r="Q752">
        <f t="shared" si="102"/>
        <v>2.3818777824539277E-4</v>
      </c>
      <c r="R752">
        <f t="shared" si="103"/>
        <v>5.0646944444449407E-3</v>
      </c>
      <c r="S752">
        <f t="shared" si="104"/>
        <v>2.3912222281611628E-4</v>
      </c>
      <c r="T752">
        <f t="shared" si="97"/>
        <v>1.5463577296864922E-2</v>
      </c>
    </row>
    <row r="753" spans="1:20" x14ac:dyDescent="0.3">
      <c r="A753" s="2" t="s">
        <v>1279</v>
      </c>
      <c r="B753" s="4" t="s">
        <v>1182</v>
      </c>
      <c r="C753" s="2" t="s">
        <v>1120</v>
      </c>
      <c r="D753" s="2" t="s">
        <v>423</v>
      </c>
      <c r="E753" s="3">
        <v>568029.36416666664</v>
      </c>
      <c r="F753" s="3">
        <v>280126.42396666668</v>
      </c>
      <c r="G753" s="3">
        <v>167.97500000000002</v>
      </c>
      <c r="J753" s="5" t="s">
        <v>1219</v>
      </c>
      <c r="K753" s="5" t="s">
        <v>1220</v>
      </c>
      <c r="L753" s="5" t="s">
        <v>1281</v>
      </c>
      <c r="M753" s="3">
        <f t="shared" si="98"/>
        <v>6.3333334401249886E-4</v>
      </c>
      <c r="N753" s="3">
        <f t="shared" si="99"/>
        <v>1.1633333342615515E-2</v>
      </c>
      <c r="O753" s="3">
        <f t="shared" si="100"/>
        <v>8.6500000000029331E-2</v>
      </c>
      <c r="P753">
        <f t="shared" si="101"/>
        <v>4.0111112463805422E-7</v>
      </c>
      <c r="Q753">
        <f t="shared" si="102"/>
        <v>1.3533444466040987E-4</v>
      </c>
      <c r="R753">
        <f t="shared" si="103"/>
        <v>7.4822500000050743E-3</v>
      </c>
      <c r="S753">
        <f t="shared" si="104"/>
        <v>1.3573555578504792E-4</v>
      </c>
      <c r="T753">
        <f t="shared" si="97"/>
        <v>1.1650560320647584E-2</v>
      </c>
    </row>
    <row r="754" spans="1:20" x14ac:dyDescent="0.3">
      <c r="A754" s="2" t="s">
        <v>1279</v>
      </c>
      <c r="B754" s="4" t="s">
        <v>1183</v>
      </c>
      <c r="C754" s="2" t="s">
        <v>1108</v>
      </c>
      <c r="D754" s="2" t="s">
        <v>30</v>
      </c>
      <c r="E754" s="3">
        <v>592908.7182</v>
      </c>
      <c r="F754" s="3">
        <v>117532.8824</v>
      </c>
      <c r="G754" s="8">
        <v>286.31333333333333</v>
      </c>
      <c r="J754" s="5" t="s">
        <v>1221</v>
      </c>
      <c r="K754" s="5" t="s">
        <v>1222</v>
      </c>
      <c r="L754" s="5" t="s">
        <v>1282</v>
      </c>
      <c r="M754" s="3">
        <f t="shared" si="98"/>
        <v>1.6100000008009374E-2</v>
      </c>
      <c r="N754" s="3">
        <f t="shared" si="99"/>
        <v>-1.3099999996484257E-2</v>
      </c>
      <c r="O754" s="3">
        <f t="shared" si="100"/>
        <v>9.4733333333351766E-2</v>
      </c>
      <c r="P754">
        <f t="shared" si="101"/>
        <v>2.5921000025790183E-4</v>
      </c>
      <c r="Q754">
        <f t="shared" si="102"/>
        <v>1.7160999990788753E-4</v>
      </c>
      <c r="R754">
        <f t="shared" si="103"/>
        <v>8.9744044444479368E-3</v>
      </c>
      <c r="S754">
        <f t="shared" si="104"/>
        <v>4.3082000016578936E-4</v>
      </c>
      <c r="T754">
        <f t="shared" si="97"/>
        <v>2.0756203895842547E-2</v>
      </c>
    </row>
    <row r="755" spans="1:20" x14ac:dyDescent="0.3">
      <c r="A755" s="2" t="s">
        <v>1279</v>
      </c>
      <c r="B755" s="4" t="s">
        <v>1183</v>
      </c>
      <c r="C755" s="2" t="s">
        <v>1108</v>
      </c>
      <c r="D755" s="2" t="s">
        <v>1112</v>
      </c>
      <c r="E755" s="3">
        <v>592908.74179999996</v>
      </c>
      <c r="F755" s="3">
        <v>117532.86350000001</v>
      </c>
      <c r="G755" s="8">
        <v>286.262</v>
      </c>
      <c r="J755" s="5" t="s">
        <v>1221</v>
      </c>
      <c r="K755" s="5" t="s">
        <v>1222</v>
      </c>
      <c r="L755" s="5" t="s">
        <v>1282</v>
      </c>
      <c r="M755" s="3">
        <f t="shared" si="98"/>
        <v>-7.4999999487772584E-3</v>
      </c>
      <c r="N755" s="3">
        <f t="shared" si="99"/>
        <v>5.7999999989988282E-3</v>
      </c>
      <c r="O755" s="3">
        <f t="shared" si="100"/>
        <v>4.3400000000019645E-2</v>
      </c>
      <c r="P755">
        <f t="shared" si="101"/>
        <v>5.6249999231658879E-5</v>
      </c>
      <c r="Q755">
        <f t="shared" si="102"/>
        <v>3.3639999988386409E-5</v>
      </c>
      <c r="R755">
        <f t="shared" si="103"/>
        <v>1.8835600000017053E-3</v>
      </c>
      <c r="S755">
        <f t="shared" si="104"/>
        <v>8.9889999220045281E-5</v>
      </c>
      <c r="T755">
        <f t="shared" si="97"/>
        <v>9.4810336577846443E-3</v>
      </c>
    </row>
    <row r="756" spans="1:20" x14ac:dyDescent="0.3">
      <c r="A756" s="2" t="s">
        <v>1279</v>
      </c>
      <c r="B756" s="4" t="s">
        <v>1184</v>
      </c>
      <c r="C756" s="2" t="s">
        <v>1108</v>
      </c>
      <c r="D756" s="2" t="s">
        <v>37</v>
      </c>
      <c r="E756" s="3">
        <v>592908.76989999996</v>
      </c>
      <c r="F756" s="3">
        <v>117532.85279999999</v>
      </c>
      <c r="G756" s="8">
        <v>286.2166666666667</v>
      </c>
      <c r="J756" s="5" t="s">
        <v>1223</v>
      </c>
      <c r="K756" s="5" t="s">
        <v>1224</v>
      </c>
      <c r="L756" s="5" t="s">
        <v>1282</v>
      </c>
      <c r="M756" s="3">
        <f t="shared" si="98"/>
        <v>-3.5599999944679439E-2</v>
      </c>
      <c r="N756" s="3">
        <f t="shared" si="99"/>
        <v>1.6500000012456439E-2</v>
      </c>
      <c r="O756" s="3">
        <f t="shared" si="100"/>
        <v>1.9333333332838265E-3</v>
      </c>
      <c r="P756">
        <f t="shared" si="101"/>
        <v>1.2673599960611761E-3</v>
      </c>
      <c r="Q756">
        <f t="shared" si="102"/>
        <v>2.7225000041106249E-4</v>
      </c>
      <c r="R756">
        <f t="shared" si="103"/>
        <v>3.7377777775863516E-6</v>
      </c>
      <c r="S756">
        <f t="shared" si="104"/>
        <v>1.5396099964722384E-3</v>
      </c>
      <c r="T756">
        <f t="shared" si="97"/>
        <v>3.9237864320987685E-2</v>
      </c>
    </row>
    <row r="757" spans="1:20" x14ac:dyDescent="0.3">
      <c r="A757" s="2" t="s">
        <v>1279</v>
      </c>
      <c r="B757" s="4" t="s">
        <v>1184</v>
      </c>
      <c r="C757" s="2" t="s">
        <v>1108</v>
      </c>
      <c r="D757" s="2" t="s">
        <v>46</v>
      </c>
      <c r="E757" s="3">
        <v>592908.76040000003</v>
      </c>
      <c r="F757" s="3">
        <v>117532.863</v>
      </c>
      <c r="G757" s="8">
        <v>286.24400000000003</v>
      </c>
      <c r="J757" s="5" t="s">
        <v>1223</v>
      </c>
      <c r="K757" s="5" t="s">
        <v>1224</v>
      </c>
      <c r="L757" s="5" t="s">
        <v>1282</v>
      </c>
      <c r="M757" s="3">
        <f t="shared" si="98"/>
        <v>-2.61000000173226E-2</v>
      </c>
      <c r="N757" s="3">
        <f t="shared" si="99"/>
        <v>6.3000000081956387E-3</v>
      </c>
      <c r="O757" s="3">
        <f t="shared" si="100"/>
        <v>2.5400000000047385E-2</v>
      </c>
      <c r="P757">
        <f t="shared" si="101"/>
        <v>6.812100009042397E-4</v>
      </c>
      <c r="Q757">
        <f t="shared" si="102"/>
        <v>3.9690000103265047E-5</v>
      </c>
      <c r="R757">
        <f t="shared" si="103"/>
        <v>6.4516000000240713E-4</v>
      </c>
      <c r="S757">
        <f t="shared" si="104"/>
        <v>7.2090000100750475E-4</v>
      </c>
      <c r="T757">
        <f t="shared" si="97"/>
        <v>2.6849581021079354E-2</v>
      </c>
    </row>
    <row r="758" spans="1:20" x14ac:dyDescent="0.3">
      <c r="A758" s="2" t="s">
        <v>1279</v>
      </c>
      <c r="B758" s="4" t="s">
        <v>1184</v>
      </c>
      <c r="C758" s="2" t="s">
        <v>1114</v>
      </c>
      <c r="D758" s="2" t="s">
        <v>52</v>
      </c>
      <c r="E758" s="3">
        <v>592908.58510000003</v>
      </c>
      <c r="F758" s="3">
        <v>117532.83289999999</v>
      </c>
      <c r="G758" s="8">
        <v>285.67466666666661</v>
      </c>
      <c r="J758" s="5" t="s">
        <v>1223</v>
      </c>
      <c r="K758" s="5" t="s">
        <v>1224</v>
      </c>
      <c r="L758" s="5" t="s">
        <v>1282</v>
      </c>
      <c r="M758" s="3">
        <f t="shared" si="98"/>
        <v>0.1491999999852851</v>
      </c>
      <c r="N758" s="3">
        <f t="shared" si="99"/>
        <v>3.6400000011781231E-2</v>
      </c>
      <c r="O758" s="3">
        <f t="shared" si="100"/>
        <v>0.54393333333337068</v>
      </c>
      <c r="P758">
        <f t="shared" si="101"/>
        <v>2.2260639995609077E-2</v>
      </c>
      <c r="Q758">
        <f t="shared" si="102"/>
        <v>1.3249600008576736E-3</v>
      </c>
      <c r="R758">
        <f t="shared" si="103"/>
        <v>0.29586347111115174</v>
      </c>
      <c r="S758">
        <f t="shared" si="104"/>
        <v>2.3585599996466752E-2</v>
      </c>
      <c r="T758">
        <f t="shared" si="97"/>
        <v>0.15357603978637668</v>
      </c>
    </row>
    <row r="759" spans="1:20" x14ac:dyDescent="0.3">
      <c r="A759" s="2" t="s">
        <v>1279</v>
      </c>
      <c r="B759" s="4" t="s">
        <v>1185</v>
      </c>
      <c r="C759" s="2" t="s">
        <v>1108</v>
      </c>
      <c r="D759" s="2" t="s">
        <v>1112</v>
      </c>
      <c r="E759" s="3">
        <v>624875.86349999998</v>
      </c>
      <c r="F759" s="3">
        <v>155946.96633333332</v>
      </c>
      <c r="G759" s="3">
        <v>204.24300000000002</v>
      </c>
      <c r="J759" s="5" t="s">
        <v>1225</v>
      </c>
      <c r="K759" s="5" t="s">
        <v>1226</v>
      </c>
      <c r="L759" s="5" t="s">
        <v>1283</v>
      </c>
      <c r="M759" s="3">
        <f t="shared" si="98"/>
        <v>3.9600000018253922E-2</v>
      </c>
      <c r="N759" s="3">
        <f t="shared" si="99"/>
        <v>-9.6333333058282733E-3</v>
      </c>
      <c r="O759" s="3">
        <f t="shared" si="100"/>
        <v>3.7900000000036016E-2</v>
      </c>
      <c r="P759">
        <f t="shared" si="101"/>
        <v>1.5681600014457106E-3</v>
      </c>
      <c r="Q759">
        <f t="shared" si="102"/>
        <v>9.2801110581180288E-5</v>
      </c>
      <c r="R759">
        <f t="shared" si="103"/>
        <v>1.43641000000273E-3</v>
      </c>
      <c r="S759">
        <f t="shared" si="104"/>
        <v>1.6609611120268909E-3</v>
      </c>
      <c r="T759">
        <f t="shared" si="97"/>
        <v>4.0754890651637024E-2</v>
      </c>
    </row>
    <row r="760" spans="1:20" x14ac:dyDescent="0.3">
      <c r="A760" s="2" t="s">
        <v>1279</v>
      </c>
      <c r="B760" s="4" t="s">
        <v>1185</v>
      </c>
      <c r="C760" s="2" t="s">
        <v>1108</v>
      </c>
      <c r="D760" s="2" t="s">
        <v>30</v>
      </c>
      <c r="E760" s="3">
        <v>624875.87939999998</v>
      </c>
      <c r="F760" s="3">
        <v>155946.98676666667</v>
      </c>
      <c r="G760" s="3">
        <v>204.26766666666666</v>
      </c>
      <c r="J760" s="5" t="s">
        <v>1225</v>
      </c>
      <c r="K760" s="5" t="s">
        <v>1226</v>
      </c>
      <c r="L760" s="5" t="s">
        <v>1283</v>
      </c>
      <c r="M760" s="3">
        <f t="shared" si="98"/>
        <v>2.3700000019744039E-2</v>
      </c>
      <c r="N760" s="3">
        <f t="shared" si="99"/>
        <v>-3.0066666658967733E-2</v>
      </c>
      <c r="O760" s="3">
        <f t="shared" si="100"/>
        <v>6.256666666666888E-2</v>
      </c>
      <c r="P760">
        <f t="shared" si="101"/>
        <v>5.6169000093586737E-4</v>
      </c>
      <c r="Q760">
        <f t="shared" si="102"/>
        <v>9.0400444398148192E-4</v>
      </c>
      <c r="R760">
        <f t="shared" si="103"/>
        <v>3.9145877777780544E-3</v>
      </c>
      <c r="S760">
        <f t="shared" si="104"/>
        <v>1.4656944449173493E-3</v>
      </c>
      <c r="T760">
        <f t="shared" si="97"/>
        <v>3.8284389049811796E-2</v>
      </c>
    </row>
    <row r="761" spans="1:20" x14ac:dyDescent="0.3">
      <c r="A761" s="2" t="s">
        <v>1279</v>
      </c>
      <c r="B761" s="4" t="s">
        <v>1186</v>
      </c>
      <c r="C761" s="2" t="s">
        <v>1108</v>
      </c>
      <c r="D761" s="2" t="s">
        <v>37</v>
      </c>
      <c r="E761" s="3">
        <v>624875.88726666674</v>
      </c>
      <c r="F761" s="3">
        <v>155946.98873333333</v>
      </c>
      <c r="G761" s="3">
        <v>204.24833333333333</v>
      </c>
      <c r="J761" s="5" t="s">
        <v>1227</v>
      </c>
      <c r="K761" s="5" t="s">
        <v>1228</v>
      </c>
      <c r="L761" s="5" t="s">
        <v>1283</v>
      </c>
      <c r="M761" s="3">
        <f t="shared" si="98"/>
        <v>1.5833333251066506E-2</v>
      </c>
      <c r="N761" s="3">
        <f t="shared" si="99"/>
        <v>-3.2033333322033286E-2</v>
      </c>
      <c r="O761" s="3">
        <f t="shared" si="100"/>
        <v>4.3233333333347446E-2</v>
      </c>
      <c r="P761">
        <f t="shared" si="101"/>
        <v>2.5069444183932824E-4</v>
      </c>
      <c r="Q761">
        <f t="shared" si="102"/>
        <v>1.026134443720488E-3</v>
      </c>
      <c r="R761">
        <f t="shared" si="103"/>
        <v>1.8691211111123314E-3</v>
      </c>
      <c r="S761">
        <f t="shared" si="104"/>
        <v>1.2768288855598163E-3</v>
      </c>
      <c r="T761">
        <f t="shared" si="97"/>
        <v>3.5732742485846451E-2</v>
      </c>
    </row>
    <row r="762" spans="1:20" x14ac:dyDescent="0.3">
      <c r="A762" s="2" t="s">
        <v>1279</v>
      </c>
      <c r="B762" s="4" t="s">
        <v>1186</v>
      </c>
      <c r="C762" s="2" t="s">
        <v>1108</v>
      </c>
      <c r="D762" s="2" t="s">
        <v>46</v>
      </c>
      <c r="E762" s="3">
        <v>624875.88730000006</v>
      </c>
      <c r="F762" s="3">
        <v>155946.98643333334</v>
      </c>
      <c r="G762" s="3">
        <v>204.25199999999998</v>
      </c>
      <c r="J762" s="5" t="s">
        <v>1227</v>
      </c>
      <c r="K762" s="5" t="s">
        <v>1228</v>
      </c>
      <c r="L762" s="5" t="s">
        <v>1283</v>
      </c>
      <c r="M762" s="3">
        <f t="shared" si="98"/>
        <v>1.5799999935552478E-2</v>
      </c>
      <c r="N762" s="3">
        <f t="shared" si="99"/>
        <v>-2.973333332920447E-2</v>
      </c>
      <c r="O762" s="3">
        <f t="shared" si="100"/>
        <v>4.6899999999993724E-2</v>
      </c>
      <c r="P762">
        <f t="shared" si="101"/>
        <v>2.496399979634583E-4</v>
      </c>
      <c r="Q762">
        <f t="shared" si="102"/>
        <v>8.8407111086558142E-4</v>
      </c>
      <c r="R762">
        <f t="shared" si="103"/>
        <v>2.1996099999994113E-3</v>
      </c>
      <c r="S762">
        <f t="shared" si="104"/>
        <v>1.1337111088290397E-3</v>
      </c>
      <c r="T762">
        <f t="shared" si="97"/>
        <v>3.3670626795903873E-2</v>
      </c>
    </row>
    <row r="763" spans="1:20" x14ac:dyDescent="0.3">
      <c r="A763" s="2" t="s">
        <v>1279</v>
      </c>
      <c r="B763" s="4" t="s">
        <v>1186</v>
      </c>
      <c r="C763" s="2" t="s">
        <v>1114</v>
      </c>
      <c r="D763" s="2" t="s">
        <v>63</v>
      </c>
      <c r="E763" s="3">
        <v>624875.85386666667</v>
      </c>
      <c r="F763" s="3">
        <v>155947.00936666667</v>
      </c>
      <c r="G763" s="8">
        <v>204.239</v>
      </c>
      <c r="J763" s="5" t="s">
        <v>1227</v>
      </c>
      <c r="K763" s="5" t="s">
        <v>1228</v>
      </c>
      <c r="L763" s="5" t="s">
        <v>1283</v>
      </c>
      <c r="M763" s="3">
        <f t="shared" si="98"/>
        <v>4.9233333324082196E-2</v>
      </c>
      <c r="N763" s="3">
        <f t="shared" si="99"/>
        <v>-5.2666666655568406E-2</v>
      </c>
      <c r="O763" s="3">
        <f t="shared" si="100"/>
        <v>3.3900000000016917E-2</v>
      </c>
      <c r="P763">
        <f t="shared" si="101"/>
        <v>2.4239211102001826E-3</v>
      </c>
      <c r="Q763">
        <f t="shared" si="102"/>
        <v>2.7737777766087611E-3</v>
      </c>
      <c r="R763">
        <f t="shared" si="103"/>
        <v>1.149210000001147E-3</v>
      </c>
      <c r="S763">
        <f t="shared" si="104"/>
        <v>5.1976988868089437E-3</v>
      </c>
      <c r="T763">
        <f t="shared" si="97"/>
        <v>7.209506839450909E-2</v>
      </c>
    </row>
    <row r="764" spans="1:20" x14ac:dyDescent="0.3">
      <c r="A764" s="2" t="s">
        <v>1279</v>
      </c>
      <c r="B764" s="4" t="s">
        <v>1186</v>
      </c>
      <c r="C764" s="2" t="s">
        <v>1114</v>
      </c>
      <c r="D764" s="2" t="s">
        <v>30</v>
      </c>
      <c r="E764" s="3">
        <v>624875.8838666667</v>
      </c>
      <c r="F764" s="3">
        <v>155946.98466666669</v>
      </c>
      <c r="G764" s="3">
        <v>204.26999999999998</v>
      </c>
      <c r="J764" s="5" t="s">
        <v>1227</v>
      </c>
      <c r="K764" s="5" t="s">
        <v>1228</v>
      </c>
      <c r="L764" s="5" t="s">
        <v>1283</v>
      </c>
      <c r="M764" s="3">
        <f t="shared" si="98"/>
        <v>1.9233333296142519E-2</v>
      </c>
      <c r="N764" s="3">
        <f t="shared" si="99"/>
        <v>-2.7966666675638407E-2</v>
      </c>
      <c r="O764" s="3">
        <f t="shared" si="100"/>
        <v>6.4899999999994407E-2</v>
      </c>
      <c r="P764">
        <f t="shared" si="101"/>
        <v>3.6992110968050442E-4</v>
      </c>
      <c r="Q764">
        <f t="shared" si="102"/>
        <v>7.8213444494626384E-4</v>
      </c>
      <c r="R764">
        <f t="shared" si="103"/>
        <v>4.2120099999992736E-3</v>
      </c>
      <c r="S764">
        <f t="shared" si="104"/>
        <v>1.1520555546267683E-3</v>
      </c>
      <c r="T764">
        <f t="shared" si="97"/>
        <v>3.3941943884031864E-2</v>
      </c>
    </row>
    <row r="765" spans="1:20" x14ac:dyDescent="0.3">
      <c r="A765" s="2" t="s">
        <v>1279</v>
      </c>
      <c r="B765" s="4" t="s">
        <v>1186</v>
      </c>
      <c r="C765" s="2" t="s">
        <v>1114</v>
      </c>
      <c r="D765" s="2" t="s">
        <v>52</v>
      </c>
      <c r="E765" s="3">
        <v>624875.8857333333</v>
      </c>
      <c r="F765" s="3">
        <v>155946.98853333332</v>
      </c>
      <c r="G765" s="3">
        <v>204.25699999999998</v>
      </c>
      <c r="J765" s="5" t="s">
        <v>1227</v>
      </c>
      <c r="K765" s="5" t="s">
        <v>1228</v>
      </c>
      <c r="L765" s="5" t="s">
        <v>1283</v>
      </c>
      <c r="M765" s="3">
        <f t="shared" si="98"/>
        <v>1.7366666696034372E-2</v>
      </c>
      <c r="N765" s="3">
        <f t="shared" si="99"/>
        <v>-3.1833333312533796E-2</v>
      </c>
      <c r="O765" s="3">
        <f t="shared" si="100"/>
        <v>5.1899999999989177E-2</v>
      </c>
      <c r="P765">
        <f t="shared" si="101"/>
        <v>3.0160111213114939E-4</v>
      </c>
      <c r="Q765">
        <f t="shared" si="102"/>
        <v>1.013361109786874E-3</v>
      </c>
      <c r="R765">
        <f t="shared" si="103"/>
        <v>2.6936099999988767E-3</v>
      </c>
      <c r="S765">
        <f t="shared" si="104"/>
        <v>1.3149622219180233E-3</v>
      </c>
      <c r="T765">
        <f t="shared" si="97"/>
        <v>3.6262407833981783E-2</v>
      </c>
    </row>
    <row r="766" spans="1:20" x14ac:dyDescent="0.3">
      <c r="A766" s="2" t="s">
        <v>1279</v>
      </c>
      <c r="B766" s="4" t="s">
        <v>1187</v>
      </c>
      <c r="C766" s="2" t="s">
        <v>1108</v>
      </c>
      <c r="D766" s="2" t="s">
        <v>30</v>
      </c>
      <c r="E766" s="3">
        <v>615786.8073333333</v>
      </c>
      <c r="F766" s="3">
        <v>134911.61776666666</v>
      </c>
      <c r="G766" s="3">
        <v>297.97700000000003</v>
      </c>
      <c r="J766" s="5" t="s">
        <v>1229</v>
      </c>
      <c r="K766" s="5" t="s">
        <v>1230</v>
      </c>
      <c r="L766" s="5" t="s">
        <v>1284</v>
      </c>
      <c r="M766" s="3">
        <f t="shared" si="98"/>
        <v>-2.1133333328180015E-2</v>
      </c>
      <c r="N766" s="3">
        <f t="shared" si="99"/>
        <v>-2.9666666669072583E-2</v>
      </c>
      <c r="O766" s="3">
        <f t="shared" si="100"/>
        <v>2.0400000000051932E-2</v>
      </c>
      <c r="P766">
        <f t="shared" si="101"/>
        <v>4.4661777755996418E-4</v>
      </c>
      <c r="Q766">
        <f t="shared" si="102"/>
        <v>8.8011111125386218E-4</v>
      </c>
      <c r="R766">
        <f t="shared" si="103"/>
        <v>4.1616000000211886E-4</v>
      </c>
      <c r="S766">
        <f t="shared" si="104"/>
        <v>1.3267288888138265E-3</v>
      </c>
      <c r="T766">
        <f t="shared" si="97"/>
        <v>3.6424289818935751E-2</v>
      </c>
    </row>
    <row r="767" spans="1:20" x14ac:dyDescent="0.3">
      <c r="A767" s="2" t="s">
        <v>1279</v>
      </c>
      <c r="B767" s="4" t="s">
        <v>1187</v>
      </c>
      <c r="C767" s="2" t="s">
        <v>1108</v>
      </c>
      <c r="D767" s="2" t="s">
        <v>1112</v>
      </c>
      <c r="E767" s="3">
        <v>615786.80993333331</v>
      </c>
      <c r="F767" s="3">
        <v>134911.62043333333</v>
      </c>
      <c r="G767" s="3">
        <v>297.94600000000003</v>
      </c>
      <c r="J767" s="5" t="s">
        <v>1229</v>
      </c>
      <c r="K767" s="5" t="s">
        <v>1230</v>
      </c>
      <c r="L767" s="5" t="s">
        <v>1284</v>
      </c>
      <c r="M767" s="3">
        <f t="shared" si="98"/>
        <v>-2.3733333335258067E-2</v>
      </c>
      <c r="N767" s="3">
        <f t="shared" si="99"/>
        <v>-3.2333333336282521E-2</v>
      </c>
      <c r="O767" s="3">
        <f t="shared" si="100"/>
        <v>1.059999999995398E-2</v>
      </c>
      <c r="P767">
        <f t="shared" si="101"/>
        <v>5.6327111120247177E-4</v>
      </c>
      <c r="Q767">
        <f t="shared" si="102"/>
        <v>1.0454444446351585E-3</v>
      </c>
      <c r="R767">
        <f t="shared" si="103"/>
        <v>1.1235999999902437E-4</v>
      </c>
      <c r="S767">
        <f t="shared" si="104"/>
        <v>1.6087155558376304E-3</v>
      </c>
      <c r="T767">
        <f t="shared" si="97"/>
        <v>4.0108796489518733E-2</v>
      </c>
    </row>
    <row r="768" spans="1:20" x14ac:dyDescent="0.3">
      <c r="A768" s="2" t="s">
        <v>1279</v>
      </c>
      <c r="B768" s="4" t="s">
        <v>1187</v>
      </c>
      <c r="C768" s="2" t="s">
        <v>1108</v>
      </c>
      <c r="D768" s="2" t="s">
        <v>37</v>
      </c>
      <c r="E768" s="3">
        <v>615786.80326666671</v>
      </c>
      <c r="F768" s="3">
        <v>134911.62306666668</v>
      </c>
      <c r="G768" s="3">
        <v>297.97899999999998</v>
      </c>
      <c r="J768" s="5" t="s">
        <v>1231</v>
      </c>
      <c r="K768" s="5" t="s">
        <v>1232</v>
      </c>
      <c r="L768" s="5" t="s">
        <v>1284</v>
      </c>
      <c r="M768" s="3">
        <f t="shared" si="98"/>
        <v>-1.7066666739992797E-2</v>
      </c>
      <c r="N768" s="3">
        <f t="shared" si="99"/>
        <v>-3.4966666687978432E-2</v>
      </c>
      <c r="O768" s="3">
        <f t="shared" si="100"/>
        <v>2.2400000000004638E-2</v>
      </c>
      <c r="P768">
        <f t="shared" si="101"/>
        <v>2.9127111361397636E-4</v>
      </c>
      <c r="Q768">
        <f t="shared" si="102"/>
        <v>1.2226677792681806E-3</v>
      </c>
      <c r="R768">
        <f t="shared" si="103"/>
        <v>5.0176000000020781E-4</v>
      </c>
      <c r="S768">
        <f t="shared" si="104"/>
        <v>1.5139388928821569E-3</v>
      </c>
      <c r="T768">
        <f t="shared" si="97"/>
        <v>3.8909367675177615E-2</v>
      </c>
    </row>
    <row r="769" spans="1:20" x14ac:dyDescent="0.3">
      <c r="A769" s="2" t="s">
        <v>1279</v>
      </c>
      <c r="B769" s="4" t="s">
        <v>1187</v>
      </c>
      <c r="C769" s="2" t="s">
        <v>1108</v>
      </c>
      <c r="D769" s="2" t="s">
        <v>46</v>
      </c>
      <c r="E769" s="3">
        <v>615786.81246666668</v>
      </c>
      <c r="F769" s="3">
        <v>134911.6096</v>
      </c>
      <c r="G769" s="3">
        <v>297.9733333333333</v>
      </c>
      <c r="J769" s="5" t="s">
        <v>1231</v>
      </c>
      <c r="K769" s="5" t="s">
        <v>1232</v>
      </c>
      <c r="L769" s="5" t="s">
        <v>1284</v>
      </c>
      <c r="M769" s="3">
        <f t="shared" si="98"/>
        <v>-2.6266666711308062E-2</v>
      </c>
      <c r="N769" s="3">
        <f t="shared" si="99"/>
        <v>-2.1500000002561137E-2</v>
      </c>
      <c r="O769" s="3">
        <f t="shared" si="100"/>
        <v>1.6733333333320388E-2</v>
      </c>
      <c r="P769">
        <f t="shared" si="101"/>
        <v>6.8993778012293907E-4</v>
      </c>
      <c r="Q769">
        <f t="shared" si="102"/>
        <v>4.6225000011012891E-4</v>
      </c>
      <c r="R769">
        <f t="shared" si="103"/>
        <v>2.800044444440112E-4</v>
      </c>
      <c r="S769">
        <f t="shared" si="104"/>
        <v>1.1521877802330681E-3</v>
      </c>
      <c r="T769">
        <f t="shared" si="97"/>
        <v>3.3943891648322649E-2</v>
      </c>
    </row>
    <row r="770" spans="1:20" x14ac:dyDescent="0.3">
      <c r="A770" s="2" t="s">
        <v>1279</v>
      </c>
      <c r="B770" s="4" t="s">
        <v>1187</v>
      </c>
      <c r="C770" s="2" t="s">
        <v>1114</v>
      </c>
      <c r="D770" s="2" t="s">
        <v>63</v>
      </c>
      <c r="E770" s="8">
        <v>615786.7888333333</v>
      </c>
      <c r="F770" s="8">
        <v>134911.59246666668</v>
      </c>
      <c r="G770" s="3">
        <v>297.82633333333337</v>
      </c>
      <c r="J770" s="5" t="s">
        <v>1231</v>
      </c>
      <c r="K770" s="5" t="s">
        <v>1232</v>
      </c>
      <c r="L770" s="5" t="s">
        <v>1284</v>
      </c>
      <c r="M770" s="3">
        <f t="shared" si="98"/>
        <v>-2.6333333225920796E-3</v>
      </c>
      <c r="N770" s="3">
        <f t="shared" si="99"/>
        <v>-4.3666666897479445E-3</v>
      </c>
      <c r="O770" s="3">
        <f t="shared" si="100"/>
        <v>0.13026666666661413</v>
      </c>
      <c r="P770">
        <f t="shared" si="101"/>
        <v>6.9344443878738418E-6</v>
      </c>
      <c r="Q770">
        <f t="shared" si="102"/>
        <v>1.906777797935427E-5</v>
      </c>
      <c r="R770">
        <f t="shared" si="103"/>
        <v>1.6969404444430757E-2</v>
      </c>
      <c r="S770">
        <f t="shared" si="104"/>
        <v>2.6002222367228112E-5</v>
      </c>
      <c r="T770">
        <f t="shared" si="97"/>
        <v>5.0992374299720653E-3</v>
      </c>
    </row>
    <row r="771" spans="1:20" x14ac:dyDescent="0.3">
      <c r="A771" s="2" t="s">
        <v>1279</v>
      </c>
      <c r="B771" s="4" t="s">
        <v>1187</v>
      </c>
      <c r="C771" s="2" t="s">
        <v>1114</v>
      </c>
      <c r="D771" s="2" t="s">
        <v>30</v>
      </c>
      <c r="E771" s="8">
        <v>615786.81149999995</v>
      </c>
      <c r="F771" s="8">
        <v>134911.60903333334</v>
      </c>
      <c r="G771" s="3">
        <v>297.82933333333335</v>
      </c>
      <c r="J771" s="5" t="s">
        <v>1231</v>
      </c>
      <c r="K771" s="5" t="s">
        <v>1232</v>
      </c>
      <c r="L771" s="5" t="s">
        <v>1284</v>
      </c>
      <c r="M771" s="3">
        <f t="shared" si="98"/>
        <v>-2.5299999979324639E-2</v>
      </c>
      <c r="N771" s="3">
        <f t="shared" si="99"/>
        <v>-2.0933333347784355E-2</v>
      </c>
      <c r="O771" s="3">
        <f t="shared" si="100"/>
        <v>0.12726666666662823</v>
      </c>
      <c r="P771">
        <f t="shared" si="101"/>
        <v>6.4008999895382671E-4</v>
      </c>
      <c r="Q771">
        <f t="shared" si="102"/>
        <v>4.3820444504946059E-4</v>
      </c>
      <c r="R771">
        <f t="shared" si="103"/>
        <v>1.6196804444434661E-2</v>
      </c>
      <c r="S771">
        <f t="shared" si="104"/>
        <v>1.0782944440032873E-3</v>
      </c>
      <c r="T771">
        <f t="shared" ref="T771:T834" si="105">SQRT(S771)</f>
        <v>3.2837393989220386E-2</v>
      </c>
    </row>
    <row r="772" spans="1:20" x14ac:dyDescent="0.3">
      <c r="A772" s="2" t="s">
        <v>1279</v>
      </c>
      <c r="B772" s="4" t="s">
        <v>1187</v>
      </c>
      <c r="C772" s="2" t="s">
        <v>1114</v>
      </c>
      <c r="D772" s="2" t="s">
        <v>52</v>
      </c>
      <c r="E772" s="8">
        <v>615786.80893333326</v>
      </c>
      <c r="F772" s="8">
        <v>134911.61306666667</v>
      </c>
      <c r="G772" s="3">
        <v>297.83833333333331</v>
      </c>
      <c r="J772" s="5" t="s">
        <v>1231</v>
      </c>
      <c r="K772" s="5" t="s">
        <v>1232</v>
      </c>
      <c r="L772" s="5" t="s">
        <v>1284</v>
      </c>
      <c r="M772" s="3">
        <f t="shared" si="98"/>
        <v>-2.2733333287760615E-2</v>
      </c>
      <c r="N772" s="3">
        <f t="shared" si="99"/>
        <v>-2.4966666678665206E-2</v>
      </c>
      <c r="O772" s="3">
        <f t="shared" si="100"/>
        <v>0.11826666666667052</v>
      </c>
      <c r="P772">
        <f t="shared" si="101"/>
        <v>5.1680444237240481E-4</v>
      </c>
      <c r="Q772">
        <f t="shared" si="102"/>
        <v>6.2333444504357146E-4</v>
      </c>
      <c r="R772">
        <f t="shared" si="103"/>
        <v>1.3987004444445355E-2</v>
      </c>
      <c r="S772">
        <f t="shared" si="104"/>
        <v>1.1401388874159764E-3</v>
      </c>
      <c r="T772">
        <f t="shared" si="105"/>
        <v>3.3765942714752931E-2</v>
      </c>
    </row>
    <row r="773" spans="1:20" x14ac:dyDescent="0.3">
      <c r="A773" s="2" t="s">
        <v>1279</v>
      </c>
      <c r="B773" s="4" t="s">
        <v>1188</v>
      </c>
      <c r="C773" s="2" t="s">
        <v>1108</v>
      </c>
      <c r="D773" s="2" t="s">
        <v>30</v>
      </c>
      <c r="E773" s="8">
        <v>595224.65253333328</v>
      </c>
      <c r="F773" s="8">
        <v>144997.83259999999</v>
      </c>
      <c r="G773" s="3">
        <v>385.28233333333333</v>
      </c>
      <c r="J773" s="9">
        <v>595224.64820000005</v>
      </c>
      <c r="K773" s="9">
        <v>144997.83470000001</v>
      </c>
      <c r="L773" s="5" t="s">
        <v>1285</v>
      </c>
      <c r="M773" s="3">
        <f t="shared" si="98"/>
        <v>-4.3333332287147641E-3</v>
      </c>
      <c r="N773" s="3">
        <f t="shared" si="99"/>
        <v>2.1000000124331564E-3</v>
      </c>
      <c r="O773" s="3">
        <f t="shared" si="100"/>
        <v>5.7566666666673427E-2</v>
      </c>
      <c r="P773">
        <f t="shared" si="101"/>
        <v>1.8777776871083522E-5</v>
      </c>
      <c r="Q773">
        <f t="shared" si="102"/>
        <v>4.4100000522192569E-6</v>
      </c>
      <c r="R773">
        <f t="shared" si="103"/>
        <v>3.3139211111118893E-3</v>
      </c>
      <c r="S773">
        <f t="shared" si="104"/>
        <v>2.3187776923302778E-5</v>
      </c>
      <c r="T773">
        <f t="shared" si="105"/>
        <v>4.8153688252617552E-3</v>
      </c>
    </row>
    <row r="774" spans="1:20" x14ac:dyDescent="0.3">
      <c r="A774" s="2" t="s">
        <v>1279</v>
      </c>
      <c r="B774" s="4" t="s">
        <v>1188</v>
      </c>
      <c r="C774" s="2" t="s">
        <v>1108</v>
      </c>
      <c r="D774" s="2" t="s">
        <v>1112</v>
      </c>
      <c r="E774" s="8">
        <v>595224.6691666668</v>
      </c>
      <c r="F774" s="8">
        <v>144997.83596666667</v>
      </c>
      <c r="G774" s="3">
        <v>385.27500000000003</v>
      </c>
      <c r="J774" s="9">
        <v>595224.64820000005</v>
      </c>
      <c r="K774" s="9">
        <v>144997.83470000001</v>
      </c>
      <c r="L774" s="5" t="s">
        <v>1285</v>
      </c>
      <c r="M774" s="3">
        <f t="shared" si="98"/>
        <v>-2.0966666750609875E-2</v>
      </c>
      <c r="N774" s="3">
        <f t="shared" si="99"/>
        <v>-1.2666666589211673E-3</v>
      </c>
      <c r="O774" s="3">
        <f t="shared" si="100"/>
        <v>6.4899999999965985E-2</v>
      </c>
      <c r="P774">
        <f t="shared" si="101"/>
        <v>4.3960111463112964E-4</v>
      </c>
      <c r="Q774">
        <f t="shared" si="102"/>
        <v>1.6044444248225127E-6</v>
      </c>
      <c r="R774">
        <f t="shared" si="103"/>
        <v>4.2120099999955847E-3</v>
      </c>
      <c r="S774">
        <f t="shared" si="104"/>
        <v>4.4120555905595215E-4</v>
      </c>
      <c r="T774">
        <f t="shared" si="105"/>
        <v>2.1004893693040965E-2</v>
      </c>
    </row>
    <row r="775" spans="1:20" x14ac:dyDescent="0.3">
      <c r="A775" s="2" t="s">
        <v>1279</v>
      </c>
      <c r="B775" s="4" t="s">
        <v>1189</v>
      </c>
      <c r="C775" s="2" t="s">
        <v>1108</v>
      </c>
      <c r="D775" s="2" t="s">
        <v>37</v>
      </c>
      <c r="E775" s="8">
        <v>595224.65943333332</v>
      </c>
      <c r="F775" s="8">
        <v>144997.82676666669</v>
      </c>
      <c r="G775" s="3">
        <v>385.22166666666664</v>
      </c>
      <c r="J775" s="9">
        <v>595224.64820000005</v>
      </c>
      <c r="K775" s="9">
        <v>144997.83470000001</v>
      </c>
      <c r="L775" s="5" t="s">
        <v>1285</v>
      </c>
      <c r="M775" s="3">
        <f t="shared" si="98"/>
        <v>-1.1233333265408874E-2</v>
      </c>
      <c r="N775" s="3">
        <f t="shared" si="99"/>
        <v>7.9333333123940974E-3</v>
      </c>
      <c r="O775" s="3">
        <f t="shared" si="100"/>
        <v>0.1182333333333645</v>
      </c>
      <c r="P775">
        <f t="shared" si="101"/>
        <v>1.2618777625174159E-4</v>
      </c>
      <c r="Q775">
        <f t="shared" si="102"/>
        <v>6.2937777445541901E-5</v>
      </c>
      <c r="R775">
        <f t="shared" si="103"/>
        <v>1.3979121111118481E-2</v>
      </c>
      <c r="S775">
        <f t="shared" si="104"/>
        <v>1.891255536972835E-4</v>
      </c>
      <c r="T775">
        <f t="shared" si="105"/>
        <v>1.3752292670579822E-2</v>
      </c>
    </row>
    <row r="776" spans="1:20" x14ac:dyDescent="0.3">
      <c r="A776" s="2" t="s">
        <v>1279</v>
      </c>
      <c r="B776" s="4" t="s">
        <v>1189</v>
      </c>
      <c r="C776" s="2" t="s">
        <v>1108</v>
      </c>
      <c r="D776" s="2" t="s">
        <v>46</v>
      </c>
      <c r="E776" s="8">
        <v>595224.66403333342</v>
      </c>
      <c r="F776" s="8">
        <v>144997.81996666666</v>
      </c>
      <c r="G776" s="3">
        <v>385.25333333333333</v>
      </c>
      <c r="J776" s="9">
        <v>595224.64820000005</v>
      </c>
      <c r="K776" s="9">
        <v>144997.83470000001</v>
      </c>
      <c r="L776" s="5" t="s">
        <v>1285</v>
      </c>
      <c r="M776" s="3">
        <f t="shared" si="98"/>
        <v>-1.5833333367481828E-2</v>
      </c>
      <c r="N776" s="3">
        <f t="shared" si="99"/>
        <v>1.4733333344338462E-2</v>
      </c>
      <c r="O776" s="3">
        <f t="shared" si="100"/>
        <v>8.6566666666669789E-2</v>
      </c>
      <c r="P776">
        <f t="shared" si="101"/>
        <v>2.5069444552581344E-4</v>
      </c>
      <c r="Q776">
        <f t="shared" si="102"/>
        <v>2.1707111143539557E-4</v>
      </c>
      <c r="R776">
        <f t="shared" si="103"/>
        <v>7.4937877777783183E-3</v>
      </c>
      <c r="S776">
        <f t="shared" si="104"/>
        <v>4.6776555696120901E-4</v>
      </c>
      <c r="T776">
        <f t="shared" si="105"/>
        <v>2.1627888407359814E-2</v>
      </c>
    </row>
    <row r="777" spans="1:20" x14ac:dyDescent="0.3">
      <c r="A777" s="2" t="s">
        <v>1279</v>
      </c>
      <c r="B777" s="4" t="s">
        <v>1189</v>
      </c>
      <c r="C777" s="2" t="s">
        <v>1114</v>
      </c>
      <c r="D777" s="2" t="s">
        <v>30</v>
      </c>
      <c r="E777" s="8">
        <v>595224.6619666667</v>
      </c>
      <c r="F777" s="8">
        <v>144997.82180000001</v>
      </c>
      <c r="G777" s="3">
        <v>385.15766666666667</v>
      </c>
      <c r="J777" s="9">
        <v>595224.64820000005</v>
      </c>
      <c r="K777" s="9">
        <v>144997.83470000001</v>
      </c>
      <c r="L777" s="5" t="s">
        <v>1285</v>
      </c>
      <c r="M777" s="3">
        <f t="shared" si="98"/>
        <v>-1.3766666641458869E-2</v>
      </c>
      <c r="N777" s="3">
        <f t="shared" si="99"/>
        <v>1.2900000001536682E-2</v>
      </c>
      <c r="O777" s="3">
        <f t="shared" si="100"/>
        <v>0.18223333333332903</v>
      </c>
      <c r="P777">
        <f t="shared" si="101"/>
        <v>1.8952111041705642E-4</v>
      </c>
      <c r="Q777">
        <f t="shared" si="102"/>
        <v>1.664100000396464E-4</v>
      </c>
      <c r="R777">
        <f t="shared" si="103"/>
        <v>3.3208987777776207E-2</v>
      </c>
      <c r="S777">
        <f t="shared" si="104"/>
        <v>3.5593111045670279E-4</v>
      </c>
      <c r="T777">
        <f t="shared" si="105"/>
        <v>1.8866136606541965E-2</v>
      </c>
    </row>
    <row r="778" spans="1:20" x14ac:dyDescent="0.3">
      <c r="A778" s="2" t="s">
        <v>1279</v>
      </c>
      <c r="B778" s="4" t="s">
        <v>1189</v>
      </c>
      <c r="C778" s="2" t="s">
        <v>1114</v>
      </c>
      <c r="D778" s="2" t="s">
        <v>52</v>
      </c>
      <c r="E778" s="3">
        <v>595224.65843333339</v>
      </c>
      <c r="F778" s="3">
        <v>144997.8265</v>
      </c>
      <c r="G778" s="3">
        <v>385.13866666666667</v>
      </c>
      <c r="J778" s="9">
        <v>595224.64820000005</v>
      </c>
      <c r="K778" s="9">
        <v>144997.83470000001</v>
      </c>
      <c r="L778" s="5" t="s">
        <v>1285</v>
      </c>
      <c r="M778" s="3">
        <f t="shared" si="98"/>
        <v>-1.0233333334326744E-2</v>
      </c>
      <c r="N778" s="3">
        <f t="shared" si="99"/>
        <v>8.2000000111293048E-3</v>
      </c>
      <c r="O778" s="3">
        <f t="shared" si="100"/>
        <v>0.20123333333333449</v>
      </c>
      <c r="P778">
        <f t="shared" si="101"/>
        <v>1.0472111113144292E-4</v>
      </c>
      <c r="Q778">
        <f t="shared" si="102"/>
        <v>6.7240000182520597E-5</v>
      </c>
      <c r="R778">
        <f t="shared" si="103"/>
        <v>4.0494854444444908E-2</v>
      </c>
      <c r="S778">
        <f t="shared" si="104"/>
        <v>1.7196111131396352E-4</v>
      </c>
      <c r="T778">
        <f t="shared" si="105"/>
        <v>1.3113394347535024E-2</v>
      </c>
    </row>
    <row r="779" spans="1:20" x14ac:dyDescent="0.3">
      <c r="A779" s="2" t="s">
        <v>1279</v>
      </c>
      <c r="B779" s="4" t="s">
        <v>1189</v>
      </c>
      <c r="C779" s="2" t="s">
        <v>1120</v>
      </c>
      <c r="D779" s="2" t="s">
        <v>423</v>
      </c>
      <c r="E779" s="3">
        <v>595224.67156666669</v>
      </c>
      <c r="F779" s="3">
        <v>144997.81806666669</v>
      </c>
      <c r="G779" s="3">
        <v>385.30999999999995</v>
      </c>
      <c r="J779" s="9">
        <v>595224.64820000005</v>
      </c>
      <c r="K779" s="9">
        <v>144997.83470000001</v>
      </c>
      <c r="L779" s="5" t="s">
        <v>1285</v>
      </c>
      <c r="M779" s="3">
        <f t="shared" si="98"/>
        <v>-2.3366666631773114E-2</v>
      </c>
      <c r="N779" s="3">
        <f t="shared" si="99"/>
        <v>1.6633333318168297E-2</v>
      </c>
      <c r="O779" s="3">
        <f t="shared" si="100"/>
        <v>2.9900000000054661E-2</v>
      </c>
      <c r="P779">
        <f t="shared" si="101"/>
        <v>5.4600110948041904E-4</v>
      </c>
      <c r="Q779">
        <f t="shared" si="102"/>
        <v>2.7666777727328759E-4</v>
      </c>
      <c r="R779">
        <f t="shared" si="103"/>
        <v>8.9401000000326875E-4</v>
      </c>
      <c r="S779">
        <f t="shared" si="104"/>
        <v>8.2266888675370663E-4</v>
      </c>
      <c r="T779">
        <f t="shared" si="105"/>
        <v>2.8682205053895467E-2</v>
      </c>
    </row>
    <row r="780" spans="1:20" x14ac:dyDescent="0.3">
      <c r="A780" s="2" t="s">
        <v>1279</v>
      </c>
      <c r="B780" s="4" t="s">
        <v>1190</v>
      </c>
      <c r="C780" s="2" t="s">
        <v>1108</v>
      </c>
      <c r="D780" s="2" t="s">
        <v>30</v>
      </c>
      <c r="E780" s="3">
        <v>586109.76333333331</v>
      </c>
      <c r="F780" s="3">
        <v>134675.72779999999</v>
      </c>
      <c r="G780" s="3">
        <v>419.47800000000001</v>
      </c>
      <c r="J780" s="5" t="s">
        <v>1233</v>
      </c>
      <c r="K780" s="5" t="s">
        <v>1234</v>
      </c>
      <c r="L780" s="5" t="s">
        <v>1286</v>
      </c>
      <c r="M780" s="3">
        <f t="shared" si="98"/>
        <v>-2.2933333297260106E-2</v>
      </c>
      <c r="N780" s="3">
        <f t="shared" si="99"/>
        <v>-1.7099999997299165E-2</v>
      </c>
      <c r="O780" s="3">
        <f t="shared" si="100"/>
        <v>5.4700000000025284E-2</v>
      </c>
      <c r="P780">
        <f t="shared" si="101"/>
        <v>5.2593777612321905E-4</v>
      </c>
      <c r="Q780">
        <f t="shared" si="102"/>
        <v>2.9240999990763145E-4</v>
      </c>
      <c r="R780">
        <f t="shared" si="103"/>
        <v>2.9920900000027662E-3</v>
      </c>
      <c r="S780">
        <f t="shared" si="104"/>
        <v>8.1834777603085056E-4</v>
      </c>
      <c r="T780">
        <f t="shared" si="105"/>
        <v>2.8606778497951329E-2</v>
      </c>
    </row>
    <row r="781" spans="1:20" x14ac:dyDescent="0.3">
      <c r="A781" s="2" t="s">
        <v>1279</v>
      </c>
      <c r="B781" s="4" t="s">
        <v>1190</v>
      </c>
      <c r="C781" s="2" t="s">
        <v>1108</v>
      </c>
      <c r="D781" s="2" t="s">
        <v>1112</v>
      </c>
      <c r="E781" s="3">
        <v>586109.75936666667</v>
      </c>
      <c r="F781" s="3">
        <v>134675.73329999999</v>
      </c>
      <c r="G781" s="3">
        <v>419.47766666666666</v>
      </c>
      <c r="J781" s="5" t="s">
        <v>1233</v>
      </c>
      <c r="K781" s="5" t="s">
        <v>1234</v>
      </c>
      <c r="L781" s="5" t="s">
        <v>1286</v>
      </c>
      <c r="M781" s="3">
        <f t="shared" si="98"/>
        <v>-1.8966666655614972E-2</v>
      </c>
      <c r="N781" s="3">
        <f t="shared" si="99"/>
        <v>-2.2599999996600673E-2</v>
      </c>
      <c r="O781" s="3">
        <f t="shared" si="100"/>
        <v>5.4366666666680885E-2</v>
      </c>
      <c r="P781">
        <f t="shared" si="101"/>
        <v>3.5973444402521683E-4</v>
      </c>
      <c r="Q781">
        <f t="shared" si="102"/>
        <v>5.1075999984635041E-4</v>
      </c>
      <c r="R781">
        <f t="shared" si="103"/>
        <v>2.9557344444459907E-3</v>
      </c>
      <c r="S781">
        <f t="shared" si="104"/>
        <v>8.7049444387156719E-4</v>
      </c>
      <c r="T781">
        <f t="shared" si="105"/>
        <v>2.9504142825568874E-2</v>
      </c>
    </row>
    <row r="782" spans="1:20" x14ac:dyDescent="0.3">
      <c r="A782" s="2" t="s">
        <v>1279</v>
      </c>
      <c r="B782" s="4" t="s">
        <v>1190</v>
      </c>
      <c r="C782" s="2" t="s">
        <v>1108</v>
      </c>
      <c r="D782" s="2" t="s">
        <v>37</v>
      </c>
      <c r="E782">
        <v>586109.76519999991</v>
      </c>
      <c r="F782">
        <v>134675.7176</v>
      </c>
      <c r="G782">
        <v>419.43433333333331</v>
      </c>
      <c r="J782" s="5" t="s">
        <v>1235</v>
      </c>
      <c r="K782" s="5" t="s">
        <v>1236</v>
      </c>
      <c r="L782" s="5" t="s">
        <v>1286</v>
      </c>
      <c r="M782" s="3">
        <f t="shared" si="98"/>
        <v>-2.4799999897368252E-2</v>
      </c>
      <c r="N782" s="3">
        <f t="shared" si="99"/>
        <v>-6.900000007590279E-3</v>
      </c>
      <c r="O782" s="3">
        <f t="shared" si="100"/>
        <v>1.103333333333012E-2</v>
      </c>
      <c r="P782">
        <f t="shared" si="101"/>
        <v>6.1503999490946531E-4</v>
      </c>
      <c r="Q782">
        <f t="shared" si="102"/>
        <v>4.7610000104745849E-5</v>
      </c>
      <c r="R782">
        <f t="shared" si="103"/>
        <v>1.2173444444437353E-4</v>
      </c>
      <c r="S782">
        <f t="shared" si="104"/>
        <v>6.6264999501421118E-4</v>
      </c>
      <c r="T782">
        <f t="shared" si="105"/>
        <v>2.5741988948296345E-2</v>
      </c>
    </row>
    <row r="783" spans="1:20" x14ac:dyDescent="0.3">
      <c r="A783" s="2" t="s">
        <v>1279</v>
      </c>
      <c r="B783" s="4" t="s">
        <v>1191</v>
      </c>
      <c r="C783" s="2" t="s">
        <v>1108</v>
      </c>
      <c r="D783" s="2" t="s">
        <v>46</v>
      </c>
      <c r="E783">
        <v>586109.75823333336</v>
      </c>
      <c r="F783">
        <v>134675.71953333335</v>
      </c>
      <c r="G783">
        <v>419.45233333333334</v>
      </c>
      <c r="J783" s="5" t="s">
        <v>1235</v>
      </c>
      <c r="K783" s="5" t="s">
        <v>1236</v>
      </c>
      <c r="L783" s="5" t="s">
        <v>1286</v>
      </c>
      <c r="M783" s="3">
        <f t="shared" si="98"/>
        <v>-1.7833333346061409E-2</v>
      </c>
      <c r="N783" s="3">
        <f t="shared" si="99"/>
        <v>-8.8333333551418036E-3</v>
      </c>
      <c r="O783" s="3">
        <f t="shared" si="100"/>
        <v>2.9033333333359224E-2</v>
      </c>
      <c r="P783">
        <f t="shared" si="101"/>
        <v>3.1802777823174578E-4</v>
      </c>
      <c r="Q783">
        <f t="shared" si="102"/>
        <v>7.8027778163060753E-5</v>
      </c>
      <c r="R783">
        <f t="shared" si="103"/>
        <v>8.4293444444594775E-4</v>
      </c>
      <c r="S783">
        <f t="shared" si="104"/>
        <v>3.960555563948065E-4</v>
      </c>
      <c r="T783">
        <f t="shared" si="105"/>
        <v>1.9901144600118017E-2</v>
      </c>
    </row>
    <row r="784" spans="1:20" x14ac:dyDescent="0.3">
      <c r="A784" s="2" t="s">
        <v>1279</v>
      </c>
      <c r="B784" s="4" t="s">
        <v>1191</v>
      </c>
      <c r="C784" s="2" t="s">
        <v>1114</v>
      </c>
      <c r="D784" s="2" t="s">
        <v>63</v>
      </c>
      <c r="E784">
        <v>586109.71536666667</v>
      </c>
      <c r="F784">
        <v>134675.70423333332</v>
      </c>
      <c r="G784">
        <v>419.34233333333333</v>
      </c>
      <c r="J784" s="5" t="s">
        <v>1235</v>
      </c>
      <c r="K784" s="5" t="s">
        <v>1236</v>
      </c>
      <c r="L784" s="5" t="s">
        <v>1286</v>
      </c>
      <c r="M784" s="3">
        <f t="shared" si="98"/>
        <v>2.5033333338797092E-2</v>
      </c>
      <c r="N784" s="3">
        <f t="shared" si="99"/>
        <v>6.4666666730772704E-3</v>
      </c>
      <c r="O784" s="3">
        <f t="shared" si="100"/>
        <v>8.0966666666654419E-2</v>
      </c>
      <c r="P784">
        <f t="shared" si="101"/>
        <v>6.2666777805132998E-4</v>
      </c>
      <c r="Q784">
        <f t="shared" si="102"/>
        <v>4.1817777860688252E-5</v>
      </c>
      <c r="R784">
        <f t="shared" si="103"/>
        <v>6.5556011111091274E-3</v>
      </c>
      <c r="S784">
        <f t="shared" si="104"/>
        <v>6.6848555591201826E-4</v>
      </c>
      <c r="T784">
        <f t="shared" si="105"/>
        <v>2.5855087621433778E-2</v>
      </c>
    </row>
    <row r="785" spans="1:20" x14ac:dyDescent="0.3">
      <c r="A785" s="2" t="s">
        <v>1279</v>
      </c>
      <c r="B785" s="4" t="s">
        <v>1191</v>
      </c>
      <c r="C785" s="2" t="s">
        <v>1114</v>
      </c>
      <c r="D785" s="2" t="s">
        <v>30</v>
      </c>
      <c r="E785">
        <v>586109.75650000002</v>
      </c>
      <c r="F785">
        <v>134675.72296666668</v>
      </c>
      <c r="G785">
        <v>419.31866666666673</v>
      </c>
      <c r="J785" s="5" t="s">
        <v>1235</v>
      </c>
      <c r="K785" s="5" t="s">
        <v>1236</v>
      </c>
      <c r="L785" s="5" t="s">
        <v>1286</v>
      </c>
      <c r="M785" s="3">
        <f t="shared" si="98"/>
        <v>-1.6100000008009374E-2</v>
      </c>
      <c r="N785" s="3">
        <f t="shared" si="99"/>
        <v>-1.2266666686628014E-2</v>
      </c>
      <c r="O785" s="3">
        <f t="shared" si="100"/>
        <v>0.10463333333325409</v>
      </c>
      <c r="P785">
        <f t="shared" si="101"/>
        <v>2.5921000025790183E-4</v>
      </c>
      <c r="Q785">
        <f t="shared" si="102"/>
        <v>1.5047111160082949E-4</v>
      </c>
      <c r="R785">
        <f t="shared" si="103"/>
        <v>1.0948134444427861E-2</v>
      </c>
      <c r="S785">
        <f t="shared" si="104"/>
        <v>4.0968111185873133E-4</v>
      </c>
      <c r="T785">
        <f t="shared" si="105"/>
        <v>2.0240580818215947E-2</v>
      </c>
    </row>
    <row r="786" spans="1:20" x14ac:dyDescent="0.3">
      <c r="A786" s="2" t="s">
        <v>1279</v>
      </c>
      <c r="B786" s="4" t="s">
        <v>1191</v>
      </c>
      <c r="C786" s="2" t="s">
        <v>1114</v>
      </c>
      <c r="D786" s="2" t="s">
        <v>52</v>
      </c>
      <c r="E786">
        <v>586109.75800000003</v>
      </c>
      <c r="F786">
        <v>134675.72626666666</v>
      </c>
      <c r="G786">
        <v>419.33033333333333</v>
      </c>
      <c r="J786" s="5" t="s">
        <v>1235</v>
      </c>
      <c r="K786" s="5" t="s">
        <v>1236</v>
      </c>
      <c r="L786" s="5" t="s">
        <v>1286</v>
      </c>
      <c r="M786" s="3">
        <f t="shared" si="98"/>
        <v>-1.760000002104789E-2</v>
      </c>
      <c r="N786" s="3">
        <f t="shared" si="99"/>
        <v>-1.556666666874662E-2</v>
      </c>
      <c r="O786" s="3">
        <f t="shared" si="100"/>
        <v>9.2966666666654874E-2</v>
      </c>
      <c r="P786">
        <f t="shared" si="101"/>
        <v>3.0976000074088572E-4</v>
      </c>
      <c r="Q786">
        <f t="shared" si="102"/>
        <v>2.42321111175867E-4</v>
      </c>
      <c r="R786">
        <f t="shared" si="103"/>
        <v>8.6428011111089192E-3</v>
      </c>
      <c r="S786">
        <f t="shared" si="104"/>
        <v>5.5208111191675272E-4</v>
      </c>
      <c r="T786">
        <f t="shared" si="105"/>
        <v>2.3496406361755678E-2</v>
      </c>
    </row>
    <row r="787" spans="1:20" x14ac:dyDescent="0.3">
      <c r="A787" s="2" t="s">
        <v>1279</v>
      </c>
      <c r="B787" s="4" t="s">
        <v>1192</v>
      </c>
      <c r="C787" s="2" t="s">
        <v>1120</v>
      </c>
      <c r="D787" s="2" t="s">
        <v>1019</v>
      </c>
      <c r="E787">
        <v>571161.48736666667</v>
      </c>
      <c r="F787">
        <v>147440.3707</v>
      </c>
      <c r="G787">
        <v>674.51200000000006</v>
      </c>
      <c r="J787" s="5" t="s">
        <v>1237</v>
      </c>
      <c r="K787" s="5" t="s">
        <v>1238</v>
      </c>
      <c r="L787" s="5" t="s">
        <v>1287</v>
      </c>
      <c r="M787" s="3">
        <f t="shared" si="98"/>
        <v>-1.3666666345670819E-3</v>
      </c>
      <c r="N787" s="3">
        <f t="shared" si="99"/>
        <v>3.4999999916180968E-3</v>
      </c>
      <c r="O787" s="3">
        <f t="shared" si="100"/>
        <v>0.11440000000004602</v>
      </c>
      <c r="P787">
        <f t="shared" si="101"/>
        <v>1.8677776900389139E-6</v>
      </c>
      <c r="Q787">
        <f t="shared" si="102"/>
        <v>1.2249999941326678E-5</v>
      </c>
      <c r="R787">
        <f t="shared" si="103"/>
        <v>1.3087360000010529E-2</v>
      </c>
      <c r="S787">
        <f t="shared" si="104"/>
        <v>1.4117777631365592E-5</v>
      </c>
      <c r="T787">
        <f t="shared" si="105"/>
        <v>3.7573631221064583E-3</v>
      </c>
    </row>
    <row r="788" spans="1:20" x14ac:dyDescent="0.3">
      <c r="A788" s="2" t="s">
        <v>1279</v>
      </c>
      <c r="B788" s="4" t="s">
        <v>1192</v>
      </c>
      <c r="C788" s="2" t="s">
        <v>1120</v>
      </c>
      <c r="D788" s="2" t="s">
        <v>423</v>
      </c>
      <c r="E788">
        <v>571161.48456666665</v>
      </c>
      <c r="F788">
        <v>147440.3732</v>
      </c>
      <c r="G788">
        <v>674.49866666666674</v>
      </c>
      <c r="J788" s="5" t="s">
        <v>1237</v>
      </c>
      <c r="K788" s="5" t="s">
        <v>1238</v>
      </c>
      <c r="L788" s="5" t="s">
        <v>1287</v>
      </c>
      <c r="M788" s="3">
        <f t="shared" si="98"/>
        <v>1.4333333820104599E-3</v>
      </c>
      <c r="N788" s="3">
        <f t="shared" si="99"/>
        <v>9.9999998928979039E-4</v>
      </c>
      <c r="O788" s="3">
        <f t="shared" si="100"/>
        <v>0.10106666666672481</v>
      </c>
      <c r="P788">
        <f t="shared" si="101"/>
        <v>2.054444583985543E-6</v>
      </c>
      <c r="Q788">
        <f t="shared" si="102"/>
        <v>9.999999785795809E-7</v>
      </c>
      <c r="R788">
        <f t="shared" si="103"/>
        <v>1.0214471111122865E-2</v>
      </c>
      <c r="S788">
        <f t="shared" si="104"/>
        <v>3.0544445625651239E-6</v>
      </c>
      <c r="T788">
        <f t="shared" si="105"/>
        <v>1.7476969309823496E-3</v>
      </c>
    </row>
    <row r="789" spans="1:20" x14ac:dyDescent="0.3">
      <c r="A789" s="2" t="s">
        <v>1279</v>
      </c>
      <c r="B789" s="4" t="s">
        <v>1193</v>
      </c>
      <c r="C789" s="2" t="s">
        <v>1114</v>
      </c>
      <c r="D789" s="2" t="s">
        <v>30</v>
      </c>
      <c r="E789">
        <v>571161.49083333334</v>
      </c>
      <c r="F789">
        <v>147440.36919999999</v>
      </c>
      <c r="G789">
        <v>674.37966666666659</v>
      </c>
      <c r="J789" s="5" t="s">
        <v>1239</v>
      </c>
      <c r="K789" s="5" t="s">
        <v>1240</v>
      </c>
      <c r="L789" s="5" t="s">
        <v>1287</v>
      </c>
      <c r="M789" s="3">
        <f t="shared" si="98"/>
        <v>-4.8333333106711507E-3</v>
      </c>
      <c r="N789" s="3">
        <f t="shared" si="99"/>
        <v>5.0000000046566129E-3</v>
      </c>
      <c r="O789" s="3">
        <f t="shared" si="100"/>
        <v>1.7933333333417067E-2</v>
      </c>
      <c r="P789">
        <f t="shared" si="101"/>
        <v>2.3361110892043346E-5</v>
      </c>
      <c r="Q789">
        <f t="shared" si="102"/>
        <v>2.5000000046566129E-5</v>
      </c>
      <c r="R789">
        <f t="shared" si="103"/>
        <v>3.2160444444744772E-4</v>
      </c>
      <c r="S789">
        <f t="shared" si="104"/>
        <v>4.8361110938609475E-5</v>
      </c>
      <c r="T789">
        <f t="shared" si="105"/>
        <v>6.9542153359390211E-3</v>
      </c>
    </row>
    <row r="790" spans="1:20" x14ac:dyDescent="0.3">
      <c r="A790" s="2" t="s">
        <v>1279</v>
      </c>
      <c r="B790" s="4" t="s">
        <v>1193</v>
      </c>
      <c r="C790" s="2" t="s">
        <v>1114</v>
      </c>
      <c r="D790" s="2" t="s">
        <v>52</v>
      </c>
      <c r="E790">
        <v>571161.4920333334</v>
      </c>
      <c r="F790">
        <v>147440.383</v>
      </c>
      <c r="G790">
        <v>674.38333333333333</v>
      </c>
      <c r="J790" s="5" t="s">
        <v>1239</v>
      </c>
      <c r="K790" s="5" t="s">
        <v>1240</v>
      </c>
      <c r="L790" s="5" t="s">
        <v>1287</v>
      </c>
      <c r="M790" s="3">
        <f t="shared" si="98"/>
        <v>-6.0333333676680923E-3</v>
      </c>
      <c r="N790" s="3">
        <f t="shared" si="99"/>
        <v>-8.8000000105239451E-3</v>
      </c>
      <c r="O790" s="3">
        <f t="shared" si="100"/>
        <v>1.4266666666685524E-2</v>
      </c>
      <c r="P790">
        <f t="shared" si="101"/>
        <v>3.6401111525417203E-5</v>
      </c>
      <c r="Q790">
        <f t="shared" si="102"/>
        <v>7.744000018522143E-5</v>
      </c>
      <c r="R790">
        <f t="shared" si="103"/>
        <v>2.0353777777831582E-4</v>
      </c>
      <c r="S790">
        <f t="shared" si="104"/>
        <v>1.1384111171063863E-4</v>
      </c>
      <c r="T790">
        <f t="shared" si="105"/>
        <v>1.066963503174493E-2</v>
      </c>
    </row>
    <row r="791" spans="1:20" x14ac:dyDescent="0.3">
      <c r="A791" s="2" t="s">
        <v>1279</v>
      </c>
      <c r="B791" s="4" t="s">
        <v>1193</v>
      </c>
      <c r="C791" s="2" t="s">
        <v>1108</v>
      </c>
      <c r="D791" s="2" t="s">
        <v>30</v>
      </c>
      <c r="E791">
        <v>571161.49046666664</v>
      </c>
      <c r="F791">
        <v>147440.38119999997</v>
      </c>
      <c r="G791">
        <v>674.45100000000002</v>
      </c>
      <c r="J791" s="5" t="s">
        <v>1239</v>
      </c>
      <c r="K791" s="5" t="s">
        <v>1240</v>
      </c>
      <c r="L791" s="5" t="s">
        <v>1287</v>
      </c>
      <c r="M791" s="3">
        <f t="shared" si="98"/>
        <v>-4.4666666071861982E-3</v>
      </c>
      <c r="N791" s="3">
        <f t="shared" si="99"/>
        <v>-6.9999999832361937E-3</v>
      </c>
      <c r="O791" s="3">
        <f t="shared" si="100"/>
        <v>5.340000000001055E-2</v>
      </c>
      <c r="P791">
        <f t="shared" si="101"/>
        <v>1.9951110579752263E-5</v>
      </c>
      <c r="Q791">
        <f t="shared" si="102"/>
        <v>4.8999999765306711E-5</v>
      </c>
      <c r="R791">
        <f t="shared" si="103"/>
        <v>2.8515600000011266E-3</v>
      </c>
      <c r="S791">
        <f t="shared" si="104"/>
        <v>6.8951110345058975E-5</v>
      </c>
      <c r="T791">
        <f t="shared" si="105"/>
        <v>8.3036805300456366E-3</v>
      </c>
    </row>
    <row r="792" spans="1:20" x14ac:dyDescent="0.3">
      <c r="A792" s="2" t="s">
        <v>1279</v>
      </c>
      <c r="B792" s="4" t="s">
        <v>1193</v>
      </c>
      <c r="C792" s="2" t="s">
        <v>1108</v>
      </c>
      <c r="D792" s="2" t="s">
        <v>1112</v>
      </c>
      <c r="E792">
        <v>571161.49540000001</v>
      </c>
      <c r="F792">
        <v>147440.38706666665</v>
      </c>
      <c r="G792">
        <v>674.44033333333334</v>
      </c>
      <c r="J792" s="5" t="s">
        <v>1239</v>
      </c>
      <c r="K792" s="5" t="s">
        <v>1240</v>
      </c>
      <c r="L792" s="5" t="s">
        <v>1287</v>
      </c>
      <c r="M792" s="3">
        <f t="shared" si="98"/>
        <v>-9.399999980814755E-3</v>
      </c>
      <c r="N792" s="3">
        <f t="shared" si="99"/>
        <v>-1.2866666656918824E-2</v>
      </c>
      <c r="O792" s="3">
        <f t="shared" si="100"/>
        <v>4.2733333333330847E-2</v>
      </c>
      <c r="P792">
        <f t="shared" si="101"/>
        <v>8.8359999639317394E-5</v>
      </c>
      <c r="Q792">
        <f t="shared" si="102"/>
        <v>1.6555111086026661E-4</v>
      </c>
      <c r="R792">
        <f t="shared" si="103"/>
        <v>1.8261377777775653E-3</v>
      </c>
      <c r="S792">
        <f t="shared" si="104"/>
        <v>2.5391111049958399E-4</v>
      </c>
      <c r="T792">
        <f t="shared" si="105"/>
        <v>1.5934588494830482E-2</v>
      </c>
    </row>
    <row r="793" spans="1:20" x14ac:dyDescent="0.3">
      <c r="A793" s="2" t="s">
        <v>1279</v>
      </c>
      <c r="B793" s="4" t="s">
        <v>1193</v>
      </c>
      <c r="C793" s="2" t="s">
        <v>1108</v>
      </c>
      <c r="D793" s="2" t="s">
        <v>37</v>
      </c>
      <c r="E793">
        <v>571161.48303333332</v>
      </c>
      <c r="F793">
        <v>147440.36803333333</v>
      </c>
      <c r="G793">
        <v>674.41966666666667</v>
      </c>
      <c r="J793" s="5" t="s">
        <v>1239</v>
      </c>
      <c r="K793" s="5" t="s">
        <v>1240</v>
      </c>
      <c r="L793" s="5" t="s">
        <v>1287</v>
      </c>
      <c r="M793" s="3">
        <f t="shared" si="98"/>
        <v>2.966666710563004E-3</v>
      </c>
      <c r="N793" s="3">
        <f t="shared" si="99"/>
        <v>6.166666658828035E-3</v>
      </c>
      <c r="O793" s="3">
        <f t="shared" si="100"/>
        <v>2.206666666666024E-2</v>
      </c>
      <c r="P793">
        <f t="shared" si="101"/>
        <v>8.8011113715627146E-6</v>
      </c>
      <c r="Q793">
        <f t="shared" si="102"/>
        <v>3.802777768110132E-5</v>
      </c>
      <c r="R793">
        <f t="shared" si="103"/>
        <v>4.8693777777749411E-4</v>
      </c>
      <c r="S793">
        <f t="shared" si="104"/>
        <v>4.6828889052664034E-5</v>
      </c>
      <c r="T793">
        <f t="shared" si="105"/>
        <v>6.8431636727952104E-3</v>
      </c>
    </row>
    <row r="794" spans="1:20" x14ac:dyDescent="0.3">
      <c r="A794" s="2" t="s">
        <v>1279</v>
      </c>
      <c r="B794" s="4" t="s">
        <v>1193</v>
      </c>
      <c r="C794" s="2" t="s">
        <v>1108</v>
      </c>
      <c r="D794" s="2" t="s">
        <v>46</v>
      </c>
      <c r="E794">
        <v>571161.49253333337</v>
      </c>
      <c r="F794">
        <v>147440.37076666666</v>
      </c>
      <c r="G794">
        <v>674.45933333333335</v>
      </c>
      <c r="J794" s="5" t="s">
        <v>1239</v>
      </c>
      <c r="K794" s="5" t="s">
        <v>1240</v>
      </c>
      <c r="L794" s="5" t="s">
        <v>1287</v>
      </c>
      <c r="M794" s="3">
        <f t="shared" si="98"/>
        <v>-6.533333333209157E-3</v>
      </c>
      <c r="N794" s="3">
        <f t="shared" si="99"/>
        <v>3.4333333314862102E-3</v>
      </c>
      <c r="O794" s="3">
        <f t="shared" si="100"/>
        <v>6.1733333333336304E-2</v>
      </c>
      <c r="P794">
        <f t="shared" si="101"/>
        <v>4.2684444442821874E-5</v>
      </c>
      <c r="Q794">
        <f t="shared" si="102"/>
        <v>1.1787777765094198E-5</v>
      </c>
      <c r="R794">
        <f t="shared" si="103"/>
        <v>3.8110044444448115E-3</v>
      </c>
      <c r="S794">
        <f t="shared" si="104"/>
        <v>5.4472222207916072E-5</v>
      </c>
      <c r="T794">
        <f t="shared" si="105"/>
        <v>7.3805299408589943E-3</v>
      </c>
    </row>
    <row r="795" spans="1:20" x14ac:dyDescent="0.3">
      <c r="A795" s="2" t="s">
        <v>1279</v>
      </c>
      <c r="B795" s="4" t="s">
        <v>1194</v>
      </c>
      <c r="C795" s="2" t="s">
        <v>1108</v>
      </c>
      <c r="D795" s="2" t="s">
        <v>30</v>
      </c>
      <c r="E795">
        <v>562216.39613333333</v>
      </c>
      <c r="F795">
        <v>157485.21303333333</v>
      </c>
      <c r="G795">
        <v>733.82833333333326</v>
      </c>
      <c r="J795" s="5" t="s">
        <v>1241</v>
      </c>
      <c r="K795" s="5" t="s">
        <v>1242</v>
      </c>
      <c r="L795" s="5" t="s">
        <v>1288</v>
      </c>
      <c r="M795" s="3">
        <f t="shared" si="98"/>
        <v>-9.8333333153277636E-3</v>
      </c>
      <c r="N795" s="3">
        <f t="shared" si="99"/>
        <v>-2.0933333347784355E-2</v>
      </c>
      <c r="O795" s="3">
        <f t="shared" si="100"/>
        <v>1.8333333332520851E-3</v>
      </c>
      <c r="P795">
        <f t="shared" si="101"/>
        <v>9.6694444090334906E-5</v>
      </c>
      <c r="Q795">
        <f t="shared" si="102"/>
        <v>4.3820444504946059E-4</v>
      </c>
      <c r="R795">
        <f t="shared" si="103"/>
        <v>3.3611111108132009E-6</v>
      </c>
      <c r="S795">
        <f t="shared" si="104"/>
        <v>5.3489888913979544E-4</v>
      </c>
      <c r="T795">
        <f t="shared" si="105"/>
        <v>2.3127881207317617E-2</v>
      </c>
    </row>
    <row r="796" spans="1:20" x14ac:dyDescent="0.3">
      <c r="A796" s="2" t="s">
        <v>1279</v>
      </c>
      <c r="B796" s="4" t="s">
        <v>1194</v>
      </c>
      <c r="C796" s="2" t="s">
        <v>1108</v>
      </c>
      <c r="D796" s="2" t="s">
        <v>1112</v>
      </c>
      <c r="E796">
        <v>562216.3960666667</v>
      </c>
      <c r="F796">
        <v>157485.20563333333</v>
      </c>
      <c r="G796">
        <v>733.83299999999997</v>
      </c>
      <c r="J796" s="5" t="s">
        <v>1241</v>
      </c>
      <c r="K796" s="5" t="s">
        <v>1242</v>
      </c>
      <c r="L796" s="5" t="s">
        <v>1288</v>
      </c>
      <c r="M796" s="3">
        <f t="shared" si="98"/>
        <v>-9.7666666842997074E-3</v>
      </c>
      <c r="N796" s="3">
        <f t="shared" si="99"/>
        <v>-1.3533333345549181E-2</v>
      </c>
      <c r="O796" s="3">
        <f t="shared" si="100"/>
        <v>6.4999999999599822E-3</v>
      </c>
      <c r="P796">
        <f t="shared" si="101"/>
        <v>9.5387778122209841E-5</v>
      </c>
      <c r="Q796">
        <f t="shared" si="102"/>
        <v>1.8315111144175339E-4</v>
      </c>
      <c r="R796">
        <f t="shared" si="103"/>
        <v>4.224999999947977E-5</v>
      </c>
      <c r="S796">
        <f t="shared" si="104"/>
        <v>2.7853888956396323E-4</v>
      </c>
      <c r="T796">
        <f t="shared" si="105"/>
        <v>1.6689484400782526E-2</v>
      </c>
    </row>
    <row r="797" spans="1:20" x14ac:dyDescent="0.3">
      <c r="A797" s="2" t="s">
        <v>1279</v>
      </c>
      <c r="B797" s="4" t="s">
        <v>1195</v>
      </c>
      <c r="C797" s="2" t="s">
        <v>1108</v>
      </c>
      <c r="D797" s="2" t="s">
        <v>37</v>
      </c>
      <c r="E797">
        <v>562216.38599999994</v>
      </c>
      <c r="F797">
        <v>157485.20643333334</v>
      </c>
      <c r="G797">
        <v>733.81366666666656</v>
      </c>
      <c r="J797" s="5" t="s">
        <v>1243</v>
      </c>
      <c r="K797" s="5" t="s">
        <v>1244</v>
      </c>
      <c r="L797" s="5" t="s">
        <v>1288</v>
      </c>
      <c r="M797" s="3">
        <f t="shared" si="98"/>
        <v>3.0000007245689631E-4</v>
      </c>
      <c r="N797" s="3">
        <f t="shared" si="99"/>
        <v>-1.4333333354443312E-2</v>
      </c>
      <c r="O797" s="3">
        <f t="shared" si="100"/>
        <v>1.2833333333446717E-2</v>
      </c>
      <c r="P797">
        <f t="shared" si="101"/>
        <v>9.0000043474143033E-8</v>
      </c>
      <c r="Q797">
        <f t="shared" si="102"/>
        <v>2.0544444504959716E-4</v>
      </c>
      <c r="R797">
        <f t="shared" si="103"/>
        <v>1.6469444444735463E-4</v>
      </c>
      <c r="S797">
        <f t="shared" si="104"/>
        <v>2.0553444509307129E-4</v>
      </c>
      <c r="T797">
        <f t="shared" si="105"/>
        <v>1.433647254707626E-2</v>
      </c>
    </row>
    <row r="798" spans="1:20" x14ac:dyDescent="0.3">
      <c r="A798" s="2" t="s">
        <v>1279</v>
      </c>
      <c r="B798" s="4" t="s">
        <v>1195</v>
      </c>
      <c r="C798" s="2" t="s">
        <v>1108</v>
      </c>
      <c r="D798" s="2" t="s">
        <v>46</v>
      </c>
      <c r="E798">
        <v>562216.38363333337</v>
      </c>
      <c r="F798">
        <v>157485.20860000001</v>
      </c>
      <c r="G798">
        <v>733.85300000000007</v>
      </c>
      <c r="J798" s="5" t="s">
        <v>1243</v>
      </c>
      <c r="K798" s="5" t="s">
        <v>1244</v>
      </c>
      <c r="L798" s="5" t="s">
        <v>1288</v>
      </c>
      <c r="M798" s="3">
        <f t="shared" si="98"/>
        <v>2.6666666381061077E-3</v>
      </c>
      <c r="N798" s="3">
        <f t="shared" si="99"/>
        <v>-1.6500000027008355E-2</v>
      </c>
      <c r="O798" s="3">
        <f t="shared" si="100"/>
        <v>2.6500000000055479E-2</v>
      </c>
      <c r="P798">
        <f t="shared" si="101"/>
        <v>7.1111109587881308E-6</v>
      </c>
      <c r="Q798">
        <f t="shared" si="102"/>
        <v>2.7225000089127569E-4</v>
      </c>
      <c r="R798">
        <f t="shared" si="103"/>
        <v>7.0225000000294043E-4</v>
      </c>
      <c r="S798">
        <f t="shared" si="104"/>
        <v>2.7936111185006382E-4</v>
      </c>
      <c r="T798">
        <f t="shared" si="105"/>
        <v>1.6714099193497201E-2</v>
      </c>
    </row>
    <row r="799" spans="1:20" x14ac:dyDescent="0.3">
      <c r="A799" s="2" t="s">
        <v>1279</v>
      </c>
      <c r="B799" s="4" t="s">
        <v>1195</v>
      </c>
      <c r="C799" s="2" t="s">
        <v>1114</v>
      </c>
      <c r="D799" s="2" t="s">
        <v>30</v>
      </c>
      <c r="E799">
        <v>562216.38670000003</v>
      </c>
      <c r="F799">
        <v>157485.22566666667</v>
      </c>
      <c r="G799">
        <v>733.82666666666671</v>
      </c>
      <c r="J799" s="5" t="s">
        <v>1243</v>
      </c>
      <c r="K799" s="5" t="s">
        <v>1244</v>
      </c>
      <c r="L799" s="5" t="s">
        <v>1288</v>
      </c>
      <c r="M799" s="3">
        <f t="shared" si="98"/>
        <v>-4.0000001899898052E-4</v>
      </c>
      <c r="N799" s="3">
        <f t="shared" si="99"/>
        <v>-3.3566666679689661E-2</v>
      </c>
      <c r="O799" s="3">
        <f t="shared" si="100"/>
        <v>1.6666666670062114E-4</v>
      </c>
      <c r="P799">
        <f t="shared" si="101"/>
        <v>1.6000001519918478E-7</v>
      </c>
      <c r="Q799">
        <f t="shared" si="102"/>
        <v>1.1267211119853882E-3</v>
      </c>
      <c r="R799">
        <f t="shared" si="103"/>
        <v>2.7777777789095934E-8</v>
      </c>
      <c r="S799">
        <f t="shared" si="104"/>
        <v>1.1268811120005873E-3</v>
      </c>
      <c r="T799">
        <f t="shared" si="105"/>
        <v>3.3569049912092946E-2</v>
      </c>
    </row>
    <row r="800" spans="1:20" x14ac:dyDescent="0.3">
      <c r="A800" s="2" t="s">
        <v>1279</v>
      </c>
      <c r="B800" s="4" t="s">
        <v>1195</v>
      </c>
      <c r="C800" s="2" t="s">
        <v>1114</v>
      </c>
      <c r="D800" s="2" t="s">
        <v>52</v>
      </c>
      <c r="E800">
        <v>562216.39170000004</v>
      </c>
      <c r="F800">
        <v>157485.21109999999</v>
      </c>
      <c r="G800">
        <v>733.84966666666662</v>
      </c>
      <c r="J800" s="5" t="s">
        <v>1243</v>
      </c>
      <c r="K800" s="5" t="s">
        <v>1244</v>
      </c>
      <c r="L800" s="5" t="s">
        <v>1288</v>
      </c>
      <c r="M800" s="3">
        <f t="shared" si="98"/>
        <v>-5.4000000236555934E-3</v>
      </c>
      <c r="N800" s="3">
        <f t="shared" si="99"/>
        <v>-1.9000000000232831E-2</v>
      </c>
      <c r="O800" s="3">
        <f t="shared" si="100"/>
        <v>2.3166666666611491E-2</v>
      </c>
      <c r="P800">
        <f t="shared" si="101"/>
        <v>2.9160000255480409E-5</v>
      </c>
      <c r="Q800">
        <f t="shared" si="102"/>
        <v>3.6100000000884757E-4</v>
      </c>
      <c r="R800">
        <f t="shared" si="103"/>
        <v>5.3669444444188791E-4</v>
      </c>
      <c r="S800">
        <f t="shared" si="104"/>
        <v>3.9016000026432797E-4</v>
      </c>
      <c r="T800">
        <f t="shared" si="105"/>
        <v>1.9752468206893234E-2</v>
      </c>
    </row>
    <row r="801" spans="1:20" x14ac:dyDescent="0.3">
      <c r="A801" s="2" t="s">
        <v>1279</v>
      </c>
      <c r="B801" s="4" t="s">
        <v>1195</v>
      </c>
      <c r="C801" s="2" t="s">
        <v>1120</v>
      </c>
      <c r="D801" s="2" t="s">
        <v>423</v>
      </c>
      <c r="E801">
        <v>562216.3790666667</v>
      </c>
      <c r="F801">
        <v>157484.98483333332</v>
      </c>
      <c r="G801">
        <v>734.23900000000003</v>
      </c>
      <c r="J801" s="5" t="s">
        <v>1243</v>
      </c>
      <c r="K801" s="5" t="s">
        <v>1244</v>
      </c>
      <c r="L801" s="5" t="s">
        <v>1288</v>
      </c>
      <c r="M801" s="3">
        <f t="shared" si="98"/>
        <v>7.233333308249712E-3</v>
      </c>
      <c r="N801" s="3">
        <f t="shared" si="99"/>
        <v>0.2072666666645091</v>
      </c>
      <c r="O801" s="3">
        <f t="shared" si="100"/>
        <v>0.41250000000002274</v>
      </c>
      <c r="P801">
        <f t="shared" si="101"/>
        <v>5.2321110748234723E-5</v>
      </c>
      <c r="Q801">
        <f t="shared" si="102"/>
        <v>4.2959471110216731E-2</v>
      </c>
      <c r="R801">
        <f t="shared" si="103"/>
        <v>0.17015625000001877</v>
      </c>
      <c r="S801">
        <f t="shared" si="104"/>
        <v>4.3011792220964969E-2</v>
      </c>
      <c r="T801">
        <f t="shared" si="105"/>
        <v>0.20739284515374432</v>
      </c>
    </row>
    <row r="802" spans="1:20" x14ac:dyDescent="0.3">
      <c r="A802" s="2" t="s">
        <v>1279</v>
      </c>
      <c r="B802" s="4" t="s">
        <v>1195</v>
      </c>
      <c r="C802" s="2" t="s">
        <v>1120</v>
      </c>
      <c r="D802" s="2" t="s">
        <v>1019</v>
      </c>
      <c r="E802">
        <v>562216.39233333338</v>
      </c>
      <c r="F802">
        <v>157484.9706</v>
      </c>
      <c r="G802">
        <v>734.17533333333324</v>
      </c>
      <c r="J802" s="5" t="s">
        <v>1243</v>
      </c>
      <c r="K802" s="5" t="s">
        <v>1244</v>
      </c>
      <c r="L802" s="5" t="s">
        <v>1288</v>
      </c>
      <c r="M802" s="3">
        <f t="shared" si="98"/>
        <v>-6.0333333676680923E-3</v>
      </c>
      <c r="N802" s="3">
        <f t="shared" si="99"/>
        <v>0.22149999998509884</v>
      </c>
      <c r="O802" s="3">
        <f t="shared" si="100"/>
        <v>0.34883333333323208</v>
      </c>
      <c r="P802">
        <f t="shared" si="101"/>
        <v>3.6401111525417203E-5</v>
      </c>
      <c r="Q802">
        <f t="shared" si="102"/>
        <v>4.9062249993398782E-2</v>
      </c>
      <c r="R802">
        <f t="shared" si="103"/>
        <v>0.1216846944443738</v>
      </c>
      <c r="S802">
        <f t="shared" si="104"/>
        <v>4.9098651104924201E-2</v>
      </c>
      <c r="T802">
        <f t="shared" si="105"/>
        <v>0.22158215430156869</v>
      </c>
    </row>
    <row r="803" spans="1:20" x14ac:dyDescent="0.3">
      <c r="A803" s="2" t="s">
        <v>1279</v>
      </c>
      <c r="B803" s="2" t="s">
        <v>1196</v>
      </c>
      <c r="C803" s="2" t="s">
        <v>1120</v>
      </c>
      <c r="D803" s="2" t="s">
        <v>423</v>
      </c>
      <c r="E803">
        <v>574002.28353333334</v>
      </c>
      <c r="F803">
        <v>165875.16923333335</v>
      </c>
      <c r="G803">
        <v>978.57533333333333</v>
      </c>
      <c r="J803" s="5" t="s">
        <v>1245</v>
      </c>
      <c r="K803" s="5" t="s">
        <v>1246</v>
      </c>
      <c r="L803" s="5" t="s">
        <v>1289</v>
      </c>
      <c r="M803" s="3">
        <f t="shared" ref="M803:M864" si="106">J803-E803</f>
        <v>1.7766666715033352E-2</v>
      </c>
      <c r="N803" s="3">
        <f t="shared" ref="N803:N864" si="107">K803-F803</f>
        <v>-6.0033333342289552E-2</v>
      </c>
      <c r="O803" s="3">
        <f t="shared" ref="O803:O864" si="108">ABS(L803-G803)</f>
        <v>1.3133333333371411E-2</v>
      </c>
      <c r="P803">
        <f t="shared" ref="P803:P864" si="109">POWER(M803,2)</f>
        <v>3.15654446163074E-4</v>
      </c>
      <c r="Q803">
        <f t="shared" ref="Q803:Q864" si="110">POWER(N803,2)</f>
        <v>3.6040011121864545E-3</v>
      </c>
      <c r="R803">
        <f t="shared" ref="R803:R864" si="111">POWER(O803,2)</f>
        <v>1.7248444444544462E-4</v>
      </c>
      <c r="S803">
        <f t="shared" ref="S803:S864" si="112">P803+Q803</f>
        <v>3.9196555583495283E-3</v>
      </c>
      <c r="T803">
        <f t="shared" si="105"/>
        <v>6.2607152613335867E-2</v>
      </c>
    </row>
    <row r="804" spans="1:20" x14ac:dyDescent="0.3">
      <c r="A804" s="2" t="s">
        <v>1279</v>
      </c>
      <c r="B804" s="2" t="s">
        <v>1196</v>
      </c>
      <c r="C804" s="2" t="s">
        <v>1108</v>
      </c>
      <c r="D804" s="2" t="s">
        <v>30</v>
      </c>
      <c r="E804" s="8">
        <v>574002.28826666658</v>
      </c>
      <c r="F804" s="8">
        <v>165875.16850000003</v>
      </c>
      <c r="G804" s="8">
        <v>978.57133333333331</v>
      </c>
      <c r="J804" s="5" t="s">
        <v>1245</v>
      </c>
      <c r="K804" s="5" t="s">
        <v>1246</v>
      </c>
      <c r="L804" s="5" t="s">
        <v>1289</v>
      </c>
      <c r="M804" s="3">
        <f t="shared" si="106"/>
        <v>1.3033333467319608E-2</v>
      </c>
      <c r="N804" s="3">
        <f t="shared" si="107"/>
        <v>-5.9300000022631139E-2</v>
      </c>
      <c r="O804" s="3">
        <f t="shared" si="108"/>
        <v>9.1333333333523115E-3</v>
      </c>
      <c r="P804">
        <f t="shared" si="109"/>
        <v>1.6986778127035335E-4</v>
      </c>
      <c r="Q804">
        <f t="shared" si="110"/>
        <v>3.5164900026840532E-3</v>
      </c>
      <c r="R804">
        <f t="shared" si="111"/>
        <v>8.3417777778124449E-5</v>
      </c>
      <c r="S804">
        <f t="shared" si="112"/>
        <v>3.6863577839544065E-3</v>
      </c>
      <c r="T804">
        <f t="shared" si="105"/>
        <v>6.0715383420961826E-2</v>
      </c>
    </row>
    <row r="805" spans="1:20" x14ac:dyDescent="0.3">
      <c r="A805" s="2" t="s">
        <v>1279</v>
      </c>
      <c r="B805" s="2" t="s">
        <v>1197</v>
      </c>
      <c r="C805" s="2" t="s">
        <v>1108</v>
      </c>
      <c r="D805" s="2" t="s">
        <v>1112</v>
      </c>
      <c r="E805" s="8">
        <v>574002.29146666673</v>
      </c>
      <c r="F805" s="8">
        <v>165875.11179999998</v>
      </c>
      <c r="G805" s="8">
        <v>978.5386666666667</v>
      </c>
      <c r="J805" s="5" t="s">
        <v>1247</v>
      </c>
      <c r="K805" s="5" t="s">
        <v>1248</v>
      </c>
      <c r="L805" s="5" t="s">
        <v>1289</v>
      </c>
      <c r="M805" s="3">
        <f t="shared" si="106"/>
        <v>9.8333333153277636E-3</v>
      </c>
      <c r="N805" s="3">
        <f t="shared" si="107"/>
        <v>-2.5999999779742211E-3</v>
      </c>
      <c r="O805" s="3">
        <f t="shared" si="108"/>
        <v>2.3533333333261908E-2</v>
      </c>
      <c r="P805">
        <f t="shared" si="109"/>
        <v>9.6694444090334906E-5</v>
      </c>
      <c r="Q805">
        <f t="shared" si="110"/>
        <v>6.7599998854659503E-6</v>
      </c>
      <c r="R805">
        <f t="shared" si="111"/>
        <v>5.5381777777441601E-4</v>
      </c>
      <c r="S805">
        <f t="shared" si="112"/>
        <v>1.0345444397580086E-4</v>
      </c>
      <c r="T805">
        <f t="shared" si="105"/>
        <v>1.0171255771820943E-2</v>
      </c>
    </row>
    <row r="806" spans="1:20" x14ac:dyDescent="0.3">
      <c r="A806" s="2" t="s">
        <v>1279</v>
      </c>
      <c r="B806" s="2" t="s">
        <v>1197</v>
      </c>
      <c r="C806" s="2" t="s">
        <v>1108</v>
      </c>
      <c r="D806" s="2" t="s">
        <v>37</v>
      </c>
      <c r="E806" s="8">
        <v>574002.30066666671</v>
      </c>
      <c r="F806" s="8">
        <v>165875.13323333336</v>
      </c>
      <c r="G806" s="8">
        <v>978.50566666666657</v>
      </c>
      <c r="J806" s="5" t="s">
        <v>1247</v>
      </c>
      <c r="K806" s="5" t="s">
        <v>1248</v>
      </c>
      <c r="L806" s="5" t="s">
        <v>1289</v>
      </c>
      <c r="M806" s="3">
        <f t="shared" si="106"/>
        <v>6.3333334401249886E-4</v>
      </c>
      <c r="N806" s="3">
        <f t="shared" si="107"/>
        <v>-2.4033333349507302E-2</v>
      </c>
      <c r="O806" s="3">
        <f t="shared" si="108"/>
        <v>5.6533333333391056E-2</v>
      </c>
      <c r="P806">
        <f t="shared" si="109"/>
        <v>4.0111112463805422E-7</v>
      </c>
      <c r="Q806">
        <f t="shared" si="110"/>
        <v>5.7760111188853984E-4</v>
      </c>
      <c r="R806">
        <f t="shared" si="111"/>
        <v>3.1960177777843042E-3</v>
      </c>
      <c r="S806">
        <f t="shared" si="112"/>
        <v>5.780022230131779E-4</v>
      </c>
      <c r="T806">
        <f t="shared" si="105"/>
        <v>2.4041676792877362E-2</v>
      </c>
    </row>
    <row r="807" spans="1:20" x14ac:dyDescent="0.3">
      <c r="A807" s="2" t="s">
        <v>1279</v>
      </c>
      <c r="B807" s="2" t="s">
        <v>1197</v>
      </c>
      <c r="C807" s="2" t="s">
        <v>1108</v>
      </c>
      <c r="D807" s="2" t="s">
        <v>46</v>
      </c>
      <c r="E807" s="8">
        <v>574002.2932666667</v>
      </c>
      <c r="F807" s="8">
        <v>165875.10896666665</v>
      </c>
      <c r="G807" s="8">
        <v>978.53966666666668</v>
      </c>
      <c r="J807" s="5" t="s">
        <v>1247</v>
      </c>
      <c r="K807" s="5" t="s">
        <v>1248</v>
      </c>
      <c r="L807" s="5" t="s">
        <v>1289</v>
      </c>
      <c r="M807" s="3">
        <f t="shared" si="106"/>
        <v>8.033333346247673E-3</v>
      </c>
      <c r="N807" s="3">
        <f t="shared" si="107"/>
        <v>2.3333335411734879E-4</v>
      </c>
      <c r="O807" s="3">
        <f t="shared" si="108"/>
        <v>2.2533333333285555E-2</v>
      </c>
      <c r="P807">
        <f t="shared" si="109"/>
        <v>6.4534444651934836E-5</v>
      </c>
      <c r="Q807">
        <f t="shared" si="110"/>
        <v>5.444445414365209E-8</v>
      </c>
      <c r="R807">
        <f t="shared" si="111"/>
        <v>5.0775111110895783E-4</v>
      </c>
      <c r="S807">
        <f t="shared" si="112"/>
        <v>6.4588889106078487E-5</v>
      </c>
      <c r="T807">
        <f t="shared" si="105"/>
        <v>8.036721290805007E-3</v>
      </c>
    </row>
    <row r="808" spans="1:20" x14ac:dyDescent="0.3">
      <c r="A808" s="2" t="s">
        <v>1279</v>
      </c>
      <c r="B808" s="2" t="s">
        <v>1197</v>
      </c>
      <c r="C808" s="2" t="s">
        <v>1114</v>
      </c>
      <c r="D808" s="2" t="s">
        <v>30</v>
      </c>
      <c r="E808" s="8">
        <v>574002.28060000006</v>
      </c>
      <c r="F808" s="8">
        <v>165875.12483333334</v>
      </c>
      <c r="G808" s="8">
        <v>978.62033333333329</v>
      </c>
      <c r="J808" s="5" t="s">
        <v>1247</v>
      </c>
      <c r="K808" s="5" t="s">
        <v>1248</v>
      </c>
      <c r="L808" s="5" t="s">
        <v>1289</v>
      </c>
      <c r="M808" s="3">
        <f t="shared" si="106"/>
        <v>2.0699999993667006E-2</v>
      </c>
      <c r="N808" s="3">
        <f t="shared" si="107"/>
        <v>-1.5633333328878507E-2</v>
      </c>
      <c r="O808" s="3">
        <f t="shared" si="108"/>
        <v>5.8133333333330484E-2</v>
      </c>
      <c r="P808">
        <f t="shared" si="109"/>
        <v>4.2848999973781407E-4</v>
      </c>
      <c r="Q808">
        <f t="shared" si="110"/>
        <v>2.4440111097182352E-4</v>
      </c>
      <c r="R808">
        <f t="shared" si="111"/>
        <v>3.3794844444441133E-3</v>
      </c>
      <c r="S808">
        <f t="shared" si="112"/>
        <v>6.7289111070963754E-4</v>
      </c>
      <c r="T808">
        <f t="shared" si="105"/>
        <v>2.5940144770406303E-2</v>
      </c>
    </row>
    <row r="809" spans="1:20" x14ac:dyDescent="0.3">
      <c r="A809" s="2" t="s">
        <v>1279</v>
      </c>
      <c r="B809" s="2" t="s">
        <v>1197</v>
      </c>
      <c r="C809" s="2" t="s">
        <v>1114</v>
      </c>
      <c r="D809" s="2" t="s">
        <v>52</v>
      </c>
      <c r="E809" s="8">
        <v>574002.29810000013</v>
      </c>
      <c r="F809" s="8">
        <v>165875.11919999999</v>
      </c>
      <c r="G809" s="8">
        <v>978.58199999999999</v>
      </c>
      <c r="J809" s="5" t="s">
        <v>1247</v>
      </c>
      <c r="K809" s="5" t="s">
        <v>1248</v>
      </c>
      <c r="L809" s="5" t="s">
        <v>1289</v>
      </c>
      <c r="M809" s="3">
        <f t="shared" si="106"/>
        <v>3.1999999191612005E-3</v>
      </c>
      <c r="N809" s="3">
        <f t="shared" si="107"/>
        <v>-9.9999999802093953E-3</v>
      </c>
      <c r="O809" s="3">
        <f t="shared" si="108"/>
        <v>1.9800000000032014E-2</v>
      </c>
      <c r="P809">
        <f t="shared" si="109"/>
        <v>1.023999948263169E-5</v>
      </c>
      <c r="Q809">
        <f t="shared" si="110"/>
        <v>9.9999999604187905E-5</v>
      </c>
      <c r="R809">
        <f t="shared" si="111"/>
        <v>3.9204000000126778E-4</v>
      </c>
      <c r="S809">
        <f t="shared" si="112"/>
        <v>1.102399990868196E-4</v>
      </c>
      <c r="T809">
        <f t="shared" si="105"/>
        <v>1.0499523755238596E-2</v>
      </c>
    </row>
    <row r="810" spans="1:20" x14ac:dyDescent="0.3">
      <c r="A810" s="2" t="s">
        <v>1279</v>
      </c>
      <c r="B810" s="2" t="s">
        <v>1198</v>
      </c>
      <c r="C810" s="2" t="s">
        <v>1108</v>
      </c>
      <c r="D810" s="2" t="s">
        <v>46</v>
      </c>
      <c r="E810" s="8">
        <v>583187.60289999994</v>
      </c>
      <c r="F810" s="8">
        <v>177239.2598</v>
      </c>
      <c r="G810" s="8">
        <v>87.14200000000001</v>
      </c>
      <c r="J810" s="5" t="s">
        <v>1249</v>
      </c>
      <c r="K810" s="5" t="s">
        <v>1250</v>
      </c>
      <c r="L810" s="5" t="s">
        <v>1290</v>
      </c>
      <c r="M810" s="3">
        <f t="shared" si="106"/>
        <v>-9.0999999083578587E-3</v>
      </c>
      <c r="N810" s="3">
        <f t="shared" si="107"/>
        <v>-1.6499999997904524E-2</v>
      </c>
      <c r="O810" s="3">
        <f t="shared" si="108"/>
        <v>0.51649999999999352</v>
      </c>
      <c r="P810">
        <f t="shared" si="109"/>
        <v>8.2809998332113036E-5</v>
      </c>
      <c r="Q810">
        <f t="shared" si="110"/>
        <v>2.7224999993084929E-4</v>
      </c>
      <c r="R810">
        <f t="shared" si="111"/>
        <v>0.26677224999999333</v>
      </c>
      <c r="S810">
        <f t="shared" si="112"/>
        <v>3.5505999826296233E-4</v>
      </c>
      <c r="T810">
        <f t="shared" si="105"/>
        <v>1.8843035802729939E-2</v>
      </c>
    </row>
    <row r="811" spans="1:20" x14ac:dyDescent="0.3">
      <c r="A811" s="2" t="s">
        <v>1279</v>
      </c>
      <c r="B811" s="2" t="s">
        <v>1198</v>
      </c>
      <c r="C811" s="2" t="s">
        <v>1108</v>
      </c>
      <c r="D811" s="2" t="s">
        <v>37</v>
      </c>
      <c r="E811" s="8">
        <v>583187.58533333335</v>
      </c>
      <c r="F811" s="8">
        <v>177239.2389</v>
      </c>
      <c r="G811" s="8">
        <v>87.123333333333335</v>
      </c>
      <c r="J811" s="5" t="s">
        <v>1249</v>
      </c>
      <c r="K811" s="5" t="s">
        <v>1250</v>
      </c>
      <c r="L811" s="5" t="s">
        <v>1290</v>
      </c>
      <c r="M811" s="3">
        <f t="shared" si="106"/>
        <v>8.4666666807606816E-3</v>
      </c>
      <c r="N811" s="3">
        <f t="shared" si="107"/>
        <v>4.4000000052619725E-3</v>
      </c>
      <c r="O811" s="3">
        <f t="shared" si="108"/>
        <v>0.53516666666666879</v>
      </c>
      <c r="P811">
        <f t="shared" si="109"/>
        <v>7.1684444683103098E-5</v>
      </c>
      <c r="Q811">
        <f t="shared" si="110"/>
        <v>1.9360000046305358E-5</v>
      </c>
      <c r="R811">
        <f t="shared" si="111"/>
        <v>0.28640336111111336</v>
      </c>
      <c r="S811">
        <f t="shared" si="112"/>
        <v>9.1044444729408456E-5</v>
      </c>
      <c r="T811">
        <f t="shared" si="105"/>
        <v>9.5417212665958994E-3</v>
      </c>
    </row>
    <row r="812" spans="1:20" x14ac:dyDescent="0.3">
      <c r="A812" s="2" t="s">
        <v>1279</v>
      </c>
      <c r="B812" s="2" t="s">
        <v>1198</v>
      </c>
      <c r="C812" s="2" t="s">
        <v>1114</v>
      </c>
      <c r="D812" s="2" t="s">
        <v>52</v>
      </c>
      <c r="E812" s="8">
        <v>583187.60296666669</v>
      </c>
      <c r="F812" s="8">
        <v>177239.2506</v>
      </c>
      <c r="G812" s="8">
        <v>87.124333333333325</v>
      </c>
      <c r="J812" s="5" t="s">
        <v>1249</v>
      </c>
      <c r="K812" s="5" t="s">
        <v>1250</v>
      </c>
      <c r="L812" s="5" t="s">
        <v>1290</v>
      </c>
      <c r="M812" s="3">
        <f t="shared" si="106"/>
        <v>-9.1666666558012366E-3</v>
      </c>
      <c r="N812" s="3">
        <f t="shared" si="107"/>
        <v>-7.299999997485429E-3</v>
      </c>
      <c r="O812" s="3">
        <f t="shared" si="108"/>
        <v>0.53416666666667822</v>
      </c>
      <c r="P812">
        <f t="shared" si="109"/>
        <v>8.4027777578578227E-5</v>
      </c>
      <c r="Q812">
        <f t="shared" si="110"/>
        <v>5.3289999963287261E-5</v>
      </c>
      <c r="R812">
        <f t="shared" si="111"/>
        <v>0.2853340277777901</v>
      </c>
      <c r="S812">
        <f t="shared" si="112"/>
        <v>1.373177775418655E-4</v>
      </c>
      <c r="T812">
        <f t="shared" si="105"/>
        <v>1.1718266831825665E-2</v>
      </c>
    </row>
    <row r="813" spans="1:20" x14ac:dyDescent="0.3">
      <c r="A813" s="2" t="s">
        <v>1279</v>
      </c>
      <c r="B813" s="2" t="s">
        <v>1199</v>
      </c>
      <c r="C813" s="2" t="s">
        <v>1108</v>
      </c>
      <c r="D813" s="2" t="s">
        <v>30</v>
      </c>
      <c r="E813">
        <v>602314.32409999997</v>
      </c>
      <c r="F813">
        <v>160755.75736666666</v>
      </c>
      <c r="G813">
        <v>154.62833333333333</v>
      </c>
      <c r="J813" s="5" t="s">
        <v>1251</v>
      </c>
      <c r="K813" s="5" t="s">
        <v>1252</v>
      </c>
      <c r="L813" s="5" t="s">
        <v>1291</v>
      </c>
      <c r="M813" s="3">
        <f t="shared" si="106"/>
        <v>1.3600000063888729E-2</v>
      </c>
      <c r="N813" s="3">
        <f t="shared" si="107"/>
        <v>-3.316666666069068E-2</v>
      </c>
      <c r="O813" s="3">
        <f t="shared" si="108"/>
        <v>4.77333333333263E-2</v>
      </c>
      <c r="P813">
        <f t="shared" si="109"/>
        <v>1.8496000173777341E-4</v>
      </c>
      <c r="Q813">
        <f t="shared" si="110"/>
        <v>1.1000277773813706E-3</v>
      </c>
      <c r="R813">
        <f t="shared" si="111"/>
        <v>2.2784711111104397E-3</v>
      </c>
      <c r="S813">
        <f t="shared" si="112"/>
        <v>1.284987779119144E-3</v>
      </c>
      <c r="T813">
        <f t="shared" si="105"/>
        <v>3.5846726198066454E-2</v>
      </c>
    </row>
    <row r="814" spans="1:20" x14ac:dyDescent="0.3">
      <c r="A814" s="2" t="s">
        <v>1279</v>
      </c>
      <c r="B814" s="2" t="s">
        <v>1199</v>
      </c>
      <c r="C814" s="2" t="s">
        <v>1108</v>
      </c>
      <c r="D814" s="2" t="s">
        <v>1112</v>
      </c>
      <c r="E814">
        <v>602314.32239999995</v>
      </c>
      <c r="F814">
        <v>160755.75783333334</v>
      </c>
      <c r="G814">
        <v>154.62233333333333</v>
      </c>
      <c r="J814" s="5" t="s">
        <v>1251</v>
      </c>
      <c r="K814" s="5" t="s">
        <v>1252</v>
      </c>
      <c r="L814" s="5" t="s">
        <v>1291</v>
      </c>
      <c r="M814" s="3">
        <f t="shared" si="106"/>
        <v>1.5300000086426735E-2</v>
      </c>
      <c r="N814" s="3">
        <f t="shared" si="107"/>
        <v>-3.3633333339821547E-2</v>
      </c>
      <c r="O814" s="3">
        <f t="shared" si="108"/>
        <v>4.1733333333326073E-2</v>
      </c>
      <c r="P814">
        <f t="shared" si="109"/>
        <v>2.340900026446581E-4</v>
      </c>
      <c r="Q814">
        <f t="shared" si="110"/>
        <v>1.1312011115475517E-3</v>
      </c>
      <c r="R814">
        <f t="shared" si="111"/>
        <v>1.7416711111105051E-3</v>
      </c>
      <c r="S814">
        <f t="shared" si="112"/>
        <v>1.3652911141922098E-3</v>
      </c>
      <c r="T814">
        <f t="shared" si="105"/>
        <v>3.6949845929208011E-2</v>
      </c>
    </row>
    <row r="815" spans="1:20" x14ac:dyDescent="0.3">
      <c r="A815" s="2" t="s">
        <v>1279</v>
      </c>
      <c r="B815" s="2" t="s">
        <v>1200</v>
      </c>
      <c r="C815" s="2" t="s">
        <v>1108</v>
      </c>
      <c r="D815" s="2" t="s">
        <v>37</v>
      </c>
      <c r="E815">
        <v>602314.32633333327</v>
      </c>
      <c r="F815">
        <v>160755.75090000001</v>
      </c>
      <c r="G815">
        <v>154.643</v>
      </c>
      <c r="J815" s="5" t="s">
        <v>1253</v>
      </c>
      <c r="K815" s="5" t="s">
        <v>1254</v>
      </c>
      <c r="L815" s="5" t="s">
        <v>1291</v>
      </c>
      <c r="M815" s="3">
        <f t="shared" si="106"/>
        <v>1.136666676029563E-2</v>
      </c>
      <c r="N815" s="3">
        <f t="shared" si="107"/>
        <v>-2.670000001671724E-2</v>
      </c>
      <c r="O815" s="3">
        <f t="shared" si="108"/>
        <v>6.239999999999668E-2</v>
      </c>
      <c r="P815">
        <f t="shared" si="109"/>
        <v>1.2920111323960954E-4</v>
      </c>
      <c r="Q815">
        <f t="shared" si="110"/>
        <v>7.1289000089270061E-4</v>
      </c>
      <c r="R815">
        <f t="shared" si="111"/>
        <v>3.8937599999995859E-3</v>
      </c>
      <c r="S815">
        <f t="shared" si="112"/>
        <v>8.4209111413231015E-4</v>
      </c>
      <c r="T815">
        <f t="shared" si="105"/>
        <v>2.901880621480336E-2</v>
      </c>
    </row>
    <row r="816" spans="1:20" x14ac:dyDescent="0.3">
      <c r="A816" s="2" t="s">
        <v>1279</v>
      </c>
      <c r="B816" s="2" t="s">
        <v>1200</v>
      </c>
      <c r="C816" s="2" t="s">
        <v>1108</v>
      </c>
      <c r="D816" s="2" t="s">
        <v>46</v>
      </c>
      <c r="E816">
        <v>602314.32366666663</v>
      </c>
      <c r="F816">
        <v>160755.75203333335</v>
      </c>
      <c r="G816">
        <v>154.62</v>
      </c>
      <c r="J816" s="5" t="s">
        <v>1253</v>
      </c>
      <c r="K816" s="5" t="s">
        <v>1254</v>
      </c>
      <c r="L816" s="5" t="s">
        <v>1291</v>
      </c>
      <c r="M816" s="3">
        <f t="shared" si="106"/>
        <v>1.4033333398401737E-2</v>
      </c>
      <c r="N816" s="3">
        <f t="shared" si="107"/>
        <v>-2.7833333355374634E-2</v>
      </c>
      <c r="O816" s="3">
        <f t="shared" si="108"/>
        <v>3.9400000000000546E-2</v>
      </c>
      <c r="P816">
        <f t="shared" si="109"/>
        <v>1.9693444627069765E-4</v>
      </c>
      <c r="Q816">
        <f t="shared" si="110"/>
        <v>7.7469444567141018E-4</v>
      </c>
      <c r="R816">
        <f t="shared" si="111"/>
        <v>1.552360000000043E-3</v>
      </c>
      <c r="S816">
        <f t="shared" si="112"/>
        <v>9.7162889194210783E-4</v>
      </c>
      <c r="T816">
        <f t="shared" si="105"/>
        <v>3.1170962319795451E-2</v>
      </c>
    </row>
    <row r="817" spans="1:20" x14ac:dyDescent="0.3">
      <c r="A817" s="2" t="s">
        <v>1279</v>
      </c>
      <c r="B817" s="2" t="s">
        <v>1200</v>
      </c>
      <c r="C817" s="2" t="s">
        <v>1114</v>
      </c>
      <c r="D817" s="2" t="s">
        <v>52</v>
      </c>
      <c r="E817">
        <v>602314.33746666659</v>
      </c>
      <c r="F817">
        <v>160755.7458</v>
      </c>
      <c r="G817">
        <v>154.60900000000001</v>
      </c>
      <c r="J817" s="5" t="s">
        <v>1253</v>
      </c>
      <c r="K817" s="5" t="s">
        <v>1254</v>
      </c>
      <c r="L817" s="5" t="s">
        <v>1291</v>
      </c>
      <c r="M817" s="3">
        <f t="shared" si="106"/>
        <v>2.3333344142884016E-4</v>
      </c>
      <c r="N817" s="3">
        <f t="shared" si="107"/>
        <v>-2.1600000007310882E-2</v>
      </c>
      <c r="O817" s="3">
        <f t="shared" si="108"/>
        <v>2.8400000000004866E-2</v>
      </c>
      <c r="P817">
        <f t="shared" si="109"/>
        <v>5.4444494889025982E-8</v>
      </c>
      <c r="Q817">
        <f t="shared" si="110"/>
        <v>4.6656000031583013E-4</v>
      </c>
      <c r="R817">
        <f t="shared" si="111"/>
        <v>8.0656000000027637E-4</v>
      </c>
      <c r="S817">
        <f t="shared" si="112"/>
        <v>4.6661444481071914E-4</v>
      </c>
      <c r="T817">
        <f t="shared" si="105"/>
        <v>2.1601260259779268E-2</v>
      </c>
    </row>
    <row r="818" spans="1:20" x14ac:dyDescent="0.3">
      <c r="A818" s="2" t="s">
        <v>1279</v>
      </c>
      <c r="B818" s="2" t="s">
        <v>1200</v>
      </c>
      <c r="C818" s="2" t="s">
        <v>1114</v>
      </c>
      <c r="D818" s="2" t="s">
        <v>63</v>
      </c>
      <c r="E818">
        <v>602314.35473333334</v>
      </c>
      <c r="F818">
        <v>160755.78043333333</v>
      </c>
      <c r="G818">
        <v>154.62633333333332</v>
      </c>
      <c r="J818" s="5" t="s">
        <v>1253</v>
      </c>
      <c r="K818" s="5" t="s">
        <v>1254</v>
      </c>
      <c r="L818" s="5" t="s">
        <v>1291</v>
      </c>
      <c r="M818" s="3">
        <f t="shared" si="106"/>
        <v>-1.7033333308063447E-2</v>
      </c>
      <c r="N818" s="3">
        <f t="shared" si="107"/>
        <v>-5.623333333642222E-2</v>
      </c>
      <c r="O818" s="3">
        <f t="shared" si="108"/>
        <v>4.573333333331675E-2</v>
      </c>
      <c r="P818">
        <f t="shared" si="109"/>
        <v>2.9013444358358365E-4</v>
      </c>
      <c r="Q818">
        <f t="shared" si="110"/>
        <v>3.1621877781251744E-3</v>
      </c>
      <c r="R818">
        <f t="shared" si="111"/>
        <v>2.091537777776261E-3</v>
      </c>
      <c r="S818">
        <f t="shared" si="112"/>
        <v>3.452322221708758E-3</v>
      </c>
      <c r="T818">
        <f t="shared" si="105"/>
        <v>5.8756465360918012E-2</v>
      </c>
    </row>
    <row r="819" spans="1:20" x14ac:dyDescent="0.3">
      <c r="A819" s="2" t="s">
        <v>1279</v>
      </c>
      <c r="B819" s="2" t="s">
        <v>1200</v>
      </c>
      <c r="C819" s="2" t="s">
        <v>1114</v>
      </c>
      <c r="D819" s="2" t="s">
        <v>30</v>
      </c>
      <c r="E819">
        <v>602314.32773333334</v>
      </c>
      <c r="F819">
        <v>160755.74830000001</v>
      </c>
      <c r="G819">
        <v>154.63</v>
      </c>
      <c r="J819" s="5" t="s">
        <v>1253</v>
      </c>
      <c r="K819" s="5" t="s">
        <v>1254</v>
      </c>
      <c r="L819" s="5" t="s">
        <v>1291</v>
      </c>
      <c r="M819" s="3">
        <f t="shared" si="106"/>
        <v>9.9666666937991977E-3</v>
      </c>
      <c r="N819" s="3">
        <f t="shared" si="107"/>
        <v>-2.4100000009639189E-2</v>
      </c>
      <c r="O819" s="3">
        <f t="shared" si="108"/>
        <v>4.9399999999991451E-2</v>
      </c>
      <c r="P819">
        <f t="shared" si="109"/>
        <v>9.933444498528623E-5</v>
      </c>
      <c r="Q819">
        <f t="shared" si="110"/>
        <v>5.8081000046460889E-4</v>
      </c>
      <c r="R819">
        <f t="shared" si="111"/>
        <v>2.4403599999991555E-3</v>
      </c>
      <c r="S819">
        <f t="shared" si="112"/>
        <v>6.8014444544989511E-4</v>
      </c>
      <c r="T819">
        <f t="shared" si="105"/>
        <v>2.6079579088817657E-2</v>
      </c>
    </row>
    <row r="820" spans="1:20" x14ac:dyDescent="0.3">
      <c r="A820" s="2" t="s">
        <v>1279</v>
      </c>
      <c r="B820" s="2" t="s">
        <v>1201</v>
      </c>
      <c r="C820" s="2" t="s">
        <v>1108</v>
      </c>
      <c r="D820" s="2" t="s">
        <v>30</v>
      </c>
      <c r="E820">
        <v>557542.48106666666</v>
      </c>
      <c r="F820">
        <v>199259.21070000003</v>
      </c>
      <c r="G820">
        <v>52.820666666666661</v>
      </c>
      <c r="J820" s="5" t="s">
        <v>1255</v>
      </c>
      <c r="K820" s="5" t="s">
        <v>1256</v>
      </c>
      <c r="L820" s="5" t="s">
        <v>1292</v>
      </c>
      <c r="M820" s="3">
        <f t="shared" si="106"/>
        <v>-1.3266666675917804E-2</v>
      </c>
      <c r="N820" s="3">
        <f t="shared" si="107"/>
        <v>-1.4600000024074689E-2</v>
      </c>
      <c r="O820" s="3">
        <f t="shared" si="108"/>
        <v>3.3333333333729342E-4</v>
      </c>
      <c r="P820">
        <f t="shared" si="109"/>
        <v>1.7600444468990795E-4</v>
      </c>
      <c r="Q820">
        <f t="shared" si="110"/>
        <v>2.1316000070298091E-4</v>
      </c>
      <c r="R820">
        <f t="shared" si="111"/>
        <v>1.1111111111375118E-7</v>
      </c>
      <c r="S820">
        <f t="shared" si="112"/>
        <v>3.8916444539288886E-4</v>
      </c>
      <c r="T820">
        <f t="shared" si="105"/>
        <v>1.972725133902057E-2</v>
      </c>
    </row>
    <row r="821" spans="1:20" x14ac:dyDescent="0.3">
      <c r="A821" s="2" t="s">
        <v>1279</v>
      </c>
      <c r="B821" s="2" t="s">
        <v>1201</v>
      </c>
      <c r="C821" s="2" t="s">
        <v>1108</v>
      </c>
      <c r="D821" s="2" t="s">
        <v>1112</v>
      </c>
      <c r="E821">
        <v>557542.4558</v>
      </c>
      <c r="F821">
        <v>199259.21070000003</v>
      </c>
      <c r="G821">
        <v>52.826666666666661</v>
      </c>
      <c r="J821" s="5" t="s">
        <v>1255</v>
      </c>
      <c r="K821" s="5" t="s">
        <v>1256</v>
      </c>
      <c r="L821" s="5" t="s">
        <v>1292</v>
      </c>
      <c r="M821" s="3">
        <f t="shared" si="106"/>
        <v>1.1999999987892807E-2</v>
      </c>
      <c r="N821" s="3">
        <f t="shared" si="107"/>
        <v>-1.4600000024074689E-2</v>
      </c>
      <c r="O821" s="3">
        <f t="shared" si="108"/>
        <v>5.6666666666629339E-3</v>
      </c>
      <c r="P821">
        <f t="shared" si="109"/>
        <v>1.4399999970942734E-4</v>
      </c>
      <c r="Q821">
        <f t="shared" si="110"/>
        <v>2.1316000070298091E-4</v>
      </c>
      <c r="R821">
        <f t="shared" si="111"/>
        <v>3.211111111106881E-5</v>
      </c>
      <c r="S821">
        <f t="shared" si="112"/>
        <v>3.5716000041240826E-4</v>
      </c>
      <c r="T821">
        <f t="shared" si="105"/>
        <v>1.8898677213297448E-2</v>
      </c>
    </row>
    <row r="822" spans="1:20" x14ac:dyDescent="0.3">
      <c r="A822" s="2" t="s">
        <v>1279</v>
      </c>
      <c r="B822" s="2" t="s">
        <v>1202</v>
      </c>
      <c r="C822" s="2" t="s">
        <v>1108</v>
      </c>
      <c r="D822" s="2" t="s">
        <v>37</v>
      </c>
      <c r="E822">
        <v>557542.46563333331</v>
      </c>
      <c r="F822">
        <v>199259.22186666666</v>
      </c>
      <c r="G822">
        <v>52.839666666666666</v>
      </c>
      <c r="J822" s="5" t="s">
        <v>1257</v>
      </c>
      <c r="K822" s="5" t="s">
        <v>1258</v>
      </c>
      <c r="L822" s="5" t="s">
        <v>1292</v>
      </c>
      <c r="M822" s="3">
        <f t="shared" si="106"/>
        <v>2.166666672565043E-3</v>
      </c>
      <c r="N822" s="3">
        <f t="shared" si="107"/>
        <v>-2.5766666658455506E-2</v>
      </c>
      <c r="O822" s="3">
        <f t="shared" si="108"/>
        <v>1.8666666666668164E-2</v>
      </c>
      <c r="P822">
        <f t="shared" si="109"/>
        <v>4.6944444700040751E-6</v>
      </c>
      <c r="Q822">
        <f t="shared" si="110"/>
        <v>6.6392111068796264E-4</v>
      </c>
      <c r="R822">
        <f t="shared" si="111"/>
        <v>3.4844444444450035E-4</v>
      </c>
      <c r="S822">
        <f t="shared" si="112"/>
        <v>6.686155551579667E-4</v>
      </c>
      <c r="T822">
        <f t="shared" si="105"/>
        <v>2.585760149661926E-2</v>
      </c>
    </row>
    <row r="823" spans="1:20" x14ac:dyDescent="0.3">
      <c r="A823" s="2" t="s">
        <v>1279</v>
      </c>
      <c r="B823" s="2" t="s">
        <v>1202</v>
      </c>
      <c r="C823" s="2" t="s">
        <v>1108</v>
      </c>
      <c r="D823" s="2" t="s">
        <v>46</v>
      </c>
      <c r="E823">
        <v>557542.45456666674</v>
      </c>
      <c r="F823">
        <v>199259.20600000001</v>
      </c>
      <c r="G823">
        <v>52.865333333333332</v>
      </c>
      <c r="J823" s="5" t="s">
        <v>1257</v>
      </c>
      <c r="K823" s="5" t="s">
        <v>1258</v>
      </c>
      <c r="L823" s="5" t="s">
        <v>1292</v>
      </c>
      <c r="M823" s="3">
        <f t="shared" si="106"/>
        <v>1.3233333243988454E-2</v>
      </c>
      <c r="N823" s="3">
        <f t="shared" si="107"/>
        <v>-9.9000000045634806E-3</v>
      </c>
      <c r="O823" s="3">
        <f t="shared" si="108"/>
        <v>4.4333333333334224E-2</v>
      </c>
      <c r="P823">
        <f t="shared" si="109"/>
        <v>1.7512110874644997E-4</v>
      </c>
      <c r="Q823">
        <f t="shared" si="110"/>
        <v>9.8010000090356913E-5</v>
      </c>
      <c r="R823">
        <f t="shared" si="111"/>
        <v>1.9654444444445235E-3</v>
      </c>
      <c r="S823">
        <f t="shared" si="112"/>
        <v>2.7313110883680689E-4</v>
      </c>
      <c r="T823">
        <f t="shared" si="105"/>
        <v>1.6526678699509072E-2</v>
      </c>
    </row>
    <row r="824" spans="1:20" x14ac:dyDescent="0.3">
      <c r="A824" s="2" t="s">
        <v>1279</v>
      </c>
      <c r="B824" s="2" t="s">
        <v>1202</v>
      </c>
      <c r="C824" s="2" t="s">
        <v>1114</v>
      </c>
      <c r="D824" s="2" t="s">
        <v>30</v>
      </c>
      <c r="E824">
        <v>557542.46963333338</v>
      </c>
      <c r="F824">
        <v>199259.21193333334</v>
      </c>
      <c r="G824">
        <v>52.844000000000001</v>
      </c>
      <c r="J824" s="5" t="s">
        <v>1257</v>
      </c>
      <c r="K824" s="5" t="s">
        <v>1258</v>
      </c>
      <c r="L824" s="5" t="s">
        <v>1292</v>
      </c>
      <c r="M824" s="3">
        <f t="shared" si="106"/>
        <v>-1.8333334010094404E-3</v>
      </c>
      <c r="N824" s="3">
        <f t="shared" si="107"/>
        <v>-1.5833333338377997E-2</v>
      </c>
      <c r="O824" s="3">
        <f t="shared" si="108"/>
        <v>2.300000000000324E-2</v>
      </c>
      <c r="P824">
        <f t="shared" si="109"/>
        <v>3.3611113592568417E-6</v>
      </c>
      <c r="Q824">
        <f t="shared" si="110"/>
        <v>2.5069444460419215E-4</v>
      </c>
      <c r="R824">
        <f t="shared" si="111"/>
        <v>5.2900000000014903E-4</v>
      </c>
      <c r="S824">
        <f t="shared" si="112"/>
        <v>2.5405555596344899E-4</v>
      </c>
      <c r="T824">
        <f t="shared" si="105"/>
        <v>1.5939120300802332E-2</v>
      </c>
    </row>
    <row r="825" spans="1:20" x14ac:dyDescent="0.3">
      <c r="A825" s="2" t="s">
        <v>1279</v>
      </c>
      <c r="B825" s="2" t="s">
        <v>1202</v>
      </c>
      <c r="C825" s="2" t="s">
        <v>1114</v>
      </c>
      <c r="D825" s="2" t="s">
        <v>52</v>
      </c>
      <c r="E825">
        <v>557542.47259999998</v>
      </c>
      <c r="F825">
        <v>199259.22010000001</v>
      </c>
      <c r="G825">
        <v>52.875666666666667</v>
      </c>
      <c r="J825" s="5" t="s">
        <v>1257</v>
      </c>
      <c r="K825" s="5" t="s">
        <v>1258</v>
      </c>
      <c r="L825" s="5" t="s">
        <v>1292</v>
      </c>
      <c r="M825" s="3">
        <f t="shared" si="106"/>
        <v>-4.7999999951571226E-3</v>
      </c>
      <c r="N825" s="3">
        <f t="shared" si="107"/>
        <v>-2.4000000004889444E-2</v>
      </c>
      <c r="O825" s="3">
        <f t="shared" si="108"/>
        <v>5.4666666666669528E-2</v>
      </c>
      <c r="P825">
        <f t="shared" si="109"/>
        <v>2.3039999953508377E-5</v>
      </c>
      <c r="Q825">
        <f t="shared" si="110"/>
        <v>5.7600000023469325E-4</v>
      </c>
      <c r="R825">
        <f t="shared" si="111"/>
        <v>2.9884444444447573E-3</v>
      </c>
      <c r="S825">
        <f t="shared" si="112"/>
        <v>5.9904000018820157E-4</v>
      </c>
      <c r="T825">
        <f t="shared" si="105"/>
        <v>2.4475293669090091E-2</v>
      </c>
    </row>
    <row r="826" spans="1:20" x14ac:dyDescent="0.3">
      <c r="A826" s="2" t="s">
        <v>1279</v>
      </c>
      <c r="B826" s="2" t="s">
        <v>1203</v>
      </c>
      <c r="C826" s="2" t="s">
        <v>1114</v>
      </c>
      <c r="D826" s="2" t="s">
        <v>63</v>
      </c>
      <c r="E826">
        <v>547579.71730000002</v>
      </c>
      <c r="F826">
        <v>194891.53373333334</v>
      </c>
      <c r="G826">
        <v>709.13366666666661</v>
      </c>
      <c r="J826" s="5" t="s">
        <v>1259</v>
      </c>
      <c r="K826" s="5" t="s">
        <v>1260</v>
      </c>
      <c r="L826" s="5" t="s">
        <v>1293</v>
      </c>
      <c r="M826" s="3">
        <f t="shared" si="106"/>
        <v>-4.5999999856576324E-3</v>
      </c>
      <c r="N826" s="3">
        <f t="shared" si="107"/>
        <v>-5.2333333587739617E-3</v>
      </c>
      <c r="O826" s="3">
        <f t="shared" si="108"/>
        <v>4.6266666666610945E-2</v>
      </c>
      <c r="P826">
        <f t="shared" si="109"/>
        <v>2.1159999868050218E-5</v>
      </c>
      <c r="Q826">
        <f t="shared" si="110"/>
        <v>2.7387778044056354E-5</v>
      </c>
      <c r="R826">
        <f t="shared" si="111"/>
        <v>2.1406044444392883E-3</v>
      </c>
      <c r="S826">
        <f t="shared" si="112"/>
        <v>4.8547777912106572E-5</v>
      </c>
      <c r="T826">
        <f t="shared" si="105"/>
        <v>6.967623548391989E-3</v>
      </c>
    </row>
    <row r="827" spans="1:20" x14ac:dyDescent="0.3">
      <c r="A827" s="2" t="s">
        <v>1279</v>
      </c>
      <c r="B827" s="2" t="s">
        <v>1203</v>
      </c>
      <c r="C827" s="2" t="s">
        <v>1114</v>
      </c>
      <c r="D827" s="2" t="s">
        <v>30</v>
      </c>
      <c r="E827">
        <v>547579.74739999999</v>
      </c>
      <c r="F827">
        <v>194891.50906666662</v>
      </c>
      <c r="G827">
        <v>709.16566666666665</v>
      </c>
      <c r="J827" s="5" t="s">
        <v>1259</v>
      </c>
      <c r="K827" s="5" t="s">
        <v>1260</v>
      </c>
      <c r="L827" s="5" t="s">
        <v>1293</v>
      </c>
      <c r="M827" s="3">
        <f t="shared" si="106"/>
        <v>-3.4699999960139394E-2</v>
      </c>
      <c r="N827" s="3">
        <f t="shared" si="107"/>
        <v>1.943333336384967E-2</v>
      </c>
      <c r="O827" s="3">
        <f t="shared" si="108"/>
        <v>7.8266666666650053E-2</v>
      </c>
      <c r="P827">
        <f t="shared" si="109"/>
        <v>1.2040899972336739E-3</v>
      </c>
      <c r="Q827">
        <f t="shared" si="110"/>
        <v>3.7765444563051274E-4</v>
      </c>
      <c r="R827">
        <f t="shared" si="111"/>
        <v>6.1256711111085105E-3</v>
      </c>
      <c r="S827">
        <f t="shared" si="112"/>
        <v>1.5817444428641867E-3</v>
      </c>
      <c r="T827">
        <f t="shared" si="105"/>
        <v>3.9771150886844936E-2</v>
      </c>
    </row>
    <row r="828" spans="1:20" x14ac:dyDescent="0.3">
      <c r="A828" s="2" t="s">
        <v>1279</v>
      </c>
      <c r="B828" s="2" t="s">
        <v>1204</v>
      </c>
      <c r="C828" s="2" t="s">
        <v>1114</v>
      </c>
      <c r="D828" s="2" t="s">
        <v>52</v>
      </c>
      <c r="E828">
        <v>547579.74653333332</v>
      </c>
      <c r="F828">
        <v>194891.51549999998</v>
      </c>
      <c r="G828">
        <v>709.16499999999996</v>
      </c>
      <c r="J828" s="5" t="s">
        <v>1261</v>
      </c>
      <c r="K828" s="5" t="s">
        <v>1262</v>
      </c>
      <c r="L828" s="5" t="s">
        <v>1293</v>
      </c>
      <c r="M828" s="3">
        <f t="shared" si="106"/>
        <v>-3.3833333291113377E-2</v>
      </c>
      <c r="N828" s="3">
        <f t="shared" si="107"/>
        <v>1.3000000006286427E-2</v>
      </c>
      <c r="O828" s="3">
        <f t="shared" si="108"/>
        <v>7.7599999999961256E-2</v>
      </c>
      <c r="P828">
        <f t="shared" si="109"/>
        <v>1.1446944415875607E-3</v>
      </c>
      <c r="Q828">
        <f t="shared" si="110"/>
        <v>1.6900000016344712E-4</v>
      </c>
      <c r="R828">
        <f t="shared" si="111"/>
        <v>6.0217599999939867E-3</v>
      </c>
      <c r="S828">
        <f t="shared" si="112"/>
        <v>1.3136944417510078E-3</v>
      </c>
      <c r="T828">
        <f t="shared" si="105"/>
        <v>3.6244922978963659E-2</v>
      </c>
    </row>
    <row r="829" spans="1:20" x14ac:dyDescent="0.3">
      <c r="A829" s="2" t="s">
        <v>1279</v>
      </c>
      <c r="B829" s="2" t="s">
        <v>1204</v>
      </c>
      <c r="C829" s="2" t="s">
        <v>1108</v>
      </c>
      <c r="D829" s="2" t="s">
        <v>30</v>
      </c>
      <c r="E829">
        <v>547579.74116666662</v>
      </c>
      <c r="F829">
        <v>194891.52670000002</v>
      </c>
      <c r="G829">
        <v>709.12566666666669</v>
      </c>
      <c r="J829" s="5" t="s">
        <v>1261</v>
      </c>
      <c r="K829" s="5" t="s">
        <v>1262</v>
      </c>
      <c r="L829" s="5" t="s">
        <v>1293</v>
      </c>
      <c r="M829" s="3">
        <f t="shared" si="106"/>
        <v>-2.8466666582971811E-2</v>
      </c>
      <c r="N829" s="3">
        <f t="shared" si="107"/>
        <v>1.7999999690800905E-3</v>
      </c>
      <c r="O829" s="3">
        <f t="shared" si="108"/>
        <v>3.8266666666686433E-2</v>
      </c>
      <c r="P829">
        <f t="shared" si="109"/>
        <v>8.1035110634608402E-4</v>
      </c>
      <c r="Q829">
        <f t="shared" si="110"/>
        <v>3.2399998886883268E-6</v>
      </c>
      <c r="R829">
        <f t="shared" si="111"/>
        <v>1.4643377777792906E-3</v>
      </c>
      <c r="S829">
        <f t="shared" si="112"/>
        <v>8.1359110623477229E-4</v>
      </c>
      <c r="T829">
        <f t="shared" si="105"/>
        <v>2.8523518475720561E-2</v>
      </c>
    </row>
    <row r="830" spans="1:20" x14ac:dyDescent="0.3">
      <c r="A830" s="2" t="s">
        <v>1279</v>
      </c>
      <c r="B830" s="2" t="s">
        <v>1204</v>
      </c>
      <c r="C830" s="2" t="s">
        <v>1108</v>
      </c>
      <c r="D830" s="2" t="s">
        <v>1112</v>
      </c>
      <c r="E830">
        <v>547579.73806666676</v>
      </c>
      <c r="F830">
        <v>194891.5239</v>
      </c>
      <c r="G830">
        <v>709.13</v>
      </c>
      <c r="J830" s="5" t="s">
        <v>1261</v>
      </c>
      <c r="K830" s="5" t="s">
        <v>1262</v>
      </c>
      <c r="L830" s="5" t="s">
        <v>1293</v>
      </c>
      <c r="M830" s="3">
        <f t="shared" si="106"/>
        <v>-2.5366666726768017E-2</v>
      </c>
      <c r="N830" s="3">
        <f t="shared" si="107"/>
        <v>4.5999999856576324E-3</v>
      </c>
      <c r="O830" s="3">
        <f t="shared" si="108"/>
        <v>4.2599999999993088E-2</v>
      </c>
      <c r="P830">
        <f t="shared" si="109"/>
        <v>6.4346778082691961E-4</v>
      </c>
      <c r="Q830">
        <f t="shared" si="110"/>
        <v>2.1159999868050218E-5</v>
      </c>
      <c r="R830">
        <f t="shared" si="111"/>
        <v>1.8147599999994112E-3</v>
      </c>
      <c r="S830">
        <f t="shared" si="112"/>
        <v>6.6462778069496982E-4</v>
      </c>
      <c r="T830">
        <f t="shared" si="105"/>
        <v>2.5780375883508174E-2</v>
      </c>
    </row>
    <row r="831" spans="1:20" x14ac:dyDescent="0.3">
      <c r="A831" s="2" t="s">
        <v>1279</v>
      </c>
      <c r="B831" s="2" t="s">
        <v>1204</v>
      </c>
      <c r="C831" s="2" t="s">
        <v>1108</v>
      </c>
      <c r="D831" s="2" t="s">
        <v>37</v>
      </c>
      <c r="E831">
        <v>547579.72426666657</v>
      </c>
      <c r="F831">
        <v>194891.52060000002</v>
      </c>
      <c r="G831">
        <v>709.11800000000005</v>
      </c>
      <c r="J831" s="5" t="s">
        <v>1261</v>
      </c>
      <c r="K831" s="5" t="s">
        <v>1262</v>
      </c>
      <c r="L831" s="5" t="s">
        <v>1293</v>
      </c>
      <c r="M831" s="3">
        <f t="shared" si="106"/>
        <v>-1.1566666536964476E-2</v>
      </c>
      <c r="N831" s="3">
        <f t="shared" si="107"/>
        <v>7.8999999677762389E-3</v>
      </c>
      <c r="O831" s="3">
        <f t="shared" si="108"/>
        <v>3.0600000000049477E-2</v>
      </c>
      <c r="P831">
        <f t="shared" si="109"/>
        <v>1.3378777477733377E-4</v>
      </c>
      <c r="Q831">
        <f t="shared" si="110"/>
        <v>6.2409999490864576E-5</v>
      </c>
      <c r="R831">
        <f t="shared" si="111"/>
        <v>9.3636000000302797E-4</v>
      </c>
      <c r="S831">
        <f t="shared" si="112"/>
        <v>1.9619777426819834E-4</v>
      </c>
      <c r="T831">
        <f t="shared" si="105"/>
        <v>1.4007061585793014E-2</v>
      </c>
    </row>
    <row r="832" spans="1:20" x14ac:dyDescent="0.3">
      <c r="A832" s="2" t="s">
        <v>1279</v>
      </c>
      <c r="B832" s="2" t="s">
        <v>1204</v>
      </c>
      <c r="C832" s="2" t="s">
        <v>1108</v>
      </c>
      <c r="D832" s="2" t="s">
        <v>46</v>
      </c>
      <c r="E832">
        <v>547579.71976666665</v>
      </c>
      <c r="F832">
        <v>194891.51869999999</v>
      </c>
      <c r="G832">
        <v>709.13066666666657</v>
      </c>
      <c r="J832" s="5" t="s">
        <v>1261</v>
      </c>
      <c r="K832" s="5" t="s">
        <v>1262</v>
      </c>
      <c r="L832" s="5" t="s">
        <v>1293</v>
      </c>
      <c r="M832" s="3">
        <f t="shared" si="106"/>
        <v>-7.0666666142642498E-3</v>
      </c>
      <c r="N832" s="3">
        <f t="shared" si="107"/>
        <v>9.7999999998137355E-3</v>
      </c>
      <c r="O832" s="3">
        <f t="shared" si="108"/>
        <v>4.3266666666568199E-2</v>
      </c>
      <c r="P832">
        <f t="shared" si="109"/>
        <v>4.9937777037156955E-5</v>
      </c>
      <c r="Q832">
        <f t="shared" si="110"/>
        <v>9.6039999996349216E-5</v>
      </c>
      <c r="R832">
        <f t="shared" si="111"/>
        <v>1.8720044444359236E-3</v>
      </c>
      <c r="S832">
        <f t="shared" si="112"/>
        <v>1.4597777703350616E-4</v>
      </c>
      <c r="T832">
        <f t="shared" si="105"/>
        <v>1.2082126345701992E-2</v>
      </c>
    </row>
    <row r="833" spans="1:20" x14ac:dyDescent="0.3">
      <c r="A833" s="2" t="s">
        <v>1279</v>
      </c>
      <c r="B833" s="2" t="s">
        <v>1204</v>
      </c>
      <c r="C833" s="2" t="s">
        <v>1120</v>
      </c>
      <c r="D833" s="2" t="s">
        <v>1019</v>
      </c>
      <c r="E833">
        <v>547579.71959999995</v>
      </c>
      <c r="F833">
        <v>194891.52969999998</v>
      </c>
      <c r="G833">
        <v>709.17666666666662</v>
      </c>
      <c r="J833" s="5" t="s">
        <v>1261</v>
      </c>
      <c r="K833" s="5" t="s">
        <v>1262</v>
      </c>
      <c r="L833" s="5" t="s">
        <v>1293</v>
      </c>
      <c r="M833" s="3">
        <f t="shared" si="106"/>
        <v>-6.8999999202787876E-3</v>
      </c>
      <c r="N833" s="3">
        <f t="shared" si="107"/>
        <v>-1.1999999987892807E-3</v>
      </c>
      <c r="O833" s="3">
        <f t="shared" si="108"/>
        <v>8.9266666666617311E-2</v>
      </c>
      <c r="P833">
        <f t="shared" si="109"/>
        <v>4.7609998899847275E-5</v>
      </c>
      <c r="Q833">
        <f t="shared" si="110"/>
        <v>1.4399999970942736E-6</v>
      </c>
      <c r="R833">
        <f t="shared" si="111"/>
        <v>7.9685377777689668E-3</v>
      </c>
      <c r="S833">
        <f t="shared" si="112"/>
        <v>4.9049998896941546E-5</v>
      </c>
      <c r="T833">
        <f t="shared" si="105"/>
        <v>7.0035704392075295E-3</v>
      </c>
    </row>
    <row r="834" spans="1:20" x14ac:dyDescent="0.3">
      <c r="A834" s="2" t="s">
        <v>1279</v>
      </c>
      <c r="B834" s="2" t="s">
        <v>1205</v>
      </c>
      <c r="C834" s="2" t="s">
        <v>1120</v>
      </c>
      <c r="D834" s="2" t="s">
        <v>423</v>
      </c>
      <c r="E834">
        <v>541112.81849999994</v>
      </c>
      <c r="F834">
        <v>182324.58956666666</v>
      </c>
      <c r="G834">
        <v>481.34433333333328</v>
      </c>
      <c r="J834" s="5" t="s">
        <v>1263</v>
      </c>
      <c r="K834" s="5" t="s">
        <v>1264</v>
      </c>
      <c r="L834" s="5" t="s">
        <v>1294</v>
      </c>
      <c r="M834" s="3">
        <f t="shared" si="106"/>
        <v>6.1000001151114702E-3</v>
      </c>
      <c r="N834" s="3">
        <f t="shared" si="107"/>
        <v>-6.3666666683275253E-3</v>
      </c>
      <c r="O834" s="3">
        <f t="shared" si="108"/>
        <v>0.124533333333261</v>
      </c>
      <c r="P834">
        <f t="shared" si="109"/>
        <v>3.721000140435995E-5</v>
      </c>
      <c r="Q834">
        <f t="shared" si="110"/>
        <v>4.053444446559271E-5</v>
      </c>
      <c r="R834">
        <f t="shared" si="111"/>
        <v>1.5508551111093095E-2</v>
      </c>
      <c r="S834">
        <f t="shared" si="112"/>
        <v>7.774444586995266E-5</v>
      </c>
      <c r="T834">
        <f t="shared" si="105"/>
        <v>8.817281092828597E-3</v>
      </c>
    </row>
    <row r="835" spans="1:20" x14ac:dyDescent="0.3">
      <c r="A835" s="2" t="s">
        <v>1279</v>
      </c>
      <c r="B835" s="2" t="s">
        <v>1205</v>
      </c>
      <c r="C835" s="2" t="s">
        <v>1120</v>
      </c>
      <c r="D835" s="2" t="s">
        <v>1019</v>
      </c>
      <c r="E835">
        <v>541112.80956666672</v>
      </c>
      <c r="F835">
        <v>182324.58823333331</v>
      </c>
      <c r="G835">
        <v>481.33633333333336</v>
      </c>
      <c r="J835" s="5" t="s">
        <v>1263</v>
      </c>
      <c r="K835" s="5" t="s">
        <v>1264</v>
      </c>
      <c r="L835" s="5" t="s">
        <v>1294</v>
      </c>
      <c r="M835" s="3">
        <f t="shared" si="106"/>
        <v>1.5033333329483867E-2</v>
      </c>
      <c r="N835" s="3">
        <f t="shared" si="107"/>
        <v>-5.0333333201706409E-3</v>
      </c>
      <c r="O835" s="3">
        <f t="shared" si="108"/>
        <v>0.11653333333333649</v>
      </c>
      <c r="P835">
        <f t="shared" si="109"/>
        <v>2.2600111099537048E-4</v>
      </c>
      <c r="Q835">
        <f t="shared" si="110"/>
        <v>2.5334444311940008E-5</v>
      </c>
      <c r="R835">
        <f t="shared" si="111"/>
        <v>1.3580017777778513E-2</v>
      </c>
      <c r="S835">
        <f t="shared" si="112"/>
        <v>2.5133555530731049E-4</v>
      </c>
      <c r="T835">
        <f t="shared" ref="T835:T864" si="113">SQRT(S835)</f>
        <v>1.5853566012330175E-2</v>
      </c>
    </row>
    <row r="836" spans="1:20" x14ac:dyDescent="0.3">
      <c r="A836" s="2" t="s">
        <v>1279</v>
      </c>
      <c r="B836" s="2" t="s">
        <v>1206</v>
      </c>
      <c r="C836" s="2" t="s">
        <v>1108</v>
      </c>
      <c r="D836" s="2" t="s">
        <v>30</v>
      </c>
      <c r="E836">
        <v>541112.82723333326</v>
      </c>
      <c r="F836">
        <v>182324.59636666664</v>
      </c>
      <c r="G836">
        <v>481.26466666666664</v>
      </c>
      <c r="J836" s="5" t="s">
        <v>1265</v>
      </c>
      <c r="K836" s="5" t="s">
        <v>1266</v>
      </c>
      <c r="L836" s="5" t="s">
        <v>1294</v>
      </c>
      <c r="M836" s="3">
        <f t="shared" si="106"/>
        <v>-2.6333332061767578E-3</v>
      </c>
      <c r="N836" s="3">
        <f t="shared" si="107"/>
        <v>-1.3166666642064229E-2</v>
      </c>
      <c r="O836" s="3">
        <f t="shared" si="108"/>
        <v>4.4866666666621313E-2</v>
      </c>
      <c r="P836">
        <f t="shared" si="109"/>
        <v>6.9344437747531629E-6</v>
      </c>
      <c r="Q836">
        <f t="shared" si="110"/>
        <v>1.7336111046324692E-4</v>
      </c>
      <c r="R836">
        <f t="shared" si="111"/>
        <v>2.013017777773708E-3</v>
      </c>
      <c r="S836">
        <f t="shared" si="112"/>
        <v>1.8029555423800008E-4</v>
      </c>
      <c r="T836">
        <f t="shared" si="113"/>
        <v>1.342741800339887E-2</v>
      </c>
    </row>
    <row r="837" spans="1:20" x14ac:dyDescent="0.3">
      <c r="A837" s="2" t="s">
        <v>1279</v>
      </c>
      <c r="B837" s="2" t="s">
        <v>1206</v>
      </c>
      <c r="C837" s="2" t="s">
        <v>1108</v>
      </c>
      <c r="D837" s="2" t="s">
        <v>1112</v>
      </c>
      <c r="E837">
        <v>541112.79516666662</v>
      </c>
      <c r="F837">
        <v>182324.61416666667</v>
      </c>
      <c r="G837">
        <v>481.29133333333334</v>
      </c>
      <c r="J837" s="5" t="s">
        <v>1265</v>
      </c>
      <c r="K837" s="5" t="s">
        <v>1266</v>
      </c>
      <c r="L837" s="5" t="s">
        <v>1294</v>
      </c>
      <c r="M837" s="3">
        <f t="shared" si="106"/>
        <v>2.9433333431370556E-2</v>
      </c>
      <c r="N837" s="3">
        <f t="shared" si="107"/>
        <v>-3.0966666672611609E-2</v>
      </c>
      <c r="O837" s="3">
        <f t="shared" si="108"/>
        <v>7.153333333332057E-2</v>
      </c>
      <c r="P837">
        <f t="shared" si="109"/>
        <v>8.6632111688223564E-4</v>
      </c>
      <c r="Q837">
        <f t="shared" si="110"/>
        <v>9.5893444481263458E-4</v>
      </c>
      <c r="R837">
        <f t="shared" si="111"/>
        <v>5.1170177777759519E-3</v>
      </c>
      <c r="S837">
        <f t="shared" si="112"/>
        <v>1.8252555616948703E-3</v>
      </c>
      <c r="T837">
        <f t="shared" si="113"/>
        <v>4.2723009745275091E-2</v>
      </c>
    </row>
    <row r="838" spans="1:20" x14ac:dyDescent="0.3">
      <c r="A838" s="2" t="s">
        <v>1279</v>
      </c>
      <c r="B838" s="2" t="s">
        <v>1206</v>
      </c>
      <c r="C838" s="2" t="s">
        <v>1108</v>
      </c>
      <c r="D838" s="2" t="s">
        <v>37</v>
      </c>
      <c r="E838">
        <v>541112.81589999993</v>
      </c>
      <c r="F838">
        <v>182324.6011</v>
      </c>
      <c r="G838">
        <v>481.29366666666664</v>
      </c>
      <c r="J838" s="5" t="s">
        <v>1265</v>
      </c>
      <c r="K838" s="5" t="s">
        <v>1266</v>
      </c>
      <c r="L838" s="5" t="s">
        <v>1294</v>
      </c>
      <c r="M838" s="3">
        <f t="shared" si="106"/>
        <v>8.7000001221895218E-3</v>
      </c>
      <c r="N838" s="3">
        <f t="shared" si="107"/>
        <v>-1.7900000006193295E-2</v>
      </c>
      <c r="O838" s="3">
        <f t="shared" si="108"/>
        <v>7.3866666666617675E-2</v>
      </c>
      <c r="P838">
        <f t="shared" si="109"/>
        <v>7.5690002126097694E-5</v>
      </c>
      <c r="Q838">
        <f t="shared" si="110"/>
        <v>3.2041000022171997E-4</v>
      </c>
      <c r="R838">
        <f t="shared" si="111"/>
        <v>5.4562844444372071E-3</v>
      </c>
      <c r="S838">
        <f t="shared" si="112"/>
        <v>3.9610000234781767E-4</v>
      </c>
      <c r="T838">
        <f t="shared" si="113"/>
        <v>1.9902261237050869E-2</v>
      </c>
    </row>
    <row r="839" spans="1:20" x14ac:dyDescent="0.3">
      <c r="A839" s="2" t="s">
        <v>1279</v>
      </c>
      <c r="B839" s="2" t="s">
        <v>1206</v>
      </c>
      <c r="C839" s="2" t="s">
        <v>1108</v>
      </c>
      <c r="D839" s="2" t="s">
        <v>46</v>
      </c>
      <c r="E839">
        <v>541112.82376666658</v>
      </c>
      <c r="F839">
        <v>182324.58739999999</v>
      </c>
      <c r="G839">
        <v>481.28333333333336</v>
      </c>
      <c r="J839" s="5" t="s">
        <v>1265</v>
      </c>
      <c r="K839" s="5" t="s">
        <v>1266</v>
      </c>
      <c r="L839" s="5" t="s">
        <v>1294</v>
      </c>
      <c r="M839" s="3">
        <f t="shared" si="106"/>
        <v>8.3333346992731094E-4</v>
      </c>
      <c r="N839" s="3">
        <f t="shared" si="107"/>
        <v>-4.1999999957624823E-3</v>
      </c>
      <c r="O839" s="3">
        <f t="shared" si="108"/>
        <v>6.3533333333339215E-2</v>
      </c>
      <c r="P839">
        <f t="shared" si="109"/>
        <v>6.9444467210109245E-7</v>
      </c>
      <c r="Q839">
        <f t="shared" si="110"/>
        <v>1.763999996440485E-5</v>
      </c>
      <c r="R839">
        <f t="shared" si="111"/>
        <v>4.0364844444451915E-3</v>
      </c>
      <c r="S839">
        <f t="shared" si="112"/>
        <v>1.8334444636505943E-5</v>
      </c>
      <c r="T839">
        <f t="shared" si="113"/>
        <v>4.2818739631738274E-3</v>
      </c>
    </row>
    <row r="840" spans="1:20" x14ac:dyDescent="0.3">
      <c r="A840" s="2" t="s">
        <v>1279</v>
      </c>
      <c r="B840" s="2" t="s">
        <v>1207</v>
      </c>
      <c r="C840" s="2" t="s">
        <v>1120</v>
      </c>
      <c r="D840" s="2" t="s">
        <v>1019</v>
      </c>
      <c r="E840">
        <v>540492.94006666669</v>
      </c>
      <c r="F840">
        <v>172014.33229999998</v>
      </c>
      <c r="G840">
        <v>386.95400000000001</v>
      </c>
      <c r="J840" s="5" t="s">
        <v>1267</v>
      </c>
      <c r="K840" s="5" t="s">
        <v>1268</v>
      </c>
      <c r="L840" s="5" t="s">
        <v>1295</v>
      </c>
      <c r="M840" s="3">
        <f t="shared" si="106"/>
        <v>1.0533333290368319E-2</v>
      </c>
      <c r="N840" s="3">
        <f t="shared" si="107"/>
        <v>-8.0999999772757292E-3</v>
      </c>
      <c r="O840" s="3">
        <f t="shared" si="108"/>
        <v>0.13470000000000937</v>
      </c>
      <c r="P840">
        <f t="shared" si="109"/>
        <v>1.1095111020598147E-4</v>
      </c>
      <c r="Q840">
        <f t="shared" si="110"/>
        <v>6.5609999631866813E-5</v>
      </c>
      <c r="R840">
        <f t="shared" si="111"/>
        <v>1.8144090000002524E-2</v>
      </c>
      <c r="S840">
        <f t="shared" si="112"/>
        <v>1.7656110983784828E-4</v>
      </c>
      <c r="T840">
        <f t="shared" si="113"/>
        <v>1.3287629955633483E-2</v>
      </c>
    </row>
    <row r="841" spans="1:20" x14ac:dyDescent="0.3">
      <c r="A841" s="2" t="s">
        <v>1279</v>
      </c>
      <c r="B841" s="2" t="s">
        <v>1207</v>
      </c>
      <c r="C841" s="2" t="s">
        <v>1120</v>
      </c>
      <c r="D841" s="2" t="s">
        <v>423</v>
      </c>
      <c r="E841">
        <v>540492.94423333334</v>
      </c>
      <c r="F841">
        <v>172014.32620000001</v>
      </c>
      <c r="G841">
        <v>386.95566666666667</v>
      </c>
      <c r="J841" s="5" t="s">
        <v>1267</v>
      </c>
      <c r="K841" s="5" t="s">
        <v>1268</v>
      </c>
      <c r="L841" s="5" t="s">
        <v>1295</v>
      </c>
      <c r="M841" s="3">
        <f t="shared" si="106"/>
        <v>6.3666666392236948E-3</v>
      </c>
      <c r="N841" s="3">
        <f t="shared" si="107"/>
        <v>-2.0000000076834112E-3</v>
      </c>
      <c r="O841" s="3">
        <f t="shared" si="108"/>
        <v>0.13636666666667452</v>
      </c>
      <c r="P841">
        <f t="shared" si="109"/>
        <v>4.0534444095003937E-5</v>
      </c>
      <c r="Q841">
        <f t="shared" si="110"/>
        <v>4.000000030733645E-6</v>
      </c>
      <c r="R841">
        <f t="shared" si="111"/>
        <v>1.8595867777779919E-2</v>
      </c>
      <c r="S841">
        <f t="shared" si="112"/>
        <v>4.4534444125737581E-5</v>
      </c>
      <c r="T841">
        <f t="shared" si="113"/>
        <v>6.6734132290558468E-3</v>
      </c>
    </row>
    <row r="842" spans="1:20" x14ac:dyDescent="0.3">
      <c r="A842" s="2" t="s">
        <v>1279</v>
      </c>
      <c r="B842" s="2" t="s">
        <v>1208</v>
      </c>
      <c r="C842" s="2" t="s">
        <v>1114</v>
      </c>
      <c r="D842" s="2" t="s">
        <v>63</v>
      </c>
      <c r="E842">
        <v>540492.91356666666</v>
      </c>
      <c r="F842">
        <v>172014.31389999998</v>
      </c>
      <c r="G842">
        <v>386.91733333333332</v>
      </c>
      <c r="J842" s="5" t="s">
        <v>1269</v>
      </c>
      <c r="K842" s="5" t="s">
        <v>1270</v>
      </c>
      <c r="L842" s="5" t="s">
        <v>1295</v>
      </c>
      <c r="M842" s="3">
        <f t="shared" si="106"/>
        <v>3.7033333326689899E-2</v>
      </c>
      <c r="N842" s="3">
        <f t="shared" si="107"/>
        <v>1.0300000023562461E-2</v>
      </c>
      <c r="O842" s="3">
        <f t="shared" si="108"/>
        <v>9.8033333333319206E-2</v>
      </c>
      <c r="P842">
        <f t="shared" si="109"/>
        <v>1.3714677772857207E-3</v>
      </c>
      <c r="Q842">
        <f t="shared" si="110"/>
        <v>1.060900004853867E-4</v>
      </c>
      <c r="R842">
        <f t="shared" si="111"/>
        <v>9.6105344444416749E-3</v>
      </c>
      <c r="S842">
        <f t="shared" si="112"/>
        <v>1.4775577777711075E-3</v>
      </c>
      <c r="T842">
        <f t="shared" si="113"/>
        <v>3.8439013746077146E-2</v>
      </c>
    </row>
    <row r="843" spans="1:20" x14ac:dyDescent="0.3">
      <c r="A843" s="2" t="s">
        <v>1279</v>
      </c>
      <c r="B843" s="2" t="s">
        <v>1208</v>
      </c>
      <c r="C843" s="2" t="s">
        <v>1114</v>
      </c>
      <c r="D843" s="2" t="s">
        <v>30</v>
      </c>
      <c r="E843">
        <v>540492.93823333329</v>
      </c>
      <c r="F843">
        <v>172014.31820000001</v>
      </c>
      <c r="G843">
        <v>386.91566666666671</v>
      </c>
      <c r="J843" s="5" t="s">
        <v>1269</v>
      </c>
      <c r="K843" s="5" t="s">
        <v>1270</v>
      </c>
      <c r="L843" s="5" t="s">
        <v>1295</v>
      </c>
      <c r="M843" s="3">
        <f t="shared" si="106"/>
        <v>1.2366666691377759E-2</v>
      </c>
      <c r="N843" s="3">
        <f t="shared" si="107"/>
        <v>5.9999999939464033E-3</v>
      </c>
      <c r="O843" s="3">
        <f t="shared" si="108"/>
        <v>9.6366666666710898E-2</v>
      </c>
      <c r="P843">
        <f t="shared" si="109"/>
        <v>1.5293444505563213E-4</v>
      </c>
      <c r="Q843">
        <f t="shared" si="110"/>
        <v>3.5999999927356836E-5</v>
      </c>
      <c r="R843">
        <f t="shared" si="111"/>
        <v>9.28653444445297E-3</v>
      </c>
      <c r="S843">
        <f t="shared" si="112"/>
        <v>1.8893444498298896E-4</v>
      </c>
      <c r="T843">
        <f t="shared" si="113"/>
        <v>1.3745342665171682E-2</v>
      </c>
    </row>
    <row r="844" spans="1:20" x14ac:dyDescent="0.3">
      <c r="A844" s="2" t="s">
        <v>1279</v>
      </c>
      <c r="B844" s="2" t="s">
        <v>1208</v>
      </c>
      <c r="C844" s="2" t="s">
        <v>1114</v>
      </c>
      <c r="D844" s="2" t="s">
        <v>52</v>
      </c>
      <c r="E844">
        <v>540492.9454666666</v>
      </c>
      <c r="F844">
        <v>172014.31656666668</v>
      </c>
      <c r="G844">
        <v>386.87933333333331</v>
      </c>
      <c r="J844" s="5" t="s">
        <v>1269</v>
      </c>
      <c r="K844" s="5" t="s">
        <v>1270</v>
      </c>
      <c r="L844" s="5" t="s">
        <v>1295</v>
      </c>
      <c r="M844" s="3">
        <f t="shared" si="106"/>
        <v>5.133333383128047E-3</v>
      </c>
      <c r="N844" s="3">
        <f t="shared" si="107"/>
        <v>7.6333333272486925E-3</v>
      </c>
      <c r="O844" s="3">
        <f t="shared" si="108"/>
        <v>6.0033333333308292E-2</v>
      </c>
      <c r="P844">
        <f t="shared" si="109"/>
        <v>2.635111162233684E-5</v>
      </c>
      <c r="Q844">
        <f t="shared" si="110"/>
        <v>5.8267777684885595E-5</v>
      </c>
      <c r="R844">
        <f t="shared" si="111"/>
        <v>3.6040011111081044E-3</v>
      </c>
      <c r="S844">
        <f t="shared" si="112"/>
        <v>8.4618889307222435E-5</v>
      </c>
      <c r="T844">
        <f t="shared" si="113"/>
        <v>9.1988526081910032E-3</v>
      </c>
    </row>
    <row r="845" spans="1:20" x14ac:dyDescent="0.3">
      <c r="A845" s="2" t="s">
        <v>1279</v>
      </c>
      <c r="B845" s="2" t="s">
        <v>1208</v>
      </c>
      <c r="C845" s="2" t="s">
        <v>1108</v>
      </c>
      <c r="D845" s="2" t="s">
        <v>30</v>
      </c>
      <c r="E845">
        <v>540492.9621</v>
      </c>
      <c r="F845">
        <v>172014.3279</v>
      </c>
      <c r="G845">
        <v>386.88133333333332</v>
      </c>
      <c r="J845" s="5" t="s">
        <v>1269</v>
      </c>
      <c r="K845" s="5" t="s">
        <v>1270</v>
      </c>
      <c r="L845" s="5" t="s">
        <v>1295</v>
      </c>
      <c r="M845" s="3">
        <f t="shared" si="106"/>
        <v>-1.1500000022351742E-2</v>
      </c>
      <c r="N845" s="3">
        <f t="shared" si="107"/>
        <v>-3.7000000011175871E-3</v>
      </c>
      <c r="O845" s="3">
        <f t="shared" si="108"/>
        <v>6.2033333333317842E-2</v>
      </c>
      <c r="P845">
        <f t="shared" si="109"/>
        <v>1.3225000051409006E-4</v>
      </c>
      <c r="Q845">
        <f t="shared" si="110"/>
        <v>1.3690000008270144E-5</v>
      </c>
      <c r="R845">
        <f t="shared" si="111"/>
        <v>3.8481344444425223E-3</v>
      </c>
      <c r="S845">
        <f t="shared" si="112"/>
        <v>1.4594000052236021E-4</v>
      </c>
      <c r="T845">
        <f t="shared" si="113"/>
        <v>1.2080562922412193E-2</v>
      </c>
    </row>
    <row r="846" spans="1:20" x14ac:dyDescent="0.3">
      <c r="A846" s="2" t="s">
        <v>1279</v>
      </c>
      <c r="B846" s="2" t="s">
        <v>1208</v>
      </c>
      <c r="C846" s="2" t="s">
        <v>1108</v>
      </c>
      <c r="D846" s="2" t="s">
        <v>1112</v>
      </c>
      <c r="E846">
        <v>540492.97919999994</v>
      </c>
      <c r="F846">
        <v>172014.32610000001</v>
      </c>
      <c r="G846">
        <v>386.86933333333337</v>
      </c>
      <c r="J846" s="5" t="s">
        <v>1269</v>
      </c>
      <c r="K846" s="5" t="s">
        <v>1270</v>
      </c>
      <c r="L846" s="5" t="s">
        <v>1295</v>
      </c>
      <c r="M846" s="3">
        <f t="shared" si="106"/>
        <v>-2.8599999961443245E-2</v>
      </c>
      <c r="N846" s="3">
        <f t="shared" si="107"/>
        <v>-1.9000000029336661E-3</v>
      </c>
      <c r="O846" s="3">
        <f t="shared" si="108"/>
        <v>5.003333333337423E-2</v>
      </c>
      <c r="P846">
        <f t="shared" si="109"/>
        <v>8.1795999779455363E-4</v>
      </c>
      <c r="Q846">
        <f t="shared" si="110"/>
        <v>3.6100000111479312E-6</v>
      </c>
      <c r="R846">
        <f t="shared" si="111"/>
        <v>2.5033344444485369E-3</v>
      </c>
      <c r="S846">
        <f t="shared" si="112"/>
        <v>8.2156999780570153E-4</v>
      </c>
      <c r="T846">
        <f t="shared" si="113"/>
        <v>2.8663042368278033E-2</v>
      </c>
    </row>
    <row r="847" spans="1:20" x14ac:dyDescent="0.3">
      <c r="A847" s="2" t="s">
        <v>1279</v>
      </c>
      <c r="B847" s="2" t="s">
        <v>1208</v>
      </c>
      <c r="C847" s="2" t="s">
        <v>1108</v>
      </c>
      <c r="D847" s="2" t="s">
        <v>37</v>
      </c>
      <c r="E847">
        <v>540492.94763333339</v>
      </c>
      <c r="F847">
        <v>172014.32573333333</v>
      </c>
      <c r="G847">
        <v>386.90366666666665</v>
      </c>
      <c r="J847" s="5" t="s">
        <v>1269</v>
      </c>
      <c r="K847" s="5" t="s">
        <v>1270</v>
      </c>
      <c r="L847" s="5" t="s">
        <v>1295</v>
      </c>
      <c r="M847" s="3">
        <f t="shared" si="106"/>
        <v>2.9666665941476822E-3</v>
      </c>
      <c r="N847" s="3">
        <f t="shared" si="107"/>
        <v>-1.5333333285525441E-3</v>
      </c>
      <c r="O847" s="3">
        <f t="shared" si="108"/>
        <v>8.43666666666536E-2</v>
      </c>
      <c r="P847">
        <f t="shared" si="109"/>
        <v>8.8011106808318085E-6</v>
      </c>
      <c r="Q847">
        <f t="shared" si="110"/>
        <v>2.3511110964500242E-6</v>
      </c>
      <c r="R847">
        <f t="shared" si="111"/>
        <v>7.1177344444422396E-3</v>
      </c>
      <c r="S847">
        <f t="shared" si="112"/>
        <v>1.1152221777281833E-5</v>
      </c>
      <c r="T847">
        <f t="shared" si="113"/>
        <v>3.3394942397437719E-3</v>
      </c>
    </row>
    <row r="848" spans="1:20" x14ac:dyDescent="0.3">
      <c r="A848" s="2" t="s">
        <v>1279</v>
      </c>
      <c r="B848" s="2" t="s">
        <v>1208</v>
      </c>
      <c r="C848" s="2" t="s">
        <v>1108</v>
      </c>
      <c r="D848" s="2" t="s">
        <v>46</v>
      </c>
      <c r="E848">
        <v>540492.94936666673</v>
      </c>
      <c r="F848">
        <v>172014.32916666663</v>
      </c>
      <c r="G848">
        <v>386.87033333333329</v>
      </c>
      <c r="J848" s="5" t="s">
        <v>1269</v>
      </c>
      <c r="K848" s="5" t="s">
        <v>1270</v>
      </c>
      <c r="L848" s="5" t="s">
        <v>1295</v>
      </c>
      <c r="M848" s="3">
        <f t="shared" si="106"/>
        <v>1.2333332560956478E-3</v>
      </c>
      <c r="N848" s="3">
        <f t="shared" si="107"/>
        <v>-4.9666666309349239E-3</v>
      </c>
      <c r="O848" s="3">
        <f t="shared" si="108"/>
        <v>5.103333333329374E-2</v>
      </c>
      <c r="P848">
        <f t="shared" si="109"/>
        <v>1.5211109205914928E-6</v>
      </c>
      <c r="Q848">
        <f t="shared" si="110"/>
        <v>2.4667777422842467E-5</v>
      </c>
      <c r="R848">
        <f t="shared" si="111"/>
        <v>2.6044011111070698E-3</v>
      </c>
      <c r="S848">
        <f t="shared" si="112"/>
        <v>2.618888834343396E-5</v>
      </c>
      <c r="T848">
        <f t="shared" si="113"/>
        <v>5.1175080208470565E-3</v>
      </c>
    </row>
    <row r="849" spans="1:20" x14ac:dyDescent="0.3">
      <c r="A849" s="2" t="s">
        <v>1279</v>
      </c>
      <c r="B849" s="2" t="s">
        <v>1209</v>
      </c>
      <c r="C849" s="2" t="s">
        <v>1120</v>
      </c>
      <c r="D849" s="2" t="s">
        <v>1019</v>
      </c>
      <c r="E849" s="8">
        <v>548373.61029999994</v>
      </c>
      <c r="F849" s="8">
        <v>151948.19846666665</v>
      </c>
      <c r="G849" s="8">
        <v>507.92400000000004</v>
      </c>
      <c r="J849" s="5" t="s">
        <v>1271</v>
      </c>
      <c r="K849" s="5" t="s">
        <v>1272</v>
      </c>
      <c r="L849" s="5" t="s">
        <v>1296</v>
      </c>
      <c r="M849" s="3">
        <f t="shared" si="106"/>
        <v>5.6000000331550837E-3</v>
      </c>
      <c r="N849" s="3">
        <f t="shared" si="107"/>
        <v>-8.2666666421573609E-3</v>
      </c>
      <c r="O849" s="3">
        <f t="shared" si="108"/>
        <v>5.0000000000011369E-2</v>
      </c>
      <c r="P849">
        <f t="shared" si="109"/>
        <v>3.1360000371336938E-5</v>
      </c>
      <c r="Q849">
        <f t="shared" si="110"/>
        <v>6.8337777372557256E-5</v>
      </c>
      <c r="R849">
        <f t="shared" si="111"/>
        <v>2.5000000000011367E-3</v>
      </c>
      <c r="S849">
        <f t="shared" si="112"/>
        <v>9.9697777743894194E-5</v>
      </c>
      <c r="T849">
        <f t="shared" si="113"/>
        <v>9.9848774526227514E-3</v>
      </c>
    </row>
    <row r="850" spans="1:20" x14ac:dyDescent="0.3">
      <c r="A850" s="2" t="s">
        <v>1279</v>
      </c>
      <c r="B850" s="2" t="s">
        <v>1209</v>
      </c>
      <c r="C850" s="2" t="s">
        <v>1120</v>
      </c>
      <c r="D850" s="2" t="s">
        <v>423</v>
      </c>
      <c r="E850" s="8">
        <v>548373.60770000005</v>
      </c>
      <c r="F850" s="8">
        <v>151948.19636666667</v>
      </c>
      <c r="G850" s="8">
        <v>507.95866666666666</v>
      </c>
      <c r="J850" s="5" t="s">
        <v>1271</v>
      </c>
      <c r="K850" s="5" t="s">
        <v>1272</v>
      </c>
      <c r="L850" s="5" t="s">
        <v>1296</v>
      </c>
      <c r="M850" s="3">
        <f t="shared" si="106"/>
        <v>8.1999999238178134E-3</v>
      </c>
      <c r="N850" s="3">
        <f t="shared" si="107"/>
        <v>-6.166666658828035E-3</v>
      </c>
      <c r="O850" s="3">
        <f t="shared" si="108"/>
        <v>8.4666666666635138E-2</v>
      </c>
      <c r="P850">
        <f t="shared" si="109"/>
        <v>6.7239998750612146E-5</v>
      </c>
      <c r="Q850">
        <f t="shared" si="110"/>
        <v>3.802777768110132E-5</v>
      </c>
      <c r="R850">
        <f t="shared" si="111"/>
        <v>7.1684444444391057E-3</v>
      </c>
      <c r="S850">
        <f t="shared" si="112"/>
        <v>1.0526777643171347E-4</v>
      </c>
      <c r="T850">
        <f t="shared" si="113"/>
        <v>1.0260008598033117E-2</v>
      </c>
    </row>
    <row r="851" spans="1:20" x14ac:dyDescent="0.3">
      <c r="A851" s="2" t="s">
        <v>1279</v>
      </c>
      <c r="B851" s="2" t="s">
        <v>1210</v>
      </c>
      <c r="C851" s="2" t="s">
        <v>1108</v>
      </c>
      <c r="D851" s="2" t="s">
        <v>30</v>
      </c>
      <c r="E851" s="8">
        <v>548373.63029999996</v>
      </c>
      <c r="F851" s="8">
        <v>151948.1989333333</v>
      </c>
      <c r="G851" s="8">
        <v>507.88499999999999</v>
      </c>
      <c r="J851" s="5" t="s">
        <v>1273</v>
      </c>
      <c r="K851" s="5" t="s">
        <v>1274</v>
      </c>
      <c r="L851" s="5" t="s">
        <v>1296</v>
      </c>
      <c r="M851" s="3">
        <f t="shared" si="106"/>
        <v>-1.4399999985471368E-2</v>
      </c>
      <c r="N851" s="3">
        <f t="shared" si="107"/>
        <v>-8.7333332921843976E-3</v>
      </c>
      <c r="O851" s="3">
        <f t="shared" si="108"/>
        <v>1.0999999999967258E-2</v>
      </c>
      <c r="P851">
        <f t="shared" si="109"/>
        <v>2.0735999958157539E-4</v>
      </c>
      <c r="Q851">
        <f t="shared" si="110"/>
        <v>7.6271110392376367E-5</v>
      </c>
      <c r="R851">
        <f t="shared" si="111"/>
        <v>1.2099999999927968E-4</v>
      </c>
      <c r="S851">
        <f t="shared" si="112"/>
        <v>2.8363110997395177E-4</v>
      </c>
      <c r="T851">
        <f t="shared" si="113"/>
        <v>1.6841351192049638E-2</v>
      </c>
    </row>
    <row r="852" spans="1:20" x14ac:dyDescent="0.3">
      <c r="A852" s="2" t="s">
        <v>1279</v>
      </c>
      <c r="B852" s="2" t="s">
        <v>1210</v>
      </c>
      <c r="C852" s="2" t="s">
        <v>1108</v>
      </c>
      <c r="D852" s="2" t="s">
        <v>1112</v>
      </c>
      <c r="E852" s="8">
        <v>548373.62706666661</v>
      </c>
      <c r="F852" s="8">
        <v>151948.17663333332</v>
      </c>
      <c r="G852" s="8">
        <v>507.83933333333334</v>
      </c>
      <c r="J852" s="5" t="s">
        <v>1273</v>
      </c>
      <c r="K852" s="5" t="s">
        <v>1274</v>
      </c>
      <c r="L852" s="5" t="s">
        <v>1296</v>
      </c>
      <c r="M852" s="3">
        <f t="shared" si="106"/>
        <v>-1.1166666634380817E-2</v>
      </c>
      <c r="N852" s="3">
        <f t="shared" si="107"/>
        <v>1.356666669016704E-2</v>
      </c>
      <c r="O852" s="3">
        <f t="shared" si="108"/>
        <v>3.4666666666680612E-2</v>
      </c>
      <c r="P852">
        <f t="shared" si="109"/>
        <v>1.2469444372339381E-4</v>
      </c>
      <c r="Q852">
        <f t="shared" si="110"/>
        <v>1.8405444508208789E-4</v>
      </c>
      <c r="R852">
        <f t="shared" si="111"/>
        <v>1.2017777777787446E-3</v>
      </c>
      <c r="S852">
        <f t="shared" si="112"/>
        <v>3.0874888880548171E-4</v>
      </c>
      <c r="T852">
        <f t="shared" si="113"/>
        <v>1.7571251771159667E-2</v>
      </c>
    </row>
    <row r="853" spans="1:20" x14ac:dyDescent="0.3">
      <c r="A853" s="2" t="s">
        <v>1279</v>
      </c>
      <c r="B853" s="2" t="s">
        <v>1210</v>
      </c>
      <c r="C853" s="2" t="s">
        <v>1108</v>
      </c>
      <c r="D853" s="2" t="s">
        <v>37</v>
      </c>
      <c r="E853" s="8">
        <v>548373.61316666671</v>
      </c>
      <c r="F853" s="8">
        <v>151948.19073333335</v>
      </c>
      <c r="G853" s="8">
        <v>507.88133333333332</v>
      </c>
      <c r="J853" s="5" t="s">
        <v>1273</v>
      </c>
      <c r="K853" s="5" t="s">
        <v>1274</v>
      </c>
      <c r="L853" s="5" t="s">
        <v>1296</v>
      </c>
      <c r="M853" s="3">
        <f t="shared" si="106"/>
        <v>2.7333332691341639E-3</v>
      </c>
      <c r="N853" s="3">
        <f t="shared" si="107"/>
        <v>-5.3333333926275373E-4</v>
      </c>
      <c r="O853" s="3">
        <f t="shared" si="108"/>
        <v>7.3333333332925577E-3</v>
      </c>
      <c r="P853">
        <f t="shared" si="109"/>
        <v>7.4711107601556554E-6</v>
      </c>
      <c r="Q853">
        <f t="shared" si="110"/>
        <v>2.8444445076915956E-7</v>
      </c>
      <c r="R853">
        <f t="shared" si="111"/>
        <v>5.3777777777179735E-5</v>
      </c>
      <c r="S853">
        <f t="shared" si="112"/>
        <v>7.755555210924815E-6</v>
      </c>
      <c r="T853">
        <f t="shared" si="113"/>
        <v>2.7848797480187208E-3</v>
      </c>
    </row>
    <row r="854" spans="1:20" x14ac:dyDescent="0.3">
      <c r="A854" s="2" t="s">
        <v>1279</v>
      </c>
      <c r="B854" s="2" t="s">
        <v>1210</v>
      </c>
      <c r="C854" s="2" t="s">
        <v>1108</v>
      </c>
      <c r="D854" s="2" t="s">
        <v>46</v>
      </c>
      <c r="E854" s="8">
        <v>548373.60943333339</v>
      </c>
      <c r="F854" s="8">
        <v>151948.18830000001</v>
      </c>
      <c r="G854" s="8">
        <v>507.89266666666668</v>
      </c>
      <c r="J854" s="5" t="s">
        <v>1273</v>
      </c>
      <c r="K854" s="5" t="s">
        <v>1274</v>
      </c>
      <c r="L854" s="5" t="s">
        <v>1296</v>
      </c>
      <c r="M854" s="3">
        <f t="shared" si="106"/>
        <v>6.466666585765779E-3</v>
      </c>
      <c r="N854" s="3">
        <f t="shared" si="107"/>
        <v>1.9000000029336661E-3</v>
      </c>
      <c r="O854" s="3">
        <f t="shared" si="108"/>
        <v>1.8666666666661058E-2</v>
      </c>
      <c r="P854">
        <f t="shared" si="109"/>
        <v>4.1817776731459637E-5</v>
      </c>
      <c r="Q854">
        <f t="shared" si="110"/>
        <v>3.6100000111479312E-6</v>
      </c>
      <c r="R854">
        <f t="shared" si="111"/>
        <v>3.4844444444423505E-4</v>
      </c>
      <c r="S854">
        <f t="shared" si="112"/>
        <v>4.5427776742607568E-5</v>
      </c>
      <c r="T854">
        <f t="shared" si="113"/>
        <v>6.7400131114566508E-3</v>
      </c>
    </row>
    <row r="855" spans="1:20" x14ac:dyDescent="0.3">
      <c r="A855" s="2" t="s">
        <v>1279</v>
      </c>
      <c r="B855" s="2" t="s">
        <v>1210</v>
      </c>
      <c r="C855" s="2" t="s">
        <v>1114</v>
      </c>
      <c r="D855" s="2" t="s">
        <v>30</v>
      </c>
      <c r="E855" s="8">
        <v>548373.63016666658</v>
      </c>
      <c r="F855" s="8">
        <v>151948.1854333333</v>
      </c>
      <c r="G855" s="8">
        <v>507.88366666666661</v>
      </c>
      <c r="J855" s="5" t="s">
        <v>1273</v>
      </c>
      <c r="K855" s="5" t="s">
        <v>1274</v>
      </c>
      <c r="L855" s="5" t="s">
        <v>1296</v>
      </c>
      <c r="M855" s="3">
        <f t="shared" si="106"/>
        <v>-1.4266666606999934E-2</v>
      </c>
      <c r="N855" s="3">
        <f t="shared" si="107"/>
        <v>4.766666708746925E-3</v>
      </c>
      <c r="O855" s="3">
        <f t="shared" si="108"/>
        <v>9.6666666665896628E-3</v>
      </c>
      <c r="P855">
        <f t="shared" si="109"/>
        <v>2.0353777607528699E-4</v>
      </c>
      <c r="Q855">
        <f t="shared" si="110"/>
        <v>2.2721111512276241E-5</v>
      </c>
      <c r="R855">
        <f t="shared" si="111"/>
        <v>9.34444444429557E-5</v>
      </c>
      <c r="S855">
        <f t="shared" si="112"/>
        <v>2.2625888758756322E-4</v>
      </c>
      <c r="T855">
        <f t="shared" si="113"/>
        <v>1.504190438699712E-2</v>
      </c>
    </row>
    <row r="856" spans="1:20" x14ac:dyDescent="0.3">
      <c r="A856" s="2" t="s">
        <v>1279</v>
      </c>
      <c r="B856" s="2" t="s">
        <v>1210</v>
      </c>
      <c r="C856" s="2" t="s">
        <v>1114</v>
      </c>
      <c r="D856" s="2" t="s">
        <v>52</v>
      </c>
      <c r="E856" s="8">
        <v>548373.6253999999</v>
      </c>
      <c r="F856" s="8">
        <v>151948.1801</v>
      </c>
      <c r="G856" s="8">
        <v>507.8966666666667</v>
      </c>
      <c r="J856" s="5" t="s">
        <v>1273</v>
      </c>
      <c r="K856" s="5" t="s">
        <v>1274</v>
      </c>
      <c r="L856" s="5" t="s">
        <v>1296</v>
      </c>
      <c r="M856" s="3">
        <f t="shared" si="106"/>
        <v>-9.4999999273568392E-3</v>
      </c>
      <c r="N856" s="3">
        <f t="shared" si="107"/>
        <v>1.0100000014062971E-2</v>
      </c>
      <c r="O856" s="3">
        <f t="shared" si="108"/>
        <v>2.2666666666680158E-2</v>
      </c>
      <c r="P856">
        <f t="shared" si="109"/>
        <v>9.024999861977995E-5</v>
      </c>
      <c r="Q856">
        <f t="shared" si="110"/>
        <v>1.0201000028407201E-4</v>
      </c>
      <c r="R856">
        <f t="shared" si="111"/>
        <v>5.1377777777838931E-4</v>
      </c>
      <c r="S856">
        <f t="shared" si="112"/>
        <v>1.9225999890385196E-4</v>
      </c>
      <c r="T856">
        <f t="shared" si="113"/>
        <v>1.3865785188868749E-2</v>
      </c>
    </row>
    <row r="857" spans="1:20" x14ac:dyDescent="0.3">
      <c r="A857" s="2" t="s">
        <v>1279</v>
      </c>
      <c r="B857" s="2" t="s">
        <v>1211</v>
      </c>
      <c r="C857" s="2" t="s">
        <v>1114</v>
      </c>
      <c r="D857" s="2" t="s">
        <v>63</v>
      </c>
      <c r="E857" s="8">
        <v>537781.55260000005</v>
      </c>
      <c r="F857" s="8">
        <v>116367.34823333334</v>
      </c>
      <c r="G857" s="8">
        <v>252.67966666666666</v>
      </c>
      <c r="J857" s="5" t="s">
        <v>1275</v>
      </c>
      <c r="K857" s="5" t="s">
        <v>1276</v>
      </c>
      <c r="L857" s="5" t="s">
        <v>1297</v>
      </c>
      <c r="M857" s="3">
        <f t="shared" si="106"/>
        <v>2.3300000000745058E-2</v>
      </c>
      <c r="N857" s="3">
        <f t="shared" si="107"/>
        <v>8.1666666665114462E-3</v>
      </c>
      <c r="O857" s="3">
        <f t="shared" si="108"/>
        <v>9.8366666666663605E-2</v>
      </c>
      <c r="P857">
        <f t="shared" si="109"/>
        <v>5.4289000003471971E-4</v>
      </c>
      <c r="Q857">
        <f t="shared" si="110"/>
        <v>6.6694444441909174E-5</v>
      </c>
      <c r="R857">
        <f t="shared" si="111"/>
        <v>9.676001111110508E-3</v>
      </c>
      <c r="S857">
        <f t="shared" si="112"/>
        <v>6.0958444447662893E-4</v>
      </c>
      <c r="T857">
        <f t="shared" si="113"/>
        <v>2.4689763961541409E-2</v>
      </c>
    </row>
    <row r="858" spans="1:20" x14ac:dyDescent="0.3">
      <c r="A858" s="2" t="s">
        <v>1279</v>
      </c>
      <c r="B858" s="2" t="s">
        <v>1211</v>
      </c>
      <c r="C858" s="2" t="s">
        <v>1114</v>
      </c>
      <c r="D858" s="2" t="s">
        <v>30</v>
      </c>
      <c r="E858">
        <v>537781.57936666661</v>
      </c>
      <c r="F858">
        <v>116367.36683333333</v>
      </c>
      <c r="G858">
        <v>252.60799999999998</v>
      </c>
      <c r="J858" s="5" t="s">
        <v>1275</v>
      </c>
      <c r="K858" s="5" t="s">
        <v>1276</v>
      </c>
      <c r="L858" s="5" t="s">
        <v>1297</v>
      </c>
      <c r="M858" s="3">
        <f t="shared" si="106"/>
        <v>-3.4666665596887469E-3</v>
      </c>
      <c r="N858" s="3">
        <f t="shared" si="107"/>
        <v>-1.0433333329274319E-2</v>
      </c>
      <c r="O858" s="3">
        <f t="shared" si="108"/>
        <v>2.6699999999976853E-2</v>
      </c>
      <c r="P858">
        <f t="shared" si="109"/>
        <v>1.2017777036064212E-5</v>
      </c>
      <c r="Q858">
        <f t="shared" si="110"/>
        <v>1.0885444435974634E-4</v>
      </c>
      <c r="R858">
        <f t="shared" si="111"/>
        <v>7.12889999998764E-4</v>
      </c>
      <c r="S858">
        <f t="shared" si="112"/>
        <v>1.2087222139581056E-4</v>
      </c>
      <c r="T858">
        <f t="shared" si="113"/>
        <v>1.0994190347443079E-2</v>
      </c>
    </row>
    <row r="859" spans="1:20" x14ac:dyDescent="0.3">
      <c r="A859" s="2" t="s">
        <v>1279</v>
      </c>
      <c r="B859" s="2" t="s">
        <v>1212</v>
      </c>
      <c r="C859" s="2" t="s">
        <v>1114</v>
      </c>
      <c r="D859" s="2" t="s">
        <v>52</v>
      </c>
      <c r="E859">
        <v>537781.58429999999</v>
      </c>
      <c r="F859">
        <v>116367.36829999999</v>
      </c>
      <c r="G859">
        <v>252.60433333333336</v>
      </c>
      <c r="J859" s="5" t="s">
        <v>1277</v>
      </c>
      <c r="K859" s="5" t="s">
        <v>1278</v>
      </c>
      <c r="L859" s="5" t="s">
        <v>1297</v>
      </c>
      <c r="M859" s="3">
        <f t="shared" si="106"/>
        <v>-8.3999999333173037E-3</v>
      </c>
      <c r="N859" s="3">
        <f t="shared" si="107"/>
        <v>-1.1899999983143061E-2</v>
      </c>
      <c r="O859" s="3">
        <f t="shared" si="108"/>
        <v>2.3033333333358996E-2</v>
      </c>
      <c r="P859">
        <f t="shared" si="109"/>
        <v>7.0559998879730706E-5</v>
      </c>
      <c r="Q859">
        <f t="shared" si="110"/>
        <v>1.4160999959880486E-4</v>
      </c>
      <c r="R859">
        <f t="shared" si="111"/>
        <v>5.3053444444562661E-4</v>
      </c>
      <c r="S859">
        <f t="shared" si="112"/>
        <v>2.1216999847853556E-4</v>
      </c>
      <c r="T859">
        <f t="shared" si="113"/>
        <v>1.4566056380453E-2</v>
      </c>
    </row>
    <row r="860" spans="1:20" x14ac:dyDescent="0.3">
      <c r="A860" s="2" t="s">
        <v>1279</v>
      </c>
      <c r="B860" s="2" t="s">
        <v>1212</v>
      </c>
      <c r="C860" s="2" t="s">
        <v>1120</v>
      </c>
      <c r="D860" s="2" t="s">
        <v>423</v>
      </c>
      <c r="E860">
        <v>537781.57350000006</v>
      </c>
      <c r="F860">
        <v>116367.37913333334</v>
      </c>
      <c r="G860">
        <v>252.673</v>
      </c>
      <c r="J860" s="5" t="s">
        <v>1277</v>
      </c>
      <c r="K860" s="5" t="s">
        <v>1278</v>
      </c>
      <c r="L860" s="5" t="s">
        <v>1297</v>
      </c>
      <c r="M860" s="3">
        <f t="shared" si="106"/>
        <v>2.3999999975785613E-3</v>
      </c>
      <c r="N860" s="3">
        <f t="shared" si="107"/>
        <v>-2.2733333331416361E-2</v>
      </c>
      <c r="O860" s="3">
        <f t="shared" si="108"/>
        <v>9.1700000000003001E-2</v>
      </c>
      <c r="P860">
        <f t="shared" si="109"/>
        <v>5.7599999883770943E-6</v>
      </c>
      <c r="Q860">
        <f t="shared" si="110"/>
        <v>5.1680444435728615E-4</v>
      </c>
      <c r="R860">
        <f t="shared" si="111"/>
        <v>8.4088900000005504E-3</v>
      </c>
      <c r="S860">
        <f t="shared" si="112"/>
        <v>5.2256444434566323E-4</v>
      </c>
      <c r="T860">
        <f t="shared" si="113"/>
        <v>2.2859668509093985E-2</v>
      </c>
    </row>
    <row r="861" spans="1:20" x14ac:dyDescent="0.3">
      <c r="A861" s="2" t="s">
        <v>1279</v>
      </c>
      <c r="B861" s="2" t="s">
        <v>1212</v>
      </c>
      <c r="C861" s="2" t="s">
        <v>1108</v>
      </c>
      <c r="D861" s="2" t="s">
        <v>30</v>
      </c>
      <c r="E861">
        <v>537781.56809999992</v>
      </c>
      <c r="F861">
        <v>116367.3729</v>
      </c>
      <c r="G861">
        <v>252.64699999999996</v>
      </c>
      <c r="J861" s="5" t="s">
        <v>1277</v>
      </c>
      <c r="K861" s="5" t="s">
        <v>1278</v>
      </c>
      <c r="L861" s="5" t="s">
        <v>1297</v>
      </c>
      <c r="M861" s="3">
        <f t="shared" si="106"/>
        <v>7.8000001376494765E-3</v>
      </c>
      <c r="N861" s="3">
        <f t="shared" si="107"/>
        <v>-1.6499999997904524E-2</v>
      </c>
      <c r="O861" s="3">
        <f t="shared" si="108"/>
        <v>6.569999999996412E-2</v>
      </c>
      <c r="P861">
        <f t="shared" si="109"/>
        <v>6.0840002147331853E-5</v>
      </c>
      <c r="Q861">
        <f t="shared" si="110"/>
        <v>2.7224999993084929E-4</v>
      </c>
      <c r="R861">
        <f t="shared" si="111"/>
        <v>4.3164899999952851E-3</v>
      </c>
      <c r="S861">
        <f t="shared" si="112"/>
        <v>3.3309000207818113E-4</v>
      </c>
      <c r="T861">
        <f t="shared" si="113"/>
        <v>1.8250753466040274E-2</v>
      </c>
    </row>
    <row r="862" spans="1:20" x14ac:dyDescent="0.3">
      <c r="A862" s="2" t="s">
        <v>1279</v>
      </c>
      <c r="B862" s="2" t="s">
        <v>1212</v>
      </c>
      <c r="C862" s="2" t="s">
        <v>1108</v>
      </c>
      <c r="D862" s="2" t="s">
        <v>1112</v>
      </c>
      <c r="E862">
        <v>537781.56863333331</v>
      </c>
      <c r="F862">
        <v>116367.37270000001</v>
      </c>
      <c r="G862">
        <v>252.63466666666667</v>
      </c>
      <c r="J862" s="5" t="s">
        <v>1277</v>
      </c>
      <c r="K862" s="5" t="s">
        <v>1278</v>
      </c>
      <c r="L862" s="5" t="s">
        <v>1297</v>
      </c>
      <c r="M862" s="3">
        <f t="shared" si="106"/>
        <v>7.2666667401790619E-3</v>
      </c>
      <c r="N862" s="3">
        <f t="shared" si="107"/>
        <v>-1.6300000002956949E-2</v>
      </c>
      <c r="O862" s="3">
        <f t="shared" si="108"/>
        <v>5.336666666667611E-2</v>
      </c>
      <c r="P862">
        <f t="shared" si="109"/>
        <v>5.2804445512824594E-5</v>
      </c>
      <c r="Q862">
        <f t="shared" si="110"/>
        <v>2.6569000009639654E-4</v>
      </c>
      <c r="R862">
        <f t="shared" si="111"/>
        <v>2.8480011111121192E-3</v>
      </c>
      <c r="S862">
        <f t="shared" si="112"/>
        <v>3.1849444560922113E-4</v>
      </c>
      <c r="T862">
        <f t="shared" si="113"/>
        <v>1.7846412681803061E-2</v>
      </c>
    </row>
    <row r="863" spans="1:20" x14ac:dyDescent="0.3">
      <c r="A863" s="2" t="s">
        <v>1279</v>
      </c>
      <c r="B863" s="2" t="s">
        <v>1212</v>
      </c>
      <c r="C863" s="2" t="s">
        <v>1108</v>
      </c>
      <c r="D863" s="2" t="s">
        <v>37</v>
      </c>
      <c r="E863">
        <v>537781.5695333333</v>
      </c>
      <c r="F863">
        <v>116367.34836666666</v>
      </c>
      <c r="G863">
        <v>252.70066666666665</v>
      </c>
      <c r="J863" s="5" t="s">
        <v>1277</v>
      </c>
      <c r="K863" s="5" t="s">
        <v>1278</v>
      </c>
      <c r="L863" s="5" t="s">
        <v>1297</v>
      </c>
      <c r="M863" s="3">
        <f t="shared" si="106"/>
        <v>6.3666667556390166E-3</v>
      </c>
      <c r="N863" s="3">
        <f t="shared" si="107"/>
        <v>8.033333346247673E-3</v>
      </c>
      <c r="O863" s="3">
        <f t="shared" si="108"/>
        <v>0.11936666666665019</v>
      </c>
      <c r="P863">
        <f t="shared" si="109"/>
        <v>4.0534445577359042E-5</v>
      </c>
      <c r="Q863">
        <f t="shared" si="110"/>
        <v>6.4534444651934836E-5</v>
      </c>
      <c r="R863">
        <f t="shared" si="111"/>
        <v>1.4248401111107178E-2</v>
      </c>
      <c r="S863">
        <f t="shared" si="112"/>
        <v>1.0506889022929388E-4</v>
      </c>
      <c r="T863">
        <f t="shared" si="113"/>
        <v>1.0250311713762362E-2</v>
      </c>
    </row>
    <row r="864" spans="1:20" x14ac:dyDescent="0.3">
      <c r="A864" s="2" t="s">
        <v>1279</v>
      </c>
      <c r="B864" s="2" t="s">
        <v>1212</v>
      </c>
      <c r="C864" s="2" t="s">
        <v>1108</v>
      </c>
      <c r="D864" s="2" t="s">
        <v>46</v>
      </c>
      <c r="E864">
        <v>537781.56066666672</v>
      </c>
      <c r="F864">
        <v>116367.35066666665</v>
      </c>
      <c r="G864">
        <v>252.63400000000001</v>
      </c>
      <c r="J864" s="5" t="s">
        <v>1277</v>
      </c>
      <c r="K864" s="5" t="s">
        <v>1278</v>
      </c>
      <c r="L864" s="5" t="s">
        <v>1297</v>
      </c>
      <c r="M864" s="3">
        <f t="shared" si="106"/>
        <v>1.5233333338983357E-2</v>
      </c>
      <c r="N864" s="3">
        <f t="shared" si="107"/>
        <v>5.7333333534188569E-3</v>
      </c>
      <c r="O864" s="3">
        <f t="shared" si="108"/>
        <v>5.2700000000015734E-2</v>
      </c>
      <c r="P864">
        <f t="shared" si="109"/>
        <v>2.3205444461658182E-4</v>
      </c>
      <c r="Q864">
        <f t="shared" si="110"/>
        <v>3.2871111341425111E-5</v>
      </c>
      <c r="R864">
        <f t="shared" si="111"/>
        <v>2.7772900000016584E-3</v>
      </c>
      <c r="S864">
        <f t="shared" si="112"/>
        <v>2.649255559580069E-4</v>
      </c>
      <c r="T864">
        <f t="shared" si="113"/>
        <v>1.6276533904919895E-2</v>
      </c>
    </row>
  </sheetData>
  <phoneticPr fontId="3" type="noConversion"/>
  <conditionalFormatting sqref="O2:O864">
    <cfRule type="cellIs" dxfId="11" priority="9" operator="greaterThan">
      <formula>0.1</formula>
    </cfRule>
    <cfRule type="cellIs" dxfId="10" priority="11" operator="greaterThan">
      <formula>0.05</formula>
    </cfRule>
  </conditionalFormatting>
  <conditionalFormatting sqref="T2:T864">
    <cfRule type="cellIs" dxfId="9" priority="10" operator="greaterThan">
      <formula>0.1</formula>
    </cfRule>
    <cfRule type="cellIs" dxfId="8" priority="12" operator="greaterThan">
      <formula>0.03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32"/>
  <sheetViews>
    <sheetView tabSelected="1" zoomScale="85" zoomScaleNormal="85" workbookViewId="0">
      <selection activeCell="U1" sqref="U1"/>
    </sheetView>
  </sheetViews>
  <sheetFormatPr defaultRowHeight="16.5" x14ac:dyDescent="0.3"/>
  <cols>
    <col min="1" max="1" width="13.125" style="2" customWidth="1"/>
    <col min="2" max="2" width="10.5" bestFit="1" customWidth="1"/>
    <col min="4" max="4" width="13" bestFit="1" customWidth="1"/>
    <col min="5" max="7" width="12.75" bestFit="1" customWidth="1"/>
  </cols>
  <sheetData>
    <row r="1" spans="1:30" x14ac:dyDescent="0.3">
      <c r="A1" s="12" t="str">
        <f>"전체 "&amp;ROUNDDOWN(SUMPRODUCT(1/COUNTIF(B2:B1032, B2:B1032)), 0) &amp; "점"</f>
        <v>전체 124점</v>
      </c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X1" s="2"/>
      <c r="Y1" s="10" t="s">
        <v>1298</v>
      </c>
      <c r="Z1" s="10" t="s">
        <v>1299</v>
      </c>
      <c r="AA1" s="2" t="s">
        <v>1300</v>
      </c>
      <c r="AB1" s="2" t="s">
        <v>1301</v>
      </c>
      <c r="AC1" s="2" t="s">
        <v>1302</v>
      </c>
      <c r="AD1" s="2" t="s">
        <v>1303</v>
      </c>
    </row>
    <row r="2" spans="1:30" x14ac:dyDescent="0.3">
      <c r="A2" s="2" t="s">
        <v>399</v>
      </c>
      <c r="B2" s="4" t="s">
        <v>19</v>
      </c>
      <c r="C2" s="2" t="s">
        <v>20</v>
      </c>
      <c r="D2" s="4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5" t="s">
        <v>27</v>
      </c>
      <c r="K2" s="5" t="s">
        <v>28</v>
      </c>
      <c r="L2" s="5" t="s">
        <v>29</v>
      </c>
      <c r="M2" s="3">
        <f t="shared" ref="M2:N17" si="0">J2-E2</f>
        <v>3.6000000109197572E-3</v>
      </c>
      <c r="N2" s="3">
        <f t="shared" si="0"/>
        <v>4.1999999957624823E-3</v>
      </c>
      <c r="O2" s="3">
        <f>ABS(L2-G2)</f>
        <v>9.6900000000005093E-2</v>
      </c>
      <c r="P2">
        <f>POWER(M2,2)</f>
        <v>1.2960000078622252E-5</v>
      </c>
      <c r="Q2">
        <f t="shared" ref="Q2:R17" si="1">POWER(N2,2)</f>
        <v>1.763999996440485E-5</v>
      </c>
      <c r="R2">
        <f t="shared" si="1"/>
        <v>9.3896100000009867E-3</v>
      </c>
      <c r="S2">
        <f>P2+Q2</f>
        <v>3.0600000043027104E-5</v>
      </c>
      <c r="T2">
        <f>SQRT(S2)</f>
        <v>5.531726678264853E-3</v>
      </c>
      <c r="X2" s="2" t="s">
        <v>1108</v>
      </c>
      <c r="Y2" s="11">
        <f>SQRT(AVERAGEIF($C$2:$C$2897, X2, $S$2:$S$2897))</f>
        <v>7.8870795954995174E-2</v>
      </c>
      <c r="Z2" s="11">
        <f>SQRT(AVERAGEIF($C$2:$C$2897, X2, $R$2:$R$2897))</f>
        <v>0.1695238368936397</v>
      </c>
      <c r="AA2" s="11">
        <f>AVERAGEIF($C$2:$C$2897, X2, $T$2:$T$2897)</f>
        <v>3.8300970295084891E-2</v>
      </c>
      <c r="AB2" s="11">
        <f>AVERAGEIF($C$2:$C$2897, X2, $O$2:$O$2897)</f>
        <v>5.8914821323959532E-2</v>
      </c>
      <c r="AC2" s="11">
        <f t="array" ref="AC2">MAX(IF($C$2:$C$2897=$X2, $T$2:$T$2897, 0))</f>
        <v>0.89618409318130621</v>
      </c>
      <c r="AD2" s="11">
        <f t="array" ref="AD2">MAX(IF($C$2:$C$2897=$X2, $O$2:$O$2897, 0))</f>
        <v>2.0534999999999854</v>
      </c>
    </row>
    <row r="3" spans="1:30" x14ac:dyDescent="0.3">
      <c r="A3" s="2" t="s">
        <v>399</v>
      </c>
      <c r="B3" s="4" t="s">
        <v>19</v>
      </c>
      <c r="C3" s="2" t="s">
        <v>20</v>
      </c>
      <c r="D3" s="4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5" t="s">
        <v>27</v>
      </c>
      <c r="K3" s="5" t="s">
        <v>28</v>
      </c>
      <c r="L3" s="5" t="s">
        <v>29</v>
      </c>
      <c r="M3" s="3">
        <f t="shared" si="0"/>
        <v>2.0199999999022111E-2</v>
      </c>
      <c r="N3" s="3">
        <f t="shared" si="0"/>
        <v>-1.9800000009126961E-2</v>
      </c>
      <c r="O3" s="3">
        <f t="shared" ref="O3:O66" si="2">ABS(L3-G3)</f>
        <v>7.0900000000023056E-2</v>
      </c>
      <c r="P3">
        <f t="shared" ref="P3:R66" si="3">POWER(M3,2)</f>
        <v>4.0803999996049328E-4</v>
      </c>
      <c r="Q3">
        <f t="shared" si="1"/>
        <v>3.9204000036142765E-4</v>
      </c>
      <c r="R3">
        <f t="shared" si="1"/>
        <v>5.0268100000032696E-3</v>
      </c>
      <c r="S3">
        <f t="shared" ref="S3:S66" si="4">P3+Q3</f>
        <v>8.0008000032192098E-4</v>
      </c>
      <c r="T3">
        <f t="shared" ref="T3:T66" si="5">SQRT(S3)</f>
        <v>2.8285685431361229E-2</v>
      </c>
      <c r="X3" s="2" t="s">
        <v>1114</v>
      </c>
      <c r="Y3" s="11">
        <f>SQRT(AVERAGEIF($C$2:$C$2897, X3, $S$2:$S$2897))</f>
        <v>0.11367136408144703</v>
      </c>
      <c r="Z3" s="11">
        <f>SQRT(AVERAGEIF($C$2:$C$2897, X3, $R$2:$R$2897))</f>
        <v>0.30098812686511023</v>
      </c>
      <c r="AA3" s="11">
        <f>AVERAGEIF($C$2:$C$2897, X3, $T$2:$T$2897)</f>
        <v>4.7702481878123419E-2</v>
      </c>
      <c r="AB3" s="11">
        <f>AVERAGEIF($C$2:$C$2897, X3, $O$2:$O$2897)</f>
        <v>8.532293488824122E-2</v>
      </c>
      <c r="AC3" s="11">
        <f t="array" ref="AC3">MAX(IF($C$2:$C$2897=$X3, $T$2:$T$2897, 0))</f>
        <v>1.2569737078389596</v>
      </c>
      <c r="AD3" s="11">
        <f t="array" ref="AD3">MAX(IF($C$2:$C$2897=$X3, $O$2:$O$2897, 0))</f>
        <v>4.9052999999999969</v>
      </c>
    </row>
    <row r="4" spans="1:30" x14ac:dyDescent="0.3">
      <c r="A4" s="2" t="s">
        <v>399</v>
      </c>
      <c r="B4" s="4" t="s">
        <v>36</v>
      </c>
      <c r="C4" s="2" t="s">
        <v>20</v>
      </c>
      <c r="D4" s="4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5" t="s">
        <v>43</v>
      </c>
      <c r="K4" s="5" t="s">
        <v>44</v>
      </c>
      <c r="L4" s="5" t="s">
        <v>29</v>
      </c>
      <c r="M4" s="3">
        <f t="shared" si="0"/>
        <v>1.0800000003655441E-2</v>
      </c>
      <c r="N4" s="3">
        <f t="shared" si="0"/>
        <v>-4.6000000002095476E-3</v>
      </c>
      <c r="O4" s="3">
        <f t="shared" si="2"/>
        <v>0.11889999999999645</v>
      </c>
      <c r="P4">
        <f t="shared" si="3"/>
        <v>1.1664000007895753E-4</v>
      </c>
      <c r="Q4">
        <f t="shared" si="1"/>
        <v>2.1160000001927838E-5</v>
      </c>
      <c r="R4">
        <f t="shared" si="1"/>
        <v>1.4137209999999156E-2</v>
      </c>
      <c r="S4">
        <f t="shared" si="4"/>
        <v>1.3780000008088537E-4</v>
      </c>
      <c r="T4">
        <f t="shared" si="5"/>
        <v>1.1738824476108559E-2</v>
      </c>
      <c r="X4" s="2" t="s">
        <v>1120</v>
      </c>
      <c r="Y4" s="11">
        <f>SQRT(AVERAGEIF($C$2:$C$2897, X4, $S$2:$S$2897))</f>
        <v>4.4929660445921185</v>
      </c>
      <c r="Z4" s="11">
        <f>SQRT(AVERAGEIF($C$2:$C$2897, X4, $R$2:$R$2897))</f>
        <v>0.14002019525541551</v>
      </c>
      <c r="AA4" s="11">
        <f>AVERAGEIF($C$2:$C$2897, X4, $T$2:$T$2897)</f>
        <v>0.46521563765631185</v>
      </c>
      <c r="AB4" s="11">
        <f>AVERAGEIF($C$2:$C$2897, X4, $O$2:$O$2897)</f>
        <v>0.11227759103641431</v>
      </c>
      <c r="AC4" s="11">
        <f t="array" ref="AC4">MAX(IF($C$2:$C$2897=$X4, $T$2:$T$2897, 0))</f>
        <v>49.00298470351018</v>
      </c>
      <c r="AD4" s="11">
        <f t="array" ref="AD4">MAX(IF($C$2:$C$2897=$X4, $O$2:$O$2897, 0))</f>
        <v>0.41250000000002274</v>
      </c>
    </row>
    <row r="5" spans="1:30" x14ac:dyDescent="0.3">
      <c r="A5" s="2" t="s">
        <v>399</v>
      </c>
      <c r="B5" s="4" t="s">
        <v>36</v>
      </c>
      <c r="C5" s="2" t="s">
        <v>45</v>
      </c>
      <c r="D5" s="4" t="s">
        <v>46</v>
      </c>
      <c r="E5" s="3" t="s">
        <v>47</v>
      </c>
      <c r="F5" s="3" t="s">
        <v>48</v>
      </c>
      <c r="G5" s="3" t="s">
        <v>24</v>
      </c>
      <c r="H5" s="3" t="s">
        <v>49</v>
      </c>
      <c r="I5" s="3" t="s">
        <v>50</v>
      </c>
      <c r="J5" s="5" t="s">
        <v>43</v>
      </c>
      <c r="K5" s="5" t="s">
        <v>44</v>
      </c>
      <c r="L5" s="5" t="s">
        <v>29</v>
      </c>
      <c r="M5" s="3">
        <f t="shared" si="0"/>
        <v>2.7000000118277967E-3</v>
      </c>
      <c r="N5" s="3">
        <f t="shared" si="0"/>
        <v>-2.2000000026309863E-3</v>
      </c>
      <c r="O5" s="3">
        <f t="shared" si="2"/>
        <v>9.6900000000005093E-2</v>
      </c>
      <c r="P5">
        <f t="shared" si="3"/>
        <v>7.2900000638701023E-6</v>
      </c>
      <c r="Q5">
        <f t="shared" si="1"/>
        <v>4.8400000115763394E-6</v>
      </c>
      <c r="R5">
        <f t="shared" si="1"/>
        <v>9.3896100000009867E-3</v>
      </c>
      <c r="S5">
        <f t="shared" si="4"/>
        <v>1.2130000075446442E-5</v>
      </c>
      <c r="T5">
        <f t="shared" si="5"/>
        <v>3.4828149642848446E-3</v>
      </c>
      <c r="X5" s="2" t="s">
        <v>1304</v>
      </c>
      <c r="Y5" s="11">
        <f>SQRT(AVERAGE($S$2:$S$2897))</f>
        <v>1.5289619183238874</v>
      </c>
      <c r="Z5" s="11">
        <f>SQRT(AVERAGE($R$2:$R$2897))</f>
        <v>0.21968780172153313</v>
      </c>
      <c r="AA5" s="11">
        <f>AVERAGE($T$2:$T$2897)</f>
        <v>9.0704039052571128E-2</v>
      </c>
      <c r="AB5" s="11">
        <f>AVERAGE( $O$2:$O$2897)</f>
        <v>7.3859683155512112E-2</v>
      </c>
      <c r="AC5" s="11">
        <f>MAX($T$2:$T$2897, )</f>
        <v>49.00298470351018</v>
      </c>
      <c r="AD5" s="11">
        <f>MAX($O$2:$O$2897, )</f>
        <v>4.9052999999999969</v>
      </c>
    </row>
    <row r="6" spans="1:30" x14ac:dyDescent="0.3">
      <c r="A6" s="2" t="s">
        <v>399</v>
      </c>
      <c r="B6" s="4" t="s">
        <v>36</v>
      </c>
      <c r="C6" s="2" t="s">
        <v>51</v>
      </c>
      <c r="D6" s="4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26</v>
      </c>
      <c r="J6" s="5" t="s">
        <v>43</v>
      </c>
      <c r="K6" s="5" t="s">
        <v>44</v>
      </c>
      <c r="L6" s="5" t="s">
        <v>29</v>
      </c>
      <c r="M6" s="3">
        <f t="shared" si="0"/>
        <v>2.1200000002863817E-2</v>
      </c>
      <c r="N6" s="3">
        <f t="shared" si="0"/>
        <v>-7.9000000114319846E-3</v>
      </c>
      <c r="O6" s="3">
        <f t="shared" si="2"/>
        <v>2.2099999999994679E-2</v>
      </c>
      <c r="P6">
        <f t="shared" si="3"/>
        <v>4.4944000012142583E-4</v>
      </c>
      <c r="Q6">
        <f t="shared" si="1"/>
        <v>6.2410000180625352E-5</v>
      </c>
      <c r="R6">
        <f t="shared" si="1"/>
        <v>4.8840999999976483E-4</v>
      </c>
      <c r="S6">
        <f t="shared" si="4"/>
        <v>5.1185000030205114E-4</v>
      </c>
      <c r="T6">
        <f t="shared" si="5"/>
        <v>2.2624102198806721E-2</v>
      </c>
    </row>
    <row r="7" spans="1:30" x14ac:dyDescent="0.3">
      <c r="A7" s="2" t="s">
        <v>399</v>
      </c>
      <c r="B7" s="4" t="s">
        <v>36</v>
      </c>
      <c r="C7" s="2" t="s">
        <v>57</v>
      </c>
      <c r="D7" s="4" t="s">
        <v>30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5" t="s">
        <v>43</v>
      </c>
      <c r="K7" s="5" t="s">
        <v>44</v>
      </c>
      <c r="L7" s="5" t="s">
        <v>29</v>
      </c>
      <c r="M7" s="3">
        <f t="shared" si="0"/>
        <v>3.7200000006123446E-2</v>
      </c>
      <c r="N7" s="3">
        <f t="shared" si="0"/>
        <v>-2.3300000000745058E-2</v>
      </c>
      <c r="O7" s="3">
        <f t="shared" si="2"/>
        <v>3.7099999999981037E-2</v>
      </c>
      <c r="P7">
        <f t="shared" si="3"/>
        <v>1.3838400004555845E-3</v>
      </c>
      <c r="Q7">
        <f t="shared" si="1"/>
        <v>5.4289000003471971E-4</v>
      </c>
      <c r="R7">
        <f t="shared" si="1"/>
        <v>1.3764099999985929E-3</v>
      </c>
      <c r="S7">
        <f t="shared" si="4"/>
        <v>1.9267300004903042E-3</v>
      </c>
      <c r="T7">
        <f t="shared" si="5"/>
        <v>4.3894532694748037E-2</v>
      </c>
      <c r="W7" s="2" t="s">
        <v>1108</v>
      </c>
      <c r="X7" s="2" t="s">
        <v>110</v>
      </c>
      <c r="Y7" s="11">
        <f>SQRT(AVERAGEIFS($S$2:$S$2897, $C$2:$C$2897, W7, $D$2:$D$2897, X7))</f>
        <v>0.11525155527940963</v>
      </c>
      <c r="Z7" s="11">
        <f>SQRT(AVERAGEIFS($R$2:$R$2897, $C$2:$C$2897, W7, $D$2:$D$2897, X7))</f>
        <v>0.33904105679285296</v>
      </c>
      <c r="AA7" s="11">
        <f>(AVERAGEIFS($T$2:$T$2897, $C$2:$C$2897, $W7, $D$2:$D$2897, $X7))</f>
        <v>5.3611149706577599E-2</v>
      </c>
      <c r="AB7" s="11">
        <f>(AVERAGEIFS($O$2:$O$2897, $C$2:$C$2897, $W7, $D$2:$D$2897, $X7))</f>
        <v>0.10998759689922295</v>
      </c>
      <c r="AC7">
        <f>COUNTIFS(C:C,W7,D:D,X7)</f>
        <v>86</v>
      </c>
    </row>
    <row r="8" spans="1:30" x14ac:dyDescent="0.3">
      <c r="A8" s="2" t="s">
        <v>399</v>
      </c>
      <c r="B8" s="4" t="s">
        <v>36</v>
      </c>
      <c r="C8" s="2" t="s">
        <v>57</v>
      </c>
      <c r="D8" s="4" t="s">
        <v>63</v>
      </c>
      <c r="E8" s="3" t="s">
        <v>64</v>
      </c>
      <c r="F8" s="3" t="s">
        <v>65</v>
      </c>
      <c r="G8" s="3" t="s">
        <v>66</v>
      </c>
      <c r="H8" s="3" t="s">
        <v>67</v>
      </c>
      <c r="I8" s="3" t="s">
        <v>68</v>
      </c>
      <c r="J8" s="5" t="s">
        <v>43</v>
      </c>
      <c r="K8" s="5" t="s">
        <v>44</v>
      </c>
      <c r="L8" s="5" t="s">
        <v>29</v>
      </c>
      <c r="M8" s="3">
        <f t="shared" si="0"/>
        <v>-0.16229999999632128</v>
      </c>
      <c r="N8" s="3">
        <f t="shared" si="0"/>
        <v>-4.7100000010686927E-2</v>
      </c>
      <c r="O8" s="3">
        <f t="shared" si="2"/>
        <v>0.32590000000001851</v>
      </c>
      <c r="P8">
        <f t="shared" si="3"/>
        <v>2.6341289998805886E-2</v>
      </c>
      <c r="Q8">
        <f t="shared" si="1"/>
        <v>2.2184100010067087E-3</v>
      </c>
      <c r="R8">
        <f t="shared" si="1"/>
        <v>0.10621081000001206</v>
      </c>
      <c r="S8">
        <f t="shared" si="4"/>
        <v>2.8559699999812595E-2</v>
      </c>
      <c r="T8">
        <f t="shared" si="5"/>
        <v>0.16899615380183242</v>
      </c>
      <c r="W8" s="2" t="s">
        <v>1108</v>
      </c>
      <c r="X8" s="2" t="s">
        <v>30</v>
      </c>
      <c r="Y8" s="11">
        <f>SQRT(AVERAGEIFS($S$2:$S$2897, $C$2:$C$2897, W8, $D$2:$D$2897, X8))</f>
        <v>9.6426780913382401E-2</v>
      </c>
      <c r="Z8" s="11">
        <f>SQRT(AVERAGEIFS($R$2:$R$2897, $C$2:$C$2897, W8, $D$2:$D$2897, X8))</f>
        <v>0.12987636249160051</v>
      </c>
      <c r="AA8" s="11">
        <f>(AVERAGEIFS($T$2:$T$2897, $C$2:$C$2897, $W8, $D$2:$D$2897, $X8))</f>
        <v>3.9836678684819972E-2</v>
      </c>
      <c r="AB8" s="11">
        <f>(AVERAGEIFS($O$2:$O$2897, $C$2:$C$2897, $W8, $D$2:$D$2897, $X8))</f>
        <v>5.1584946236557974E-2</v>
      </c>
      <c r="AC8">
        <f>COUNTIFS(C:C,W8,D:D,X8)</f>
        <v>124</v>
      </c>
    </row>
    <row r="9" spans="1:30" x14ac:dyDescent="0.3">
      <c r="A9" s="2" t="s">
        <v>399</v>
      </c>
      <c r="B9" s="4" t="s">
        <v>69</v>
      </c>
      <c r="C9" s="2" t="s">
        <v>45</v>
      </c>
      <c r="D9" s="4" t="s">
        <v>30</v>
      </c>
      <c r="E9" s="3" t="s">
        <v>70</v>
      </c>
      <c r="F9" s="3" t="s">
        <v>71</v>
      </c>
      <c r="G9" s="3" t="s">
        <v>72</v>
      </c>
      <c r="H9" s="2" t="s">
        <v>73</v>
      </c>
      <c r="I9" s="2" t="s">
        <v>74</v>
      </c>
      <c r="J9" s="5" t="s">
        <v>75</v>
      </c>
      <c r="K9" s="5" t="s">
        <v>76</v>
      </c>
      <c r="L9" s="5" t="s">
        <v>77</v>
      </c>
      <c r="M9" s="3">
        <f t="shared" si="0"/>
        <v>-8.0000000016298145E-3</v>
      </c>
      <c r="N9" s="3">
        <f t="shared" si="0"/>
        <v>-1.2999999744351953E-3</v>
      </c>
      <c r="O9" s="3">
        <f t="shared" si="2"/>
        <v>3.6100000000033106E-2</v>
      </c>
      <c r="P9">
        <f t="shared" si="3"/>
        <v>6.4000000026077038E-5</v>
      </c>
      <c r="Q9">
        <f t="shared" si="1"/>
        <v>1.6899999335315085E-6</v>
      </c>
      <c r="R9">
        <f t="shared" si="1"/>
        <v>1.3032100000023902E-3</v>
      </c>
      <c r="S9">
        <f t="shared" si="4"/>
        <v>6.5689999959608552E-5</v>
      </c>
      <c r="T9">
        <f t="shared" si="5"/>
        <v>8.1049367646890708E-3</v>
      </c>
      <c r="W9" s="2" t="s">
        <v>1108</v>
      </c>
      <c r="X9" s="2" t="s">
        <v>46</v>
      </c>
      <c r="Y9" s="11">
        <f>SQRT(AVERAGEIFS($S$2:$S$2897, $C$2:$C$2897, W9, $D$2:$D$2897, X9))</f>
        <v>4.2603944837765743E-2</v>
      </c>
      <c r="Z9" s="11">
        <f>SQRT(AVERAGEIFS($R$2:$R$2897, $C$2:$C$2897, W9, $D$2:$D$2897, X9))</f>
        <v>6.9444714255885373E-2</v>
      </c>
      <c r="AA9" s="11">
        <f>(AVERAGEIFS($T$2:$T$2897, $C$2:$C$2897, $W9, $D$2:$D$2897, $X9))</f>
        <v>2.9960530649818538E-2</v>
      </c>
      <c r="AB9" s="11">
        <f>(AVERAGEIFS($O$2:$O$2897, $C$2:$C$2897, $W9, $D$2:$D$2897, $X9))</f>
        <v>4.2710541310541528E-2</v>
      </c>
      <c r="AC9">
        <f>COUNTIFS(C:C,W9,D:D,X9)</f>
        <v>117</v>
      </c>
    </row>
    <row r="10" spans="1:30" x14ac:dyDescent="0.3">
      <c r="A10" s="2" t="s">
        <v>399</v>
      </c>
      <c r="B10" s="4" t="s">
        <v>69</v>
      </c>
      <c r="C10" s="2" t="s">
        <v>45</v>
      </c>
      <c r="D10" s="4" t="s">
        <v>21</v>
      </c>
      <c r="E10" s="3" t="s">
        <v>78</v>
      </c>
      <c r="F10" s="3" t="s">
        <v>79</v>
      </c>
      <c r="G10" s="3" t="s">
        <v>80</v>
      </c>
      <c r="H10" s="2" t="s">
        <v>81</v>
      </c>
      <c r="I10" s="2" t="s">
        <v>82</v>
      </c>
      <c r="J10" s="5" t="s">
        <v>75</v>
      </c>
      <c r="K10" s="5" t="s">
        <v>76</v>
      </c>
      <c r="L10" s="5" t="s">
        <v>77</v>
      </c>
      <c r="M10" s="3">
        <f t="shared" si="0"/>
        <v>-1.2200000011944212E-2</v>
      </c>
      <c r="N10" s="3">
        <f t="shared" si="0"/>
        <v>-6.4999999885912985E-3</v>
      </c>
      <c r="O10" s="3">
        <f t="shared" si="2"/>
        <v>3.8099999999985812E-2</v>
      </c>
      <c r="P10">
        <f t="shared" si="3"/>
        <v>1.4884000029143877E-4</v>
      </c>
      <c r="Q10">
        <f t="shared" si="1"/>
        <v>4.2249999851686879E-5</v>
      </c>
      <c r="R10">
        <f t="shared" si="1"/>
        <v>1.4516099999989189E-3</v>
      </c>
      <c r="S10">
        <f t="shared" si="4"/>
        <v>1.9109000014312565E-4</v>
      </c>
      <c r="T10">
        <f t="shared" si="5"/>
        <v>1.3823530668505989E-2</v>
      </c>
      <c r="W10" s="2" t="s">
        <v>1108</v>
      </c>
      <c r="X10" s="2" t="s">
        <v>1112</v>
      </c>
      <c r="Y10" s="11">
        <f>SQRT(AVERAGEIFS($S$2:$S$2897, $C$2:$C$2897, W10, $D$2:$D$2897, X10))</f>
        <v>7.7373712520680912E-2</v>
      </c>
      <c r="Z10" s="11">
        <f>SQRT(AVERAGEIFS($R$2:$R$2897, $C$2:$C$2897, W10, $D$2:$D$2897, X10))</f>
        <v>0.15739975742672735</v>
      </c>
      <c r="AA10" s="11">
        <f>(AVERAGEIFS($T$2:$T$2897, $C$2:$C$2897, $W10, $D$2:$D$2897, $X10))</f>
        <v>3.8653123186557593E-2</v>
      </c>
      <c r="AB10" s="11">
        <f>(AVERAGEIFS($O$2:$O$2897, $C$2:$C$2897, $W10, $D$2:$D$2897, $X10))</f>
        <v>5.6864516129031498E-2</v>
      </c>
      <c r="AC10">
        <f>COUNTIFS(C:C,W10,D:D,X10)</f>
        <v>124</v>
      </c>
    </row>
    <row r="11" spans="1:30" x14ac:dyDescent="0.3">
      <c r="A11" s="2" t="s">
        <v>399</v>
      </c>
      <c r="B11" s="4" t="s">
        <v>83</v>
      </c>
      <c r="C11" s="2" t="s">
        <v>20</v>
      </c>
      <c r="D11" s="4" t="s">
        <v>37</v>
      </c>
      <c r="E11" s="3" t="s">
        <v>84</v>
      </c>
      <c r="F11" s="3" t="s">
        <v>85</v>
      </c>
      <c r="G11" s="3" t="s">
        <v>86</v>
      </c>
      <c r="H11" s="2" t="s">
        <v>87</v>
      </c>
      <c r="I11" s="2" t="s">
        <v>88</v>
      </c>
      <c r="J11" s="5" t="s">
        <v>89</v>
      </c>
      <c r="K11" s="5" t="s">
        <v>90</v>
      </c>
      <c r="L11" s="5" t="s">
        <v>77</v>
      </c>
      <c r="M11" s="3">
        <f t="shared" si="0"/>
        <v>-2.6000000070780516E-3</v>
      </c>
      <c r="N11" s="3">
        <f t="shared" si="0"/>
        <v>-8.0999999772757292E-3</v>
      </c>
      <c r="O11" s="3">
        <f t="shared" si="2"/>
        <v>4.0100000000052205E-2</v>
      </c>
      <c r="P11">
        <f t="shared" si="3"/>
        <v>6.7600000368058682E-6</v>
      </c>
      <c r="Q11">
        <f t="shared" si="1"/>
        <v>6.5609999631866813E-5</v>
      </c>
      <c r="R11">
        <f t="shared" si="1"/>
        <v>1.6080100000041868E-3</v>
      </c>
      <c r="S11">
        <f t="shared" si="4"/>
        <v>7.2369999668672681E-5</v>
      </c>
      <c r="T11">
        <f t="shared" si="5"/>
        <v>8.5070558754878692E-3</v>
      </c>
      <c r="W11" s="2" t="s">
        <v>1108</v>
      </c>
      <c r="X11" s="2" t="s">
        <v>37</v>
      </c>
      <c r="Y11" s="11">
        <f>SQRT(AVERAGEIFS($S$2:$S$2897, $C$2:$C$2897, W11, $D$2:$D$2897, X11))</f>
        <v>4.9035837038360022E-2</v>
      </c>
      <c r="Z11" s="11">
        <f>SQRT(AVERAGEIFS($R$2:$R$2897, $C$2:$C$2897, W11, $D$2:$D$2897, X11))</f>
        <v>7.9295903808920043E-2</v>
      </c>
      <c r="AA11" s="11">
        <f>(AVERAGEIFS($T$2:$T$2897, $C$2:$C$2897, $W11, $D$2:$D$2897, $X11))</f>
        <v>3.2941294126441707E-2</v>
      </c>
      <c r="AB11" s="11">
        <f>(AVERAGEIFS($O$2:$O$2897, $C$2:$C$2897, $W11, $D$2:$D$2897, $X11))</f>
        <v>4.756182336182372E-2</v>
      </c>
      <c r="AC11">
        <f>COUNTIFS(C:C,W11,D:D,X11)</f>
        <v>117</v>
      </c>
    </row>
    <row r="12" spans="1:30" x14ac:dyDescent="0.3">
      <c r="A12" s="2" t="s">
        <v>399</v>
      </c>
      <c r="B12" s="4" t="s">
        <v>83</v>
      </c>
      <c r="C12" s="2" t="s">
        <v>20</v>
      </c>
      <c r="D12" s="4" t="s">
        <v>46</v>
      </c>
      <c r="E12" s="3" t="s">
        <v>91</v>
      </c>
      <c r="F12" s="3" t="s">
        <v>92</v>
      </c>
      <c r="G12" s="3" t="s">
        <v>93</v>
      </c>
      <c r="H12" s="2" t="s">
        <v>94</v>
      </c>
      <c r="I12" s="2" t="s">
        <v>95</v>
      </c>
      <c r="J12" s="5" t="s">
        <v>89</v>
      </c>
      <c r="K12" s="5" t="s">
        <v>90</v>
      </c>
      <c r="L12" s="5" t="s">
        <v>77</v>
      </c>
      <c r="M12" s="3">
        <f t="shared" si="0"/>
        <v>-1.3800000000628643E-2</v>
      </c>
      <c r="N12" s="3">
        <f t="shared" si="0"/>
        <v>-1.049999997485429E-2</v>
      </c>
      <c r="O12" s="3">
        <f t="shared" si="2"/>
        <v>2.3099999999999454E-2</v>
      </c>
      <c r="P12">
        <f t="shared" si="3"/>
        <v>1.9044000001735054E-4</v>
      </c>
      <c r="Q12">
        <f t="shared" si="1"/>
        <v>1.102499994719401E-4</v>
      </c>
      <c r="R12">
        <f t="shared" si="1"/>
        <v>5.3360999999997475E-4</v>
      </c>
      <c r="S12">
        <f t="shared" si="4"/>
        <v>3.0068999948929063E-4</v>
      </c>
      <c r="T12">
        <f t="shared" si="5"/>
        <v>1.7340415205216127E-2</v>
      </c>
      <c r="W12" s="2" t="s">
        <v>1114</v>
      </c>
      <c r="X12" s="2" t="s">
        <v>30</v>
      </c>
      <c r="Y12" s="11">
        <f>SQRT(AVERAGEIFS($S$2:$S$2897, $C$2:$C$2897, W12, $D$2:$D$2897, X12))</f>
        <v>5.3361560811903373E-2</v>
      </c>
      <c r="Z12" s="11">
        <f>SQRT(AVERAGEIFS($R$2:$R$2897, $C$2:$C$2897, W12, $D$2:$D$2897, X12))</f>
        <v>8.8736746278279932E-2</v>
      </c>
      <c r="AA12" s="11">
        <f>(AVERAGEIFS($T$2:$T$2897, $C$2:$C$2897, $W12, $D$2:$D$2897, $X12))</f>
        <v>3.5337269539313924E-2</v>
      </c>
      <c r="AB12" s="11">
        <f>(AVERAGEIFS($O$2:$O$2897, $C$2:$C$2897, $W12, $D$2:$D$2897, $X12))</f>
        <v>5.9565266106442243E-2</v>
      </c>
      <c r="AC12">
        <f>COUNTIFS(C:C,W12,D:D,X12)</f>
        <v>119</v>
      </c>
    </row>
    <row r="13" spans="1:30" x14ac:dyDescent="0.3">
      <c r="A13" s="2" t="s">
        <v>399</v>
      </c>
      <c r="B13" s="4" t="s">
        <v>83</v>
      </c>
      <c r="C13" s="2" t="s">
        <v>51</v>
      </c>
      <c r="D13" s="4" t="s">
        <v>63</v>
      </c>
      <c r="E13" s="3" t="s">
        <v>96</v>
      </c>
      <c r="F13" s="3" t="s">
        <v>97</v>
      </c>
      <c r="G13" s="3" t="s">
        <v>98</v>
      </c>
      <c r="H13" s="2" t="s">
        <v>99</v>
      </c>
      <c r="I13" s="2" t="s">
        <v>100</v>
      </c>
      <c r="J13" s="5" t="s">
        <v>89</v>
      </c>
      <c r="K13" s="5" t="s">
        <v>90</v>
      </c>
      <c r="L13" s="5" t="s">
        <v>77</v>
      </c>
      <c r="M13" s="3">
        <f t="shared" si="0"/>
        <v>1.0270999999920605</v>
      </c>
      <c r="N13" s="3">
        <f t="shared" si="0"/>
        <v>-0.3842000000004191</v>
      </c>
      <c r="O13" s="3">
        <f t="shared" si="2"/>
        <v>1.4221000000000004</v>
      </c>
      <c r="P13">
        <f t="shared" si="3"/>
        <v>1.0549344099836906</v>
      </c>
      <c r="Q13">
        <f t="shared" si="1"/>
        <v>0.14760964000032203</v>
      </c>
      <c r="R13">
        <f t="shared" si="1"/>
        <v>2.0223684100000012</v>
      </c>
      <c r="S13">
        <f t="shared" si="4"/>
        <v>1.2025440499840125</v>
      </c>
      <c r="T13">
        <f t="shared" si="5"/>
        <v>1.0966056948529916</v>
      </c>
      <c r="W13" s="2" t="s">
        <v>1114</v>
      </c>
      <c r="X13" s="2" t="s">
        <v>52</v>
      </c>
      <c r="Y13" s="11">
        <f>SQRT(AVERAGEIFS($S$2:$S$2897, $C$2:$C$2897, W13, $D$2:$D$2897, X13))</f>
        <v>5.4761267687809312E-2</v>
      </c>
      <c r="Z13" s="11">
        <f>SQRT(AVERAGEIFS($R$2:$R$2897, $C$2:$C$2897, W13, $D$2:$D$2897, X13))</f>
        <v>0.10036225293338863</v>
      </c>
      <c r="AA13" s="11">
        <f>(AVERAGEIFS($T$2:$T$2897, $C$2:$C$2897, $W13, $D$2:$D$2897, $X13))</f>
        <v>3.5223733410995592E-2</v>
      </c>
      <c r="AB13" s="11">
        <f>(AVERAGEIFS($O$2:$O$2897, $C$2:$C$2897, $W13, $D$2:$D$2897, $X13))</f>
        <v>6.0182621082621283E-2</v>
      </c>
      <c r="AC13">
        <f>COUNTIFS(C:C,W13,D:D,X13)</f>
        <v>117</v>
      </c>
    </row>
    <row r="14" spans="1:30" x14ac:dyDescent="0.3">
      <c r="A14" s="2" t="s">
        <v>399</v>
      </c>
      <c r="B14" s="4" t="s">
        <v>83</v>
      </c>
      <c r="C14" s="2" t="s">
        <v>57</v>
      </c>
      <c r="D14" s="4" t="s">
        <v>30</v>
      </c>
      <c r="E14" s="3" t="s">
        <v>101</v>
      </c>
      <c r="F14" s="3" t="s">
        <v>102</v>
      </c>
      <c r="G14" s="3" t="s">
        <v>103</v>
      </c>
      <c r="H14" s="2" t="s">
        <v>94</v>
      </c>
      <c r="I14" s="2" t="s">
        <v>50</v>
      </c>
      <c r="J14" s="5" t="s">
        <v>89</v>
      </c>
      <c r="K14" s="5" t="s">
        <v>90</v>
      </c>
      <c r="L14" s="5" t="s">
        <v>77</v>
      </c>
      <c r="M14" s="3">
        <f t="shared" si="0"/>
        <v>-4.4000000052619725E-3</v>
      </c>
      <c r="N14" s="3">
        <f t="shared" si="0"/>
        <v>1.0000000474974513E-4</v>
      </c>
      <c r="O14" s="3">
        <f t="shared" si="2"/>
        <v>8.2099999999968531E-2</v>
      </c>
      <c r="P14">
        <f t="shared" si="3"/>
        <v>1.9360000046305358E-5</v>
      </c>
      <c r="Q14">
        <f t="shared" si="1"/>
        <v>1.0000000949949049E-8</v>
      </c>
      <c r="R14">
        <f t="shared" si="1"/>
        <v>6.7404099999948328E-3</v>
      </c>
      <c r="S14">
        <f t="shared" si="4"/>
        <v>1.9370000047255307E-5</v>
      </c>
      <c r="T14">
        <f t="shared" si="5"/>
        <v>4.401136222301612E-3</v>
      </c>
      <c r="W14" s="2" t="s">
        <v>1114</v>
      </c>
      <c r="X14" s="2" t="s">
        <v>63</v>
      </c>
      <c r="Y14" s="11">
        <f>SQRT(AVERAGEIFS($S$2:$S$2897, $C$2:$C$2897, W14, $D$2:$D$2897, X14))</f>
        <v>0.18701436631617566</v>
      </c>
      <c r="Z14" s="11">
        <f>SQRT(AVERAGEIFS($R$2:$R$2897, $C$2:$C$2897, W14, $D$2:$D$2897, X14))</f>
        <v>0.52022791853899497</v>
      </c>
      <c r="AA14" s="11">
        <f>(AVERAGEIFS($T$2:$T$2897, $C$2:$C$2897, $W14, $D$2:$D$2897, $X14))</f>
        <v>7.5099433644219532E-2</v>
      </c>
      <c r="AB14" s="11">
        <f>(AVERAGEIFS($O$2:$O$2897, $C$2:$C$2897, $W14, $D$2:$D$2897, $X14))</f>
        <v>0.14145919003115348</v>
      </c>
      <c r="AC14">
        <f>COUNTIFS(C:C,W14,D:D,X14)</f>
        <v>107</v>
      </c>
    </row>
    <row r="15" spans="1:30" x14ac:dyDescent="0.3">
      <c r="A15" s="2" t="s">
        <v>399</v>
      </c>
      <c r="B15" s="4" t="s">
        <v>83</v>
      </c>
      <c r="C15" s="2" t="s">
        <v>57</v>
      </c>
      <c r="D15" s="4" t="s">
        <v>52</v>
      </c>
      <c r="E15" s="3" t="s">
        <v>104</v>
      </c>
      <c r="F15" s="3" t="s">
        <v>105</v>
      </c>
      <c r="G15" s="3" t="s">
        <v>106</v>
      </c>
      <c r="H15" s="2" t="s">
        <v>107</v>
      </c>
      <c r="I15" s="2" t="s">
        <v>108</v>
      </c>
      <c r="J15" s="5" t="s">
        <v>89</v>
      </c>
      <c r="K15" s="5" t="s">
        <v>90</v>
      </c>
      <c r="L15" s="5" t="s">
        <v>77</v>
      </c>
      <c r="M15" s="3">
        <f t="shared" si="0"/>
        <v>-5.9000000037485734E-3</v>
      </c>
      <c r="N15" s="3">
        <f t="shared" si="0"/>
        <v>-1.4999999839346856E-3</v>
      </c>
      <c r="O15" s="3">
        <f t="shared" si="2"/>
        <v>0.10009999999999764</v>
      </c>
      <c r="P15">
        <f t="shared" si="3"/>
        <v>3.4810000044233165E-5</v>
      </c>
      <c r="Q15">
        <f t="shared" si="1"/>
        <v>2.249999951804057E-6</v>
      </c>
      <c r="R15">
        <f t="shared" si="1"/>
        <v>1.0020009999999526E-2</v>
      </c>
      <c r="S15">
        <f t="shared" si="4"/>
        <v>3.7059999996037222E-5</v>
      </c>
      <c r="T15">
        <f t="shared" si="5"/>
        <v>6.0876925017642955E-3</v>
      </c>
      <c r="W15" s="2" t="s">
        <v>1120</v>
      </c>
      <c r="X15" s="2" t="s">
        <v>423</v>
      </c>
      <c r="Y15" s="11">
        <f>SQRT(AVERAGEIFS($S$2:$S$2897, $C$2:$C$2897, W15, $D$2:$D$2897, X15))</f>
        <v>6.9605194268315448E-2</v>
      </c>
      <c r="Z15" s="11">
        <f>SQRT(AVERAGEIFS($R$2:$R$2897, $C$2:$C$2897, W15, $D$2:$D$2897, X15))</f>
        <v>0.13472979765070522</v>
      </c>
      <c r="AA15" s="11">
        <f>(AVERAGEIFS($T$2:$T$2897, $C$2:$C$2897, $W15, $D$2:$D$2897, $X15))</f>
        <v>4.9707015861855317E-2</v>
      </c>
      <c r="AB15" s="11">
        <f>(AVERAGEIFS($O$2:$O$2897, $C$2:$C$2897, $W15, $D$2:$D$2897, $X15))</f>
        <v>0.11037625000000144</v>
      </c>
      <c r="AC15">
        <f>COUNTIFS(C:C,W15,D:D,X15)</f>
        <v>80</v>
      </c>
    </row>
    <row r="16" spans="1:30" x14ac:dyDescent="0.3">
      <c r="A16" s="2" t="s">
        <v>399</v>
      </c>
      <c r="B16" s="4" t="s">
        <v>109</v>
      </c>
      <c r="C16" s="2" t="s">
        <v>45</v>
      </c>
      <c r="D16" s="4" t="s">
        <v>110</v>
      </c>
      <c r="E16" s="3" t="s">
        <v>111</v>
      </c>
      <c r="F16" s="3" t="s">
        <v>112</v>
      </c>
      <c r="G16" s="3" t="s">
        <v>113</v>
      </c>
      <c r="H16" s="2" t="s">
        <v>73</v>
      </c>
      <c r="I16" s="2" t="s">
        <v>114</v>
      </c>
      <c r="J16" s="5" t="s">
        <v>115</v>
      </c>
      <c r="K16" s="5" t="s">
        <v>116</v>
      </c>
      <c r="L16" s="5" t="s">
        <v>117</v>
      </c>
      <c r="M16" s="3">
        <f t="shared" si="0"/>
        <v>-2.7900000000954606E-2</v>
      </c>
      <c r="N16" s="3">
        <f t="shared" si="0"/>
        <v>-2.2599999996600673E-2</v>
      </c>
      <c r="O16" s="3">
        <f t="shared" si="2"/>
        <v>9.7000000000008413E-2</v>
      </c>
      <c r="P16">
        <f t="shared" si="3"/>
        <v>7.7841000005326696E-4</v>
      </c>
      <c r="Q16">
        <f t="shared" si="1"/>
        <v>5.1075999984635041E-4</v>
      </c>
      <c r="R16">
        <f t="shared" si="1"/>
        <v>9.4090000000016313E-3</v>
      </c>
      <c r="S16">
        <f t="shared" si="4"/>
        <v>1.2891699998996173E-3</v>
      </c>
      <c r="T16">
        <f t="shared" si="5"/>
        <v>3.5905013576095712E-2</v>
      </c>
      <c r="W16" s="2" t="s">
        <v>1120</v>
      </c>
      <c r="X16" s="2" t="s">
        <v>1019</v>
      </c>
      <c r="Y16" s="11">
        <f>SQRT(AVERAGEIFS($S$2:$S$2897, $C$2:$C$2897, W16, $D$2:$D$2897, X16))</f>
        <v>7.8476436620590073</v>
      </c>
      <c r="Z16" s="11">
        <f>SQRT(AVERAGEIFS($R$2:$R$2897, $C$2:$C$2897, W16, $D$2:$D$2897, X16))</f>
        <v>0.15029061458357168</v>
      </c>
      <c r="AA16" s="11">
        <f>(AVERAGEIFS($T$2:$T$2897, $C$2:$C$2897, $W16, $D$2:$D$2897, $X16))</f>
        <v>1.3175410156962226</v>
      </c>
      <c r="AB16" s="11">
        <f>(AVERAGEIFS($O$2:$O$2897, $C$2:$C$2897, $W16, $D$2:$D$2897, $X16))</f>
        <v>0.11617777777777405</v>
      </c>
      <c r="AC16">
        <f>COUNTIFS(C:C,W16,D:D,X16)</f>
        <v>39</v>
      </c>
    </row>
    <row r="17" spans="1:25" x14ac:dyDescent="0.3">
      <c r="A17" s="2" t="s">
        <v>399</v>
      </c>
      <c r="B17" s="4" t="s">
        <v>109</v>
      </c>
      <c r="C17" s="2" t="s">
        <v>45</v>
      </c>
      <c r="D17" s="4" t="s">
        <v>37</v>
      </c>
      <c r="E17" s="3" t="s">
        <v>118</v>
      </c>
      <c r="F17" s="3" t="s">
        <v>119</v>
      </c>
      <c r="G17" s="3" t="s">
        <v>120</v>
      </c>
      <c r="H17" s="2" t="s">
        <v>121</v>
      </c>
      <c r="I17" s="2" t="s">
        <v>114</v>
      </c>
      <c r="J17" s="5" t="s">
        <v>115</v>
      </c>
      <c r="K17" s="5" t="s">
        <v>116</v>
      </c>
      <c r="L17" s="5" t="s">
        <v>117</v>
      </c>
      <c r="M17" s="3">
        <f t="shared" si="0"/>
        <v>-1.5400000003864989E-2</v>
      </c>
      <c r="N17" s="3">
        <f t="shared" si="0"/>
        <v>-6.3000000081956387E-3</v>
      </c>
      <c r="O17" s="3">
        <f t="shared" si="2"/>
        <v>0.10400000000001342</v>
      </c>
      <c r="P17">
        <f t="shared" si="3"/>
        <v>2.3716000011904164E-4</v>
      </c>
      <c r="Q17">
        <f t="shared" si="1"/>
        <v>3.9690000103265047E-5</v>
      </c>
      <c r="R17">
        <f t="shared" si="1"/>
        <v>1.081600000000279E-2</v>
      </c>
      <c r="S17">
        <f t="shared" si="4"/>
        <v>2.7685000022230669E-4</v>
      </c>
      <c r="T17">
        <f t="shared" si="5"/>
        <v>1.6638810060286963E-2</v>
      </c>
      <c r="Y17" s="11"/>
    </row>
    <row r="18" spans="1:25" x14ac:dyDescent="0.3">
      <c r="A18" s="2" t="s">
        <v>399</v>
      </c>
      <c r="B18" s="4" t="s">
        <v>122</v>
      </c>
      <c r="C18" s="2" t="s">
        <v>20</v>
      </c>
      <c r="D18" s="4" t="s">
        <v>46</v>
      </c>
      <c r="E18" s="3" t="s">
        <v>123</v>
      </c>
      <c r="F18" s="3" t="s">
        <v>124</v>
      </c>
      <c r="G18" s="3" t="s">
        <v>125</v>
      </c>
      <c r="H18" s="2" t="s">
        <v>107</v>
      </c>
      <c r="I18" s="2" t="s">
        <v>121</v>
      </c>
      <c r="J18" s="5" t="s">
        <v>115</v>
      </c>
      <c r="K18" s="5" t="s">
        <v>116</v>
      </c>
      <c r="L18" s="5" t="s">
        <v>117</v>
      </c>
      <c r="M18" s="3">
        <f t="shared" ref="M18:N81" si="6">J18-E18</f>
        <v>-2.0499999998719431E-2</v>
      </c>
      <c r="N18" s="3">
        <f t="shared" si="6"/>
        <v>-2.4000000004889444E-2</v>
      </c>
      <c r="O18" s="3">
        <f t="shared" si="2"/>
        <v>0.10099999999999909</v>
      </c>
      <c r="P18">
        <f t="shared" si="3"/>
        <v>4.2024999994749669E-4</v>
      </c>
      <c r="Q18">
        <f t="shared" si="3"/>
        <v>5.7600000023469325E-4</v>
      </c>
      <c r="R18">
        <f t="shared" si="3"/>
        <v>1.0200999999999816E-2</v>
      </c>
      <c r="S18">
        <f t="shared" si="4"/>
        <v>9.9625000018218994E-4</v>
      </c>
      <c r="T18">
        <f t="shared" si="5"/>
        <v>3.1563428207059353E-2</v>
      </c>
    </row>
    <row r="19" spans="1:25" x14ac:dyDescent="0.3">
      <c r="A19" s="2" t="s">
        <v>399</v>
      </c>
      <c r="B19" s="4" t="s">
        <v>122</v>
      </c>
      <c r="C19" s="2" t="s">
        <v>20</v>
      </c>
      <c r="D19" s="4" t="s">
        <v>21</v>
      </c>
      <c r="E19" s="3" t="s">
        <v>126</v>
      </c>
      <c r="F19" s="3" t="s">
        <v>127</v>
      </c>
      <c r="G19" s="3" t="s">
        <v>128</v>
      </c>
      <c r="H19" s="2" t="s">
        <v>108</v>
      </c>
      <c r="I19" s="2" t="s">
        <v>129</v>
      </c>
      <c r="J19" s="5" t="s">
        <v>115</v>
      </c>
      <c r="K19" s="5" t="s">
        <v>116</v>
      </c>
      <c r="L19" s="5" t="s">
        <v>117</v>
      </c>
      <c r="M19" s="3">
        <f t="shared" si="6"/>
        <v>-2.1000000007916242E-2</v>
      </c>
      <c r="N19" s="3">
        <f t="shared" si="6"/>
        <v>-1.4800000004470348E-2</v>
      </c>
      <c r="O19" s="3">
        <f t="shared" si="2"/>
        <v>8.6000000000012733E-2</v>
      </c>
      <c r="P19">
        <f t="shared" si="3"/>
        <v>4.4100000033248218E-4</v>
      </c>
      <c r="Q19">
        <f t="shared" si="3"/>
        <v>2.1904000013232231E-4</v>
      </c>
      <c r="R19">
        <f t="shared" si="3"/>
        <v>7.3960000000021899E-3</v>
      </c>
      <c r="S19">
        <f t="shared" si="4"/>
        <v>6.6004000046480449E-4</v>
      </c>
      <c r="T19">
        <f t="shared" si="5"/>
        <v>2.5691243653525309E-2</v>
      </c>
    </row>
    <row r="20" spans="1:25" x14ac:dyDescent="0.3">
      <c r="A20" s="2" t="s">
        <v>399</v>
      </c>
      <c r="B20" s="4" t="s">
        <v>122</v>
      </c>
      <c r="C20" s="2" t="s">
        <v>51</v>
      </c>
      <c r="D20" s="4" t="s">
        <v>63</v>
      </c>
      <c r="E20" s="3" t="s">
        <v>130</v>
      </c>
      <c r="F20" s="3" t="s">
        <v>131</v>
      </c>
      <c r="G20" s="3" t="s">
        <v>132</v>
      </c>
      <c r="H20" s="2" t="s">
        <v>49</v>
      </c>
      <c r="I20" s="2" t="s">
        <v>108</v>
      </c>
      <c r="J20" s="5" t="s">
        <v>115</v>
      </c>
      <c r="K20" s="5" t="s">
        <v>116</v>
      </c>
      <c r="L20" s="5" t="s">
        <v>117</v>
      </c>
      <c r="M20" s="3">
        <f t="shared" si="6"/>
        <v>-3.3000000010360964E-2</v>
      </c>
      <c r="N20" s="3">
        <f t="shared" si="6"/>
        <v>-2.9800000018440187E-2</v>
      </c>
      <c r="O20" s="3">
        <f t="shared" si="2"/>
        <v>9.3000000000017735E-2</v>
      </c>
      <c r="P20">
        <f t="shared" si="3"/>
        <v>1.0890000006838236E-3</v>
      </c>
      <c r="Q20">
        <f t="shared" si="3"/>
        <v>8.8804000109903513E-4</v>
      </c>
      <c r="R20">
        <f t="shared" si="3"/>
        <v>8.6490000000032981E-3</v>
      </c>
      <c r="S20">
        <f t="shared" si="4"/>
        <v>1.9770400017828588E-3</v>
      </c>
      <c r="T20">
        <f t="shared" si="5"/>
        <v>4.4463917976072E-2</v>
      </c>
    </row>
    <row r="21" spans="1:25" x14ac:dyDescent="0.3">
      <c r="A21" s="2" t="s">
        <v>399</v>
      </c>
      <c r="B21" s="4" t="s">
        <v>122</v>
      </c>
      <c r="C21" s="2" t="s">
        <v>57</v>
      </c>
      <c r="D21" s="4" t="s">
        <v>30</v>
      </c>
      <c r="E21" s="3" t="s">
        <v>133</v>
      </c>
      <c r="F21" s="3" t="s">
        <v>134</v>
      </c>
      <c r="G21" s="3" t="s">
        <v>135</v>
      </c>
      <c r="H21" s="2" t="s">
        <v>94</v>
      </c>
      <c r="I21" s="2" t="s">
        <v>87</v>
      </c>
      <c r="J21" s="5" t="s">
        <v>115</v>
      </c>
      <c r="K21" s="5" t="s">
        <v>116</v>
      </c>
      <c r="L21" s="5" t="s">
        <v>117</v>
      </c>
      <c r="M21" s="3">
        <f t="shared" si="6"/>
        <v>-1.1100000003352761E-2</v>
      </c>
      <c r="N21" s="3">
        <f t="shared" si="6"/>
        <v>-2.0300000003771856E-2</v>
      </c>
      <c r="O21" s="3">
        <f t="shared" si="2"/>
        <v>5.4000000000002046E-2</v>
      </c>
      <c r="P21">
        <f t="shared" si="3"/>
        <v>1.232100000744313E-4</v>
      </c>
      <c r="Q21">
        <f t="shared" si="3"/>
        <v>4.1209000015313737E-4</v>
      </c>
      <c r="R21">
        <f t="shared" si="3"/>
        <v>2.9160000000002209E-3</v>
      </c>
      <c r="S21">
        <f t="shared" si="4"/>
        <v>5.3530000022756867E-4</v>
      </c>
      <c r="T21">
        <f t="shared" si="5"/>
        <v>2.313655117400968E-2</v>
      </c>
    </row>
    <row r="22" spans="1:25" x14ac:dyDescent="0.3">
      <c r="A22" s="2" t="s">
        <v>399</v>
      </c>
      <c r="B22" s="4" t="s">
        <v>122</v>
      </c>
      <c r="C22" s="2" t="s">
        <v>57</v>
      </c>
      <c r="D22" s="4" t="s">
        <v>52</v>
      </c>
      <c r="E22" s="3" t="s">
        <v>136</v>
      </c>
      <c r="F22" s="3" t="s">
        <v>137</v>
      </c>
      <c r="G22" s="3" t="s">
        <v>138</v>
      </c>
      <c r="H22" s="2" t="s">
        <v>139</v>
      </c>
      <c r="I22" s="2" t="s">
        <v>49</v>
      </c>
      <c r="J22" s="5" t="s">
        <v>115</v>
      </c>
      <c r="K22" s="5" t="s">
        <v>116</v>
      </c>
      <c r="L22" s="5" t="s">
        <v>117</v>
      </c>
      <c r="M22" s="3">
        <f t="shared" si="6"/>
        <v>-1.4300000009825453E-2</v>
      </c>
      <c r="N22" s="3">
        <f t="shared" si="6"/>
        <v>-2.3100000020349398E-2</v>
      </c>
      <c r="O22" s="3">
        <f t="shared" si="2"/>
        <v>3.8000000000010914E-2</v>
      </c>
      <c r="P22">
        <f t="shared" si="3"/>
        <v>2.0449000028100795E-4</v>
      </c>
      <c r="Q22">
        <f t="shared" si="3"/>
        <v>5.3361000094014218E-4</v>
      </c>
      <c r="R22">
        <f t="shared" si="3"/>
        <v>1.4440000000008294E-3</v>
      </c>
      <c r="S22">
        <f t="shared" si="4"/>
        <v>7.3810000122115013E-4</v>
      </c>
      <c r="T22">
        <f t="shared" si="5"/>
        <v>2.7167995899976687E-2</v>
      </c>
    </row>
    <row r="23" spans="1:25" x14ac:dyDescent="0.3">
      <c r="A23" s="2" t="s">
        <v>399</v>
      </c>
      <c r="B23" s="4" t="s">
        <v>140</v>
      </c>
      <c r="C23" s="2" t="s">
        <v>45</v>
      </c>
      <c r="D23" s="4" t="s">
        <v>37</v>
      </c>
      <c r="E23" s="3" t="s">
        <v>141</v>
      </c>
      <c r="F23" s="3" t="s">
        <v>142</v>
      </c>
      <c r="G23" s="3" t="s">
        <v>143</v>
      </c>
      <c r="H23" s="2" t="s">
        <v>81</v>
      </c>
      <c r="I23" s="2" t="s">
        <v>144</v>
      </c>
      <c r="J23" s="5" t="s">
        <v>145</v>
      </c>
      <c r="K23" s="5" t="s">
        <v>146</v>
      </c>
      <c r="L23" s="5" t="s">
        <v>147</v>
      </c>
      <c r="M23" s="3">
        <f t="shared" si="6"/>
        <v>-1.0000000474974513E-4</v>
      </c>
      <c r="N23" s="3">
        <f t="shared" si="6"/>
        <v>-1.1899999997694977E-2</v>
      </c>
      <c r="O23" s="3">
        <f t="shared" si="2"/>
        <v>0.12570000000000903</v>
      </c>
      <c r="P23">
        <f t="shared" si="3"/>
        <v>1.0000000949949049E-8</v>
      </c>
      <c r="Q23">
        <f t="shared" si="3"/>
        <v>1.4160999994514045E-4</v>
      </c>
      <c r="R23">
        <f t="shared" si="3"/>
        <v>1.5800490000002269E-2</v>
      </c>
      <c r="S23">
        <f t="shared" si="4"/>
        <v>1.4161999994609039E-4</v>
      </c>
      <c r="T23">
        <f t="shared" si="5"/>
        <v>1.1900420158384762E-2</v>
      </c>
    </row>
    <row r="24" spans="1:25" x14ac:dyDescent="0.3">
      <c r="A24" s="2" t="s">
        <v>399</v>
      </c>
      <c r="B24" s="4" t="s">
        <v>140</v>
      </c>
      <c r="C24" s="2" t="s">
        <v>45</v>
      </c>
      <c r="D24" s="4" t="s">
        <v>21</v>
      </c>
      <c r="E24" s="3" t="s">
        <v>148</v>
      </c>
      <c r="F24" s="3" t="s">
        <v>149</v>
      </c>
      <c r="G24" s="3" t="s">
        <v>150</v>
      </c>
      <c r="H24" s="2" t="s">
        <v>81</v>
      </c>
      <c r="I24" s="2" t="s">
        <v>114</v>
      </c>
      <c r="J24" s="5" t="s">
        <v>145</v>
      </c>
      <c r="K24" s="5" t="s">
        <v>146</v>
      </c>
      <c r="L24" s="5" t="s">
        <v>147</v>
      </c>
      <c r="M24" s="3">
        <f t="shared" si="6"/>
        <v>1.0599999994155951E-2</v>
      </c>
      <c r="N24" s="3">
        <f t="shared" si="6"/>
        <v>-7.100000002537854E-3</v>
      </c>
      <c r="O24" s="3">
        <f t="shared" si="2"/>
        <v>0.12470000000000425</v>
      </c>
      <c r="P24">
        <f t="shared" si="3"/>
        <v>1.1235999987610616E-4</v>
      </c>
      <c r="Q24">
        <f t="shared" si="3"/>
        <v>5.0410000036037525E-5</v>
      </c>
      <c r="R24">
        <f t="shared" si="3"/>
        <v>1.5550090000001061E-2</v>
      </c>
      <c r="S24">
        <f t="shared" si="4"/>
        <v>1.627699999121437E-4</v>
      </c>
      <c r="T24">
        <f t="shared" si="5"/>
        <v>1.2758134656451299E-2</v>
      </c>
    </row>
    <row r="25" spans="1:25" x14ac:dyDescent="0.3">
      <c r="A25" s="2" t="s">
        <v>399</v>
      </c>
      <c r="B25" s="4" t="s">
        <v>151</v>
      </c>
      <c r="C25" s="2" t="s">
        <v>20</v>
      </c>
      <c r="D25" s="4" t="s">
        <v>30</v>
      </c>
      <c r="E25" s="3" t="s">
        <v>152</v>
      </c>
      <c r="F25" s="3" t="s">
        <v>153</v>
      </c>
      <c r="G25" s="3" t="s">
        <v>154</v>
      </c>
      <c r="H25" s="2" t="s">
        <v>73</v>
      </c>
      <c r="I25" s="2" t="s">
        <v>155</v>
      </c>
      <c r="J25" s="5" t="s">
        <v>156</v>
      </c>
      <c r="K25" s="5" t="s">
        <v>157</v>
      </c>
      <c r="L25" s="5" t="s">
        <v>147</v>
      </c>
      <c r="M25" s="3">
        <f t="shared" si="6"/>
        <v>1.999999993131496E-3</v>
      </c>
      <c r="N25" s="3">
        <f t="shared" si="6"/>
        <v>-1.7000000007101335E-2</v>
      </c>
      <c r="O25" s="3">
        <f t="shared" si="2"/>
        <v>0.10770000000000834</v>
      </c>
      <c r="P25">
        <f t="shared" si="3"/>
        <v>3.9999999725259839E-6</v>
      </c>
      <c r="Q25">
        <f t="shared" si="3"/>
        <v>2.890000002414454E-4</v>
      </c>
      <c r="R25">
        <f t="shared" si="3"/>
        <v>1.1599290000001797E-2</v>
      </c>
      <c r="S25">
        <f t="shared" si="4"/>
        <v>2.9300000021397138E-4</v>
      </c>
      <c r="T25">
        <f t="shared" si="5"/>
        <v>1.7117242774873861E-2</v>
      </c>
    </row>
    <row r="26" spans="1:25" x14ac:dyDescent="0.3">
      <c r="A26" s="2" t="s">
        <v>399</v>
      </c>
      <c r="B26" s="4" t="s">
        <v>151</v>
      </c>
      <c r="C26" s="2" t="s">
        <v>20</v>
      </c>
      <c r="D26" s="4" t="s">
        <v>46</v>
      </c>
      <c r="E26" s="3" t="s">
        <v>158</v>
      </c>
      <c r="F26" s="3" t="s">
        <v>159</v>
      </c>
      <c r="G26" s="3" t="s">
        <v>160</v>
      </c>
      <c r="H26" s="2" t="s">
        <v>121</v>
      </c>
      <c r="I26" s="2" t="s">
        <v>161</v>
      </c>
      <c r="J26" s="5" t="s">
        <v>156</v>
      </c>
      <c r="K26" s="5" t="s">
        <v>157</v>
      </c>
      <c r="L26" s="5" t="s">
        <v>147</v>
      </c>
      <c r="M26" s="3">
        <f t="shared" si="6"/>
        <v>9.7999999998137355E-3</v>
      </c>
      <c r="N26" s="3">
        <f t="shared" si="6"/>
        <v>-8.5000000108266249E-3</v>
      </c>
      <c r="O26" s="3">
        <f t="shared" si="2"/>
        <v>9.2700000000007776E-2</v>
      </c>
      <c r="P26">
        <f t="shared" si="3"/>
        <v>9.6039999996349216E-5</v>
      </c>
      <c r="Q26">
        <f t="shared" si="3"/>
        <v>7.2250000184052624E-5</v>
      </c>
      <c r="R26">
        <f t="shared" si="3"/>
        <v>8.5932900000014415E-3</v>
      </c>
      <c r="S26">
        <f t="shared" si="4"/>
        <v>1.6829000018040184E-4</v>
      </c>
      <c r="T26">
        <f t="shared" si="5"/>
        <v>1.2972663573083279E-2</v>
      </c>
    </row>
    <row r="27" spans="1:25" x14ac:dyDescent="0.3">
      <c r="A27" s="2" t="s">
        <v>399</v>
      </c>
      <c r="B27" s="4" t="s">
        <v>151</v>
      </c>
      <c r="C27" s="2" t="s">
        <v>51</v>
      </c>
      <c r="D27" s="4" t="s">
        <v>63</v>
      </c>
      <c r="E27" s="3" t="s">
        <v>162</v>
      </c>
      <c r="F27" s="3" t="s">
        <v>163</v>
      </c>
      <c r="G27" s="3" t="s">
        <v>164</v>
      </c>
      <c r="H27" s="2" t="s">
        <v>165</v>
      </c>
      <c r="I27" s="2" t="s">
        <v>166</v>
      </c>
      <c r="J27" s="5" t="s">
        <v>156</v>
      </c>
      <c r="K27" s="5" t="s">
        <v>157</v>
      </c>
      <c r="L27" s="5" t="s">
        <v>147</v>
      </c>
      <c r="M27" s="3">
        <f t="shared" si="6"/>
        <v>0.28740000000107102</v>
      </c>
      <c r="N27" s="3">
        <f t="shared" si="6"/>
        <v>0.231099999989965</v>
      </c>
      <c r="O27" s="3">
        <f t="shared" si="2"/>
        <v>4.9052999999999969</v>
      </c>
      <c r="P27">
        <f t="shared" si="3"/>
        <v>8.2598760000615626E-2</v>
      </c>
      <c r="Q27">
        <f t="shared" si="3"/>
        <v>5.3407209995361825E-2</v>
      </c>
      <c r="R27">
        <f t="shared" si="3"/>
        <v>24.061968089999969</v>
      </c>
      <c r="S27">
        <f t="shared" si="4"/>
        <v>0.13600596999597744</v>
      </c>
      <c r="T27">
        <f t="shared" si="5"/>
        <v>0.36878987241514299</v>
      </c>
    </row>
    <row r="28" spans="1:25" x14ac:dyDescent="0.3">
      <c r="A28" s="2" t="s">
        <v>399</v>
      </c>
      <c r="B28" s="4" t="s">
        <v>151</v>
      </c>
      <c r="C28" s="2" t="s">
        <v>57</v>
      </c>
      <c r="D28" s="4" t="s">
        <v>30</v>
      </c>
      <c r="E28" s="3" t="s">
        <v>167</v>
      </c>
      <c r="F28" s="3" t="s">
        <v>168</v>
      </c>
      <c r="G28" s="3" t="s">
        <v>169</v>
      </c>
      <c r="H28" s="2" t="s">
        <v>121</v>
      </c>
      <c r="I28" s="2" t="s">
        <v>170</v>
      </c>
      <c r="J28" s="5" t="s">
        <v>156</v>
      </c>
      <c r="K28" s="5" t="s">
        <v>157</v>
      </c>
      <c r="L28" s="5" t="s">
        <v>147</v>
      </c>
      <c r="M28" s="3">
        <f t="shared" si="6"/>
        <v>-2.1399999997811392E-2</v>
      </c>
      <c r="N28" s="3">
        <f t="shared" si="6"/>
        <v>-6.6000000078929588E-3</v>
      </c>
      <c r="O28" s="3">
        <f t="shared" si="2"/>
        <v>5.0299999999992906E-2</v>
      </c>
      <c r="P28">
        <f t="shared" si="3"/>
        <v>4.5795999990632757E-4</v>
      </c>
      <c r="Q28">
        <f t="shared" si="3"/>
        <v>4.3560000104187055E-5</v>
      </c>
      <c r="R28">
        <f t="shared" si="3"/>
        <v>2.5300899999992862E-3</v>
      </c>
      <c r="S28">
        <f t="shared" si="4"/>
        <v>5.0152000001051468E-4</v>
      </c>
      <c r="T28">
        <f t="shared" si="5"/>
        <v>2.2394642216622143E-2</v>
      </c>
    </row>
    <row r="29" spans="1:25" x14ac:dyDescent="0.3">
      <c r="A29" s="2" t="s">
        <v>399</v>
      </c>
      <c r="B29" s="4" t="s">
        <v>151</v>
      </c>
      <c r="C29" s="2" t="s">
        <v>57</v>
      </c>
      <c r="D29" s="4" t="s">
        <v>52</v>
      </c>
      <c r="E29" s="3" t="s">
        <v>171</v>
      </c>
      <c r="F29" s="3" t="s">
        <v>172</v>
      </c>
      <c r="G29" s="3" t="s">
        <v>173</v>
      </c>
      <c r="H29" s="2" t="s">
        <v>121</v>
      </c>
      <c r="I29" s="2" t="s">
        <v>170</v>
      </c>
      <c r="J29" s="5" t="s">
        <v>156</v>
      </c>
      <c r="K29" s="5" t="s">
        <v>157</v>
      </c>
      <c r="L29" s="5" t="s">
        <v>147</v>
      </c>
      <c r="M29" s="3">
        <f t="shared" si="6"/>
        <v>-2.710000000661239E-2</v>
      </c>
      <c r="N29" s="3">
        <f t="shared" si="6"/>
        <v>1.0999999940395355E-3</v>
      </c>
      <c r="O29" s="3">
        <f t="shared" si="2"/>
        <v>5.6299999999993133E-2</v>
      </c>
      <c r="P29">
        <f t="shared" si="3"/>
        <v>7.344100003583916E-4</v>
      </c>
      <c r="Q29">
        <f t="shared" si="3"/>
        <v>1.2099999868869782E-6</v>
      </c>
      <c r="R29">
        <f t="shared" si="3"/>
        <v>3.1696899999992269E-3</v>
      </c>
      <c r="S29">
        <f t="shared" si="4"/>
        <v>7.3562000034527858E-4</v>
      </c>
      <c r="T29">
        <f t="shared" si="5"/>
        <v>2.7122315541732025E-2</v>
      </c>
    </row>
    <row r="30" spans="1:25" x14ac:dyDescent="0.3">
      <c r="A30" s="2" t="s">
        <v>399</v>
      </c>
      <c r="B30" s="4" t="s">
        <v>174</v>
      </c>
      <c r="C30" s="2" t="s">
        <v>45</v>
      </c>
      <c r="D30" s="4" t="s">
        <v>21</v>
      </c>
      <c r="E30" s="3" t="s">
        <v>175</v>
      </c>
      <c r="F30" s="3" t="s">
        <v>176</v>
      </c>
      <c r="G30" s="3" t="s">
        <v>177</v>
      </c>
      <c r="H30" s="2" t="s">
        <v>178</v>
      </c>
      <c r="I30" s="2" t="s">
        <v>179</v>
      </c>
      <c r="J30" s="5" t="s">
        <v>180</v>
      </c>
      <c r="K30" s="5" t="s">
        <v>181</v>
      </c>
      <c r="L30" s="5" t="s">
        <v>182</v>
      </c>
      <c r="M30" s="3">
        <f t="shared" si="6"/>
        <v>-5.2299999995739199E-2</v>
      </c>
      <c r="N30" s="3">
        <f t="shared" si="6"/>
        <v>-1.9599999999627471E-2</v>
      </c>
      <c r="O30" s="3">
        <f t="shared" si="2"/>
        <v>6.9300000000026785E-2</v>
      </c>
      <c r="P30">
        <f t="shared" si="3"/>
        <v>2.7352899995543201E-3</v>
      </c>
      <c r="Q30">
        <f t="shared" si="3"/>
        <v>3.8415999998539686E-4</v>
      </c>
      <c r="R30">
        <f t="shared" si="3"/>
        <v>4.8024900000037127E-3</v>
      </c>
      <c r="S30">
        <f t="shared" si="4"/>
        <v>3.1194499995397169E-3</v>
      </c>
      <c r="T30">
        <f t="shared" si="5"/>
        <v>5.5852036664205157E-2</v>
      </c>
    </row>
    <row r="31" spans="1:25" x14ac:dyDescent="0.3">
      <c r="A31" s="2" t="s">
        <v>399</v>
      </c>
      <c r="B31" s="4" t="s">
        <v>174</v>
      </c>
      <c r="C31" s="2" t="s">
        <v>45</v>
      </c>
      <c r="D31" s="4" t="s">
        <v>30</v>
      </c>
      <c r="E31" s="3" t="s">
        <v>183</v>
      </c>
      <c r="F31" s="3" t="s">
        <v>184</v>
      </c>
      <c r="G31" s="3" t="s">
        <v>185</v>
      </c>
      <c r="H31" s="2" t="s">
        <v>186</v>
      </c>
      <c r="I31" s="2" t="s">
        <v>187</v>
      </c>
      <c r="J31" s="5" t="s">
        <v>180</v>
      </c>
      <c r="K31" s="5" t="s">
        <v>181</v>
      </c>
      <c r="L31" s="5" t="s">
        <v>182</v>
      </c>
      <c r="M31" s="3">
        <f t="shared" si="6"/>
        <v>-4.2199999996228144E-2</v>
      </c>
      <c r="N31" s="3">
        <f t="shared" si="6"/>
        <v>-8.3000000158790499E-3</v>
      </c>
      <c r="O31" s="3">
        <f t="shared" si="2"/>
        <v>5.4300000000012005E-2</v>
      </c>
      <c r="P31">
        <f t="shared" si="3"/>
        <v>1.7808399996816554E-3</v>
      </c>
      <c r="Q31">
        <f t="shared" si="3"/>
        <v>6.8890000263592234E-5</v>
      </c>
      <c r="R31">
        <f t="shared" si="3"/>
        <v>2.9484900000013039E-3</v>
      </c>
      <c r="S31">
        <f t="shared" si="4"/>
        <v>1.8497299999452475E-3</v>
      </c>
      <c r="T31">
        <f t="shared" si="5"/>
        <v>4.3008487533802528E-2</v>
      </c>
    </row>
    <row r="32" spans="1:25" x14ac:dyDescent="0.3">
      <c r="A32" s="2" t="s">
        <v>399</v>
      </c>
      <c r="B32" s="4" t="s">
        <v>188</v>
      </c>
      <c r="C32" s="2" t="s">
        <v>20</v>
      </c>
      <c r="D32" s="4" t="s">
        <v>37</v>
      </c>
      <c r="E32" s="3" t="s">
        <v>189</v>
      </c>
      <c r="F32" s="3" t="s">
        <v>190</v>
      </c>
      <c r="G32" s="3" t="s">
        <v>191</v>
      </c>
      <c r="H32" s="2" t="s">
        <v>165</v>
      </c>
      <c r="I32" s="2" t="s">
        <v>192</v>
      </c>
      <c r="J32" s="5" t="s">
        <v>193</v>
      </c>
      <c r="K32" s="5" t="s">
        <v>194</v>
      </c>
      <c r="L32" s="5" t="s">
        <v>182</v>
      </c>
      <c r="M32" s="3">
        <f t="shared" si="6"/>
        <v>1.6399999993154779E-2</v>
      </c>
      <c r="N32" s="3">
        <f t="shared" si="6"/>
        <v>1.8299999996088445E-2</v>
      </c>
      <c r="O32" s="3">
        <f t="shared" si="2"/>
        <v>0.11129999999999995</v>
      </c>
      <c r="P32">
        <f t="shared" si="3"/>
        <v>2.6895999977547675E-4</v>
      </c>
      <c r="Q32">
        <f t="shared" si="3"/>
        <v>3.3488999985683708E-4</v>
      </c>
      <c r="R32">
        <f t="shared" si="3"/>
        <v>1.2387689999999989E-2</v>
      </c>
      <c r="S32">
        <f t="shared" si="4"/>
        <v>6.0384999963231383E-4</v>
      </c>
      <c r="T32">
        <f t="shared" si="5"/>
        <v>2.4573359551195148E-2</v>
      </c>
    </row>
    <row r="33" spans="1:20" x14ac:dyDescent="0.3">
      <c r="A33" s="2" t="s">
        <v>399</v>
      </c>
      <c r="B33" s="4" t="s">
        <v>188</v>
      </c>
      <c r="C33" s="2" t="s">
        <v>20</v>
      </c>
      <c r="D33" s="4" t="s">
        <v>46</v>
      </c>
      <c r="E33" s="3" t="s">
        <v>195</v>
      </c>
      <c r="F33" s="3" t="s">
        <v>196</v>
      </c>
      <c r="G33" s="3" t="s">
        <v>197</v>
      </c>
      <c r="H33" s="2" t="s">
        <v>95</v>
      </c>
      <c r="I33" s="2" t="s">
        <v>198</v>
      </c>
      <c r="J33" s="5" t="s">
        <v>193</v>
      </c>
      <c r="K33" s="5" t="s">
        <v>194</v>
      </c>
      <c r="L33" s="5" t="s">
        <v>182</v>
      </c>
      <c r="M33" s="3">
        <f t="shared" si="6"/>
        <v>-1.4200000005075708E-2</v>
      </c>
      <c r="N33" s="3">
        <f t="shared" si="6"/>
        <v>-3.1000000017229468E-3</v>
      </c>
      <c r="O33" s="3">
        <f t="shared" si="2"/>
        <v>4.7300000000007003E-2</v>
      </c>
      <c r="P33">
        <f t="shared" si="3"/>
        <v>2.016400001441501E-4</v>
      </c>
      <c r="Q33">
        <f t="shared" si="3"/>
        <v>9.6100000106822691E-6</v>
      </c>
      <c r="R33">
        <f t="shared" si="3"/>
        <v>2.2372900000006625E-3</v>
      </c>
      <c r="S33">
        <f t="shared" si="4"/>
        <v>2.1125000015483238E-4</v>
      </c>
      <c r="T33">
        <f t="shared" si="5"/>
        <v>1.4534441859075029E-2</v>
      </c>
    </row>
    <row r="34" spans="1:20" x14ac:dyDescent="0.3">
      <c r="A34" s="2" t="s">
        <v>399</v>
      </c>
      <c r="B34" s="4" t="s">
        <v>188</v>
      </c>
      <c r="C34" s="2" t="s">
        <v>51</v>
      </c>
      <c r="D34" s="4" t="s">
        <v>63</v>
      </c>
      <c r="E34" s="3" t="s">
        <v>199</v>
      </c>
      <c r="F34" s="3" t="s">
        <v>200</v>
      </c>
      <c r="G34" s="3" t="s">
        <v>201</v>
      </c>
      <c r="H34" s="2" t="s">
        <v>108</v>
      </c>
      <c r="I34" s="2" t="s">
        <v>114</v>
      </c>
      <c r="J34" s="5" t="s">
        <v>193</v>
      </c>
      <c r="K34" s="5" t="s">
        <v>194</v>
      </c>
      <c r="L34" s="5" t="s">
        <v>182</v>
      </c>
      <c r="M34" s="3">
        <f t="shared" si="6"/>
        <v>-8.879999999771826E-2</v>
      </c>
      <c r="N34" s="3">
        <f t="shared" si="6"/>
        <v>-2.8900000004796311E-2</v>
      </c>
      <c r="O34" s="3">
        <f t="shared" si="2"/>
        <v>3.9300000000025648E-2</v>
      </c>
      <c r="P34">
        <f t="shared" si="3"/>
        <v>7.8854399995947622E-3</v>
      </c>
      <c r="Q34">
        <f t="shared" si="3"/>
        <v>8.3521000027722678E-4</v>
      </c>
      <c r="R34">
        <f t="shared" si="3"/>
        <v>1.5444900000020159E-3</v>
      </c>
      <c r="S34">
        <f t="shared" si="4"/>
        <v>8.7206499998719895E-3</v>
      </c>
      <c r="T34">
        <f t="shared" si="5"/>
        <v>9.3384420541501409E-2</v>
      </c>
    </row>
    <row r="35" spans="1:20" x14ac:dyDescent="0.3">
      <c r="A35" s="2" t="s">
        <v>399</v>
      </c>
      <c r="B35" s="4" t="s">
        <v>188</v>
      </c>
      <c r="C35" s="2" t="s">
        <v>57</v>
      </c>
      <c r="D35" s="4" t="s">
        <v>30</v>
      </c>
      <c r="E35" s="3" t="s">
        <v>202</v>
      </c>
      <c r="F35" s="3" t="s">
        <v>203</v>
      </c>
      <c r="G35" s="3" t="s">
        <v>204</v>
      </c>
      <c r="H35" s="2" t="s">
        <v>50</v>
      </c>
      <c r="I35" s="2" t="s">
        <v>41</v>
      </c>
      <c r="J35" s="5" t="s">
        <v>193</v>
      </c>
      <c r="K35" s="5" t="s">
        <v>194</v>
      </c>
      <c r="L35" s="5" t="s">
        <v>182</v>
      </c>
      <c r="M35" s="3">
        <f t="shared" si="6"/>
        <v>-3.530000000318978E-2</v>
      </c>
      <c r="N35" s="3">
        <f t="shared" si="6"/>
        <v>-2.1900000021560118E-2</v>
      </c>
      <c r="O35" s="3">
        <f t="shared" si="2"/>
        <v>1.1699999999990496E-2</v>
      </c>
      <c r="P35">
        <f t="shared" si="3"/>
        <v>1.2460900002251984E-3</v>
      </c>
      <c r="Q35">
        <f t="shared" si="3"/>
        <v>4.7961000094433315E-4</v>
      </c>
      <c r="R35">
        <f t="shared" si="3"/>
        <v>1.368899999997776E-4</v>
      </c>
      <c r="S35">
        <f t="shared" si="4"/>
        <v>1.7257000011695316E-3</v>
      </c>
      <c r="T35">
        <f t="shared" si="5"/>
        <v>4.1541545483642417E-2</v>
      </c>
    </row>
    <row r="36" spans="1:20" x14ac:dyDescent="0.3">
      <c r="A36" s="2" t="s">
        <v>399</v>
      </c>
      <c r="B36" s="4" t="s">
        <v>188</v>
      </c>
      <c r="C36" s="2" t="s">
        <v>57</v>
      </c>
      <c r="D36" s="4" t="s">
        <v>52</v>
      </c>
      <c r="E36" s="3" t="s">
        <v>205</v>
      </c>
      <c r="F36" s="3" t="s">
        <v>206</v>
      </c>
      <c r="G36" s="3" t="s">
        <v>207</v>
      </c>
      <c r="H36" s="2" t="s">
        <v>121</v>
      </c>
      <c r="I36" s="2" t="s">
        <v>170</v>
      </c>
      <c r="J36" s="5" t="s">
        <v>193</v>
      </c>
      <c r="K36" s="5" t="s">
        <v>194</v>
      </c>
      <c r="L36" s="5" t="s">
        <v>182</v>
      </c>
      <c r="M36" s="3">
        <f t="shared" si="6"/>
        <v>-2.629999999771826E-2</v>
      </c>
      <c r="N36" s="3">
        <f t="shared" si="6"/>
        <v>-2.5300000008428469E-2</v>
      </c>
      <c r="O36" s="3">
        <f t="shared" si="2"/>
        <v>3.0000000000995897E-4</v>
      </c>
      <c r="P36">
        <f t="shared" si="3"/>
        <v>6.9168999987998046E-4</v>
      </c>
      <c r="Q36">
        <f t="shared" si="3"/>
        <v>6.4009000042648053E-4</v>
      </c>
      <c r="R36">
        <f t="shared" si="3"/>
        <v>9.0000000005975379E-8</v>
      </c>
      <c r="S36">
        <f t="shared" si="4"/>
        <v>1.3317800003064609E-3</v>
      </c>
      <c r="T36">
        <f t="shared" si="5"/>
        <v>3.649356108009276E-2</v>
      </c>
    </row>
    <row r="37" spans="1:20" x14ac:dyDescent="0.3">
      <c r="A37" s="2" t="s">
        <v>399</v>
      </c>
      <c r="B37" s="4" t="s">
        <v>208</v>
      </c>
      <c r="C37" s="2" t="s">
        <v>45</v>
      </c>
      <c r="D37" s="4" t="s">
        <v>21</v>
      </c>
      <c r="E37" s="3" t="s">
        <v>209</v>
      </c>
      <c r="F37" s="3" t="s">
        <v>210</v>
      </c>
      <c r="G37" s="3" t="s">
        <v>211</v>
      </c>
      <c r="H37" s="2" t="s">
        <v>212</v>
      </c>
      <c r="I37" s="2" t="s">
        <v>213</v>
      </c>
      <c r="J37" s="5" t="s">
        <v>214</v>
      </c>
      <c r="K37" s="5" t="s">
        <v>215</v>
      </c>
      <c r="L37" s="5" t="s">
        <v>216</v>
      </c>
      <c r="M37" s="3">
        <f t="shared" si="6"/>
        <v>-4.0300000007846393E-2</v>
      </c>
      <c r="N37" s="3">
        <f t="shared" si="6"/>
        <v>1.9500000023981556E-2</v>
      </c>
      <c r="O37" s="3">
        <f t="shared" si="2"/>
        <v>4.5199999999994134E-2</v>
      </c>
      <c r="P37">
        <f t="shared" si="3"/>
        <v>1.6240900006324192E-3</v>
      </c>
      <c r="Q37">
        <f t="shared" si="3"/>
        <v>3.8025000093528072E-4</v>
      </c>
      <c r="R37">
        <f t="shared" si="3"/>
        <v>2.0430399999994695E-3</v>
      </c>
      <c r="S37">
        <f t="shared" si="4"/>
        <v>2.0043400015676998E-3</v>
      </c>
      <c r="T37">
        <f t="shared" si="5"/>
        <v>4.4769855947587096E-2</v>
      </c>
    </row>
    <row r="38" spans="1:20" x14ac:dyDescent="0.3">
      <c r="A38" s="2" t="s">
        <v>399</v>
      </c>
      <c r="B38" s="4" t="s">
        <v>208</v>
      </c>
      <c r="C38" s="2" t="s">
        <v>45</v>
      </c>
      <c r="D38" s="4" t="s">
        <v>30</v>
      </c>
      <c r="E38" s="3" t="s">
        <v>217</v>
      </c>
      <c r="F38" s="3" t="s">
        <v>218</v>
      </c>
      <c r="G38" s="3" t="s">
        <v>219</v>
      </c>
      <c r="H38" s="2" t="s">
        <v>220</v>
      </c>
      <c r="I38" s="2" t="s">
        <v>221</v>
      </c>
      <c r="J38" s="5" t="s">
        <v>214</v>
      </c>
      <c r="K38" s="5" t="s">
        <v>215</v>
      </c>
      <c r="L38" s="5" t="s">
        <v>216</v>
      </c>
      <c r="M38" s="3">
        <f t="shared" si="6"/>
        <v>-5.1300000006449409E-2</v>
      </c>
      <c r="N38" s="3">
        <f t="shared" si="6"/>
        <v>3.0900000012479722E-2</v>
      </c>
      <c r="O38" s="3">
        <f t="shared" si="2"/>
        <v>6.0199999999994702E-2</v>
      </c>
      <c r="P38">
        <f t="shared" si="3"/>
        <v>2.6316900006617093E-3</v>
      </c>
      <c r="Q38">
        <f t="shared" si="3"/>
        <v>9.5481000077124684E-4</v>
      </c>
      <c r="R38">
        <f t="shared" si="3"/>
        <v>3.6240399999993623E-3</v>
      </c>
      <c r="S38">
        <f t="shared" si="4"/>
        <v>3.586500001432956E-3</v>
      </c>
      <c r="T38">
        <f t="shared" si="5"/>
        <v>5.988739434499514E-2</v>
      </c>
    </row>
    <row r="39" spans="1:20" x14ac:dyDescent="0.3">
      <c r="A39" s="2" t="s">
        <v>399</v>
      </c>
      <c r="B39" s="4" t="s">
        <v>222</v>
      </c>
      <c r="C39" s="2" t="s">
        <v>20</v>
      </c>
      <c r="D39" s="4" t="s">
        <v>37</v>
      </c>
      <c r="E39" s="3" t="s">
        <v>223</v>
      </c>
      <c r="F39" s="3" t="s">
        <v>224</v>
      </c>
      <c r="G39" s="3" t="s">
        <v>225</v>
      </c>
      <c r="H39" s="2" t="s">
        <v>220</v>
      </c>
      <c r="I39" s="2" t="s">
        <v>226</v>
      </c>
      <c r="J39" s="5" t="s">
        <v>227</v>
      </c>
      <c r="K39" s="5" t="s">
        <v>228</v>
      </c>
      <c r="L39" s="5" t="s">
        <v>216</v>
      </c>
      <c r="M39" s="3">
        <f t="shared" si="6"/>
        <v>-5.430000000342261E-2</v>
      </c>
      <c r="N39" s="3">
        <f t="shared" si="6"/>
        <v>3.1000000017229468E-2</v>
      </c>
      <c r="O39" s="3">
        <f t="shared" si="2"/>
        <v>0.11519999999999442</v>
      </c>
      <c r="P39">
        <f t="shared" si="3"/>
        <v>2.9484900003716955E-3</v>
      </c>
      <c r="Q39">
        <f t="shared" si="3"/>
        <v>9.6100000106822704E-4</v>
      </c>
      <c r="R39">
        <f t="shared" si="3"/>
        <v>1.3271039999998714E-2</v>
      </c>
      <c r="S39">
        <f t="shared" si="4"/>
        <v>3.9094900014399227E-3</v>
      </c>
      <c r="T39">
        <f t="shared" si="5"/>
        <v>6.2525914638971281E-2</v>
      </c>
    </row>
    <row r="40" spans="1:20" x14ac:dyDescent="0.3">
      <c r="A40" s="2" t="s">
        <v>399</v>
      </c>
      <c r="B40" s="4" t="s">
        <v>222</v>
      </c>
      <c r="C40" s="2" t="s">
        <v>20</v>
      </c>
      <c r="D40" s="4" t="s">
        <v>46</v>
      </c>
      <c r="E40" s="3" t="s">
        <v>229</v>
      </c>
      <c r="F40" s="3" t="s">
        <v>230</v>
      </c>
      <c r="G40" s="3" t="s">
        <v>231</v>
      </c>
      <c r="H40" s="2" t="s">
        <v>50</v>
      </c>
      <c r="I40" s="2" t="s">
        <v>41</v>
      </c>
      <c r="J40" s="5" t="s">
        <v>227</v>
      </c>
      <c r="K40" s="5" t="s">
        <v>228</v>
      </c>
      <c r="L40" s="5" t="s">
        <v>216</v>
      </c>
      <c r="M40" s="3">
        <f t="shared" si="6"/>
        <v>-3.5100000008242205E-2</v>
      </c>
      <c r="N40" s="3">
        <f t="shared" si="6"/>
        <v>3.5700000007636845E-2</v>
      </c>
      <c r="O40" s="3">
        <f t="shared" si="2"/>
        <v>9.1199999999993508E-2</v>
      </c>
      <c r="P40">
        <f t="shared" si="3"/>
        <v>1.2320100005786029E-3</v>
      </c>
      <c r="Q40">
        <f t="shared" si="3"/>
        <v>1.2744900005452707E-3</v>
      </c>
      <c r="R40">
        <f t="shared" si="3"/>
        <v>8.3174399999988158E-3</v>
      </c>
      <c r="S40">
        <f t="shared" si="4"/>
        <v>2.5065000011238736E-3</v>
      </c>
      <c r="T40">
        <f t="shared" si="5"/>
        <v>5.006495781606006E-2</v>
      </c>
    </row>
    <row r="41" spans="1:20" x14ac:dyDescent="0.3">
      <c r="A41" s="2" t="s">
        <v>399</v>
      </c>
      <c r="B41" s="4" t="s">
        <v>222</v>
      </c>
      <c r="C41" s="2" t="s">
        <v>51</v>
      </c>
      <c r="D41" s="4" t="s">
        <v>63</v>
      </c>
      <c r="E41" s="3" t="s">
        <v>232</v>
      </c>
      <c r="F41" s="3" t="s">
        <v>233</v>
      </c>
      <c r="G41" s="3" t="s">
        <v>234</v>
      </c>
      <c r="H41" s="2" t="s">
        <v>74</v>
      </c>
      <c r="I41" s="2" t="s">
        <v>88</v>
      </c>
      <c r="J41" s="5" t="s">
        <v>227</v>
      </c>
      <c r="K41" s="5" t="s">
        <v>228</v>
      </c>
      <c r="L41" s="5" t="s">
        <v>216</v>
      </c>
      <c r="M41" s="3">
        <f t="shared" si="6"/>
        <v>-3.1799999997019768E-2</v>
      </c>
      <c r="N41" s="3">
        <f t="shared" si="6"/>
        <v>0.1063000000140164</v>
      </c>
      <c r="O41" s="3">
        <f t="shared" si="2"/>
        <v>0.27420000000000044</v>
      </c>
      <c r="P41">
        <f t="shared" si="3"/>
        <v>1.0112399998104572E-3</v>
      </c>
      <c r="Q41">
        <f t="shared" si="3"/>
        <v>1.1299690002979888E-2</v>
      </c>
      <c r="R41">
        <f t="shared" si="3"/>
        <v>7.5185640000000248E-2</v>
      </c>
      <c r="S41">
        <f t="shared" si="4"/>
        <v>1.2310930002790346E-2</v>
      </c>
      <c r="T41">
        <f t="shared" si="5"/>
        <v>0.11095463038012585</v>
      </c>
    </row>
    <row r="42" spans="1:20" x14ac:dyDescent="0.3">
      <c r="A42" s="2" t="s">
        <v>399</v>
      </c>
      <c r="B42" s="4" t="s">
        <v>222</v>
      </c>
      <c r="C42" s="2" t="s">
        <v>57</v>
      </c>
      <c r="D42" s="4" t="s">
        <v>30</v>
      </c>
      <c r="E42" s="3" t="s">
        <v>235</v>
      </c>
      <c r="F42" s="3" t="s">
        <v>236</v>
      </c>
      <c r="G42" s="3" t="s">
        <v>237</v>
      </c>
      <c r="H42" s="2" t="s">
        <v>50</v>
      </c>
      <c r="I42" s="2" t="s">
        <v>238</v>
      </c>
      <c r="J42" s="5" t="s">
        <v>227</v>
      </c>
      <c r="K42" s="5" t="s">
        <v>228</v>
      </c>
      <c r="L42" s="5" t="s">
        <v>216</v>
      </c>
      <c r="M42" s="3">
        <f t="shared" si="6"/>
        <v>-3.3800000004703179E-2</v>
      </c>
      <c r="N42" s="3">
        <f t="shared" si="6"/>
        <v>2.8300000005401671E-2</v>
      </c>
      <c r="O42" s="3">
        <f t="shared" si="2"/>
        <v>0.16419999999999391</v>
      </c>
      <c r="P42">
        <f t="shared" si="3"/>
        <v>1.1424400003179349E-3</v>
      </c>
      <c r="Q42">
        <f t="shared" si="3"/>
        <v>8.0089000030573456E-4</v>
      </c>
      <c r="R42">
        <f t="shared" si="3"/>
        <v>2.6961639999998E-2</v>
      </c>
      <c r="S42">
        <f t="shared" si="4"/>
        <v>1.9433300006236696E-3</v>
      </c>
      <c r="T42">
        <f t="shared" si="5"/>
        <v>4.4083216768104269E-2</v>
      </c>
    </row>
    <row r="43" spans="1:20" x14ac:dyDescent="0.3">
      <c r="A43" s="2" t="s">
        <v>399</v>
      </c>
      <c r="B43" s="4" t="s">
        <v>222</v>
      </c>
      <c r="C43" s="2" t="s">
        <v>57</v>
      </c>
      <c r="D43" s="4" t="s">
        <v>52</v>
      </c>
      <c r="E43" s="3" t="s">
        <v>239</v>
      </c>
      <c r="F43" s="3" t="s">
        <v>240</v>
      </c>
      <c r="G43" s="3" t="s">
        <v>241</v>
      </c>
      <c r="H43" s="2" t="s">
        <v>121</v>
      </c>
      <c r="I43" s="2" t="s">
        <v>170</v>
      </c>
      <c r="J43" s="5" t="s">
        <v>227</v>
      </c>
      <c r="K43" s="5" t="s">
        <v>228</v>
      </c>
      <c r="L43" s="5" t="s">
        <v>216</v>
      </c>
      <c r="M43" s="3">
        <f t="shared" si="6"/>
        <v>-4.8999999999068677E-2</v>
      </c>
      <c r="N43" s="3">
        <f t="shared" si="6"/>
        <v>2.4000000004889444E-2</v>
      </c>
      <c r="O43" s="3">
        <f t="shared" si="2"/>
        <v>0.13619999999999521</v>
      </c>
      <c r="P43">
        <f t="shared" si="3"/>
        <v>2.4009999999087305E-3</v>
      </c>
      <c r="Q43">
        <f t="shared" si="3"/>
        <v>5.7600000023469325E-4</v>
      </c>
      <c r="R43">
        <f t="shared" si="3"/>
        <v>1.8550439999998697E-2</v>
      </c>
      <c r="S43">
        <f t="shared" si="4"/>
        <v>2.9770000001434239E-3</v>
      </c>
      <c r="T43">
        <f t="shared" si="5"/>
        <v>5.4561891464129285E-2</v>
      </c>
    </row>
    <row r="44" spans="1:20" x14ac:dyDescent="0.3">
      <c r="A44" s="2" t="s">
        <v>399</v>
      </c>
      <c r="B44" s="4" t="s">
        <v>242</v>
      </c>
      <c r="C44" s="2" t="s">
        <v>45</v>
      </c>
      <c r="D44" s="4" t="s">
        <v>21</v>
      </c>
      <c r="E44" s="3" t="s">
        <v>243</v>
      </c>
      <c r="F44" s="3" t="s">
        <v>244</v>
      </c>
      <c r="G44" s="3" t="s">
        <v>245</v>
      </c>
      <c r="H44" s="2" t="s">
        <v>108</v>
      </c>
      <c r="I44" s="2" t="s">
        <v>246</v>
      </c>
      <c r="J44" s="5" t="s">
        <v>247</v>
      </c>
      <c r="K44" s="5" t="s">
        <v>248</v>
      </c>
      <c r="L44" s="5" t="s">
        <v>249</v>
      </c>
      <c r="M44" s="3">
        <f t="shared" si="6"/>
        <v>-2.6300000012270175E-2</v>
      </c>
      <c r="N44" s="3">
        <f t="shared" si="6"/>
        <v>-2.3500000010244548E-2</v>
      </c>
      <c r="O44" s="3">
        <f t="shared" si="2"/>
        <v>8.9500000000015234E-2</v>
      </c>
      <c r="P44">
        <f t="shared" si="3"/>
        <v>6.9169000064541125E-4</v>
      </c>
      <c r="Q44">
        <f t="shared" si="3"/>
        <v>5.5225000048149376E-4</v>
      </c>
      <c r="R44">
        <f t="shared" si="3"/>
        <v>8.010250000002727E-3</v>
      </c>
      <c r="S44">
        <f t="shared" si="4"/>
        <v>1.243940001126905E-3</v>
      </c>
      <c r="T44">
        <f t="shared" si="5"/>
        <v>3.5269533610850383E-2</v>
      </c>
    </row>
    <row r="45" spans="1:20" x14ac:dyDescent="0.3">
      <c r="A45" s="2" t="s">
        <v>399</v>
      </c>
      <c r="B45" s="4" t="s">
        <v>242</v>
      </c>
      <c r="C45" s="2" t="s">
        <v>45</v>
      </c>
      <c r="D45" s="4" t="s">
        <v>30</v>
      </c>
      <c r="E45" s="3" t="s">
        <v>250</v>
      </c>
      <c r="F45" s="3" t="s">
        <v>251</v>
      </c>
      <c r="G45" s="3" t="s">
        <v>252</v>
      </c>
      <c r="H45" s="2" t="s">
        <v>170</v>
      </c>
      <c r="I45" s="2" t="s">
        <v>246</v>
      </c>
      <c r="J45" s="5" t="s">
        <v>247</v>
      </c>
      <c r="K45" s="5" t="s">
        <v>248</v>
      </c>
      <c r="L45" s="5" t="s">
        <v>249</v>
      </c>
      <c r="M45" s="3">
        <f t="shared" si="6"/>
        <v>-2.2200000006705523E-2</v>
      </c>
      <c r="N45" s="3">
        <f t="shared" si="6"/>
        <v>-2.4600000004284084E-2</v>
      </c>
      <c r="O45" s="3">
        <f t="shared" si="2"/>
        <v>8.0500000000000682E-2</v>
      </c>
      <c r="P45">
        <f t="shared" si="3"/>
        <v>4.928400002977252E-4</v>
      </c>
      <c r="Q45">
        <f t="shared" si="3"/>
        <v>6.0516000021077691E-4</v>
      </c>
      <c r="R45">
        <f t="shared" si="3"/>
        <v>6.4802500000001101E-3</v>
      </c>
      <c r="S45">
        <f t="shared" si="4"/>
        <v>1.0980000005085021E-3</v>
      </c>
      <c r="T45">
        <f t="shared" si="5"/>
        <v>3.3136083059234718E-2</v>
      </c>
    </row>
    <row r="46" spans="1:20" x14ac:dyDescent="0.3">
      <c r="A46" s="2" t="s">
        <v>399</v>
      </c>
      <c r="B46" s="4" t="s">
        <v>253</v>
      </c>
      <c r="C46" s="2" t="s">
        <v>20</v>
      </c>
      <c r="D46" s="4" t="s">
        <v>37</v>
      </c>
      <c r="E46" s="3" t="s">
        <v>254</v>
      </c>
      <c r="F46" s="3" t="s">
        <v>255</v>
      </c>
      <c r="G46" s="3" t="s">
        <v>256</v>
      </c>
      <c r="H46" s="2" t="s">
        <v>108</v>
      </c>
      <c r="I46" s="2" t="s">
        <v>257</v>
      </c>
      <c r="J46" s="5" t="s">
        <v>258</v>
      </c>
      <c r="K46" s="5" t="s">
        <v>259</v>
      </c>
      <c r="L46" s="5" t="s">
        <v>249</v>
      </c>
      <c r="M46" s="3">
        <f t="shared" si="6"/>
        <v>-2.7900000000954606E-2</v>
      </c>
      <c r="N46" s="3">
        <f t="shared" si="6"/>
        <v>-1.6300000017508864E-2</v>
      </c>
      <c r="O46" s="3">
        <f t="shared" si="2"/>
        <v>4.7500000000013642E-2</v>
      </c>
      <c r="P46">
        <f t="shared" si="3"/>
        <v>7.7841000005326696E-4</v>
      </c>
      <c r="Q46">
        <f t="shared" si="3"/>
        <v>2.6569000057078898E-4</v>
      </c>
      <c r="R46">
        <f t="shared" si="3"/>
        <v>2.2562500000012958E-3</v>
      </c>
      <c r="S46">
        <f t="shared" si="4"/>
        <v>1.044100000624056E-3</v>
      </c>
      <c r="T46">
        <f t="shared" si="5"/>
        <v>3.2312536276560777E-2</v>
      </c>
    </row>
    <row r="47" spans="1:20" x14ac:dyDescent="0.3">
      <c r="A47" s="2" t="s">
        <v>399</v>
      </c>
      <c r="B47" s="4" t="s">
        <v>253</v>
      </c>
      <c r="C47" s="2" t="s">
        <v>20</v>
      </c>
      <c r="D47" s="4" t="s">
        <v>46</v>
      </c>
      <c r="E47" s="3" t="s">
        <v>260</v>
      </c>
      <c r="F47" s="3" t="s">
        <v>261</v>
      </c>
      <c r="G47" s="3" t="s">
        <v>262</v>
      </c>
      <c r="H47" s="2" t="s">
        <v>49</v>
      </c>
      <c r="I47" s="2" t="s">
        <v>95</v>
      </c>
      <c r="J47" s="5" t="s">
        <v>258</v>
      </c>
      <c r="K47" s="5" t="s">
        <v>259</v>
      </c>
      <c r="L47" s="5" t="s">
        <v>249</v>
      </c>
      <c r="M47" s="3">
        <f t="shared" si="6"/>
        <v>-1.74000000115484E-2</v>
      </c>
      <c r="N47" s="3">
        <f t="shared" si="6"/>
        <v>-1.2300000002142042E-2</v>
      </c>
      <c r="O47" s="3">
        <f t="shared" si="2"/>
        <v>7.4500000000000455E-2</v>
      </c>
      <c r="P47">
        <f t="shared" si="3"/>
        <v>3.0276000040188432E-4</v>
      </c>
      <c r="Q47">
        <f t="shared" si="3"/>
        <v>1.5129000005269423E-4</v>
      </c>
      <c r="R47">
        <f t="shared" si="3"/>
        <v>5.5502500000000681E-3</v>
      </c>
      <c r="S47">
        <f t="shared" si="4"/>
        <v>4.5405000045457855E-4</v>
      </c>
      <c r="T47">
        <f t="shared" si="5"/>
        <v>2.1308449039162344E-2</v>
      </c>
    </row>
    <row r="48" spans="1:20" x14ac:dyDescent="0.3">
      <c r="A48" s="2" t="s">
        <v>399</v>
      </c>
      <c r="B48" s="4" t="s">
        <v>253</v>
      </c>
      <c r="C48" s="2" t="s">
        <v>51</v>
      </c>
      <c r="D48" s="4" t="s">
        <v>63</v>
      </c>
      <c r="E48" s="3" t="s">
        <v>263</v>
      </c>
      <c r="F48" s="3" t="s">
        <v>264</v>
      </c>
      <c r="G48" s="3" t="s">
        <v>265</v>
      </c>
      <c r="H48" s="2" t="s">
        <v>87</v>
      </c>
      <c r="I48" s="2" t="s">
        <v>50</v>
      </c>
      <c r="J48" s="5" t="s">
        <v>258</v>
      </c>
      <c r="K48" s="5" t="s">
        <v>259</v>
      </c>
      <c r="L48" s="5" t="s">
        <v>249</v>
      </c>
      <c r="M48" s="3">
        <f t="shared" si="6"/>
        <v>-2.8500000000349246E-2</v>
      </c>
      <c r="N48" s="3">
        <f t="shared" si="6"/>
        <v>-2.5200000003678724E-2</v>
      </c>
      <c r="O48" s="3">
        <f t="shared" si="2"/>
        <v>4.6500000000008868E-2</v>
      </c>
      <c r="P48">
        <f t="shared" si="3"/>
        <v>8.1225000001990707E-4</v>
      </c>
      <c r="Q48">
        <f t="shared" si="3"/>
        <v>6.350400001854077E-4</v>
      </c>
      <c r="R48">
        <f t="shared" si="3"/>
        <v>2.1622500000008245E-3</v>
      </c>
      <c r="S48">
        <f t="shared" si="4"/>
        <v>1.4472900002053149E-3</v>
      </c>
      <c r="T48">
        <f t="shared" si="5"/>
        <v>3.8043264846820322E-2</v>
      </c>
    </row>
    <row r="49" spans="1:20" x14ac:dyDescent="0.3">
      <c r="A49" s="2" t="s">
        <v>399</v>
      </c>
      <c r="B49" s="4" t="s">
        <v>253</v>
      </c>
      <c r="C49" s="2" t="s">
        <v>57</v>
      </c>
      <c r="D49" s="4" t="s">
        <v>30</v>
      </c>
      <c r="E49" s="3" t="s">
        <v>266</v>
      </c>
      <c r="F49" s="3" t="s">
        <v>267</v>
      </c>
      <c r="G49" s="3" t="s">
        <v>268</v>
      </c>
      <c r="H49" s="2" t="s">
        <v>87</v>
      </c>
      <c r="I49" s="2" t="s">
        <v>73</v>
      </c>
      <c r="J49" s="5" t="s">
        <v>258</v>
      </c>
      <c r="K49" s="5" t="s">
        <v>259</v>
      </c>
      <c r="L49" s="5" t="s">
        <v>249</v>
      </c>
      <c r="M49" s="3">
        <f t="shared" si="6"/>
        <v>1.5999999886844307E-3</v>
      </c>
      <c r="N49" s="3">
        <f t="shared" si="6"/>
        <v>-8.9000000152736902E-3</v>
      </c>
      <c r="O49" s="3">
        <f t="shared" si="2"/>
        <v>9.0500000000020009E-2</v>
      </c>
      <c r="P49">
        <f t="shared" si="3"/>
        <v>2.5599999637901784E-6</v>
      </c>
      <c r="Q49">
        <f t="shared" si="3"/>
        <v>7.9210000271871686E-5</v>
      </c>
      <c r="R49">
        <f t="shared" si="3"/>
        <v>8.1902500000036217E-3</v>
      </c>
      <c r="S49">
        <f t="shared" si="4"/>
        <v>8.1770000235661871E-5</v>
      </c>
      <c r="T49">
        <f t="shared" si="5"/>
        <v>9.0426766079331772E-3</v>
      </c>
    </row>
    <row r="50" spans="1:20" x14ac:dyDescent="0.3">
      <c r="A50" s="2" t="s">
        <v>399</v>
      </c>
      <c r="B50" s="4" t="s">
        <v>253</v>
      </c>
      <c r="C50" s="2" t="s">
        <v>57</v>
      </c>
      <c r="D50" s="4" t="s">
        <v>52</v>
      </c>
      <c r="E50" s="3" t="s">
        <v>269</v>
      </c>
      <c r="F50" s="3" t="s">
        <v>270</v>
      </c>
      <c r="G50" s="3" t="s">
        <v>271</v>
      </c>
      <c r="H50" s="2" t="s">
        <v>94</v>
      </c>
      <c r="I50" s="2" t="s">
        <v>121</v>
      </c>
      <c r="J50" s="5" t="s">
        <v>258</v>
      </c>
      <c r="K50" s="5" t="s">
        <v>259</v>
      </c>
      <c r="L50" s="5" t="s">
        <v>249</v>
      </c>
      <c r="M50" s="3">
        <f t="shared" si="6"/>
        <v>-1.3100000011036173E-2</v>
      </c>
      <c r="N50" s="3">
        <f t="shared" si="6"/>
        <v>-6.3000000081956387E-3</v>
      </c>
      <c r="O50" s="3">
        <f t="shared" si="2"/>
        <v>8.6500000000000909E-2</v>
      </c>
      <c r="P50">
        <f t="shared" si="3"/>
        <v>1.7161000028914771E-4</v>
      </c>
      <c r="Q50">
        <f t="shared" si="3"/>
        <v>3.9690000103265047E-5</v>
      </c>
      <c r="R50">
        <f t="shared" si="3"/>
        <v>7.4822500000001572E-3</v>
      </c>
      <c r="S50">
        <f t="shared" si="4"/>
        <v>2.1130000039241276E-4</v>
      </c>
      <c r="T50">
        <f t="shared" si="5"/>
        <v>1.4536161817770631E-2</v>
      </c>
    </row>
    <row r="51" spans="1:20" x14ac:dyDescent="0.3">
      <c r="A51" s="2" t="s">
        <v>399</v>
      </c>
      <c r="B51" s="4" t="s">
        <v>272</v>
      </c>
      <c r="C51" s="2" t="s">
        <v>45</v>
      </c>
      <c r="D51" s="4" t="s">
        <v>30</v>
      </c>
      <c r="E51" s="3" t="s">
        <v>273</v>
      </c>
      <c r="F51" s="3" t="s">
        <v>274</v>
      </c>
      <c r="G51" s="3" t="s">
        <v>275</v>
      </c>
      <c r="H51" s="2" t="s">
        <v>42</v>
      </c>
      <c r="I51" s="2" t="s">
        <v>276</v>
      </c>
      <c r="J51" s="5" t="s">
        <v>277</v>
      </c>
      <c r="K51" s="5" t="s">
        <v>278</v>
      </c>
      <c r="L51" s="5" t="s">
        <v>279</v>
      </c>
      <c r="M51" s="3">
        <f t="shared" si="6"/>
        <v>-1.3299999991431832E-2</v>
      </c>
      <c r="N51" s="3">
        <f t="shared" si="6"/>
        <v>-2.9999999969732016E-3</v>
      </c>
      <c r="O51" s="3">
        <f t="shared" si="2"/>
        <v>7.099999999994111E-3</v>
      </c>
      <c r="P51">
        <f t="shared" si="3"/>
        <v>1.7688999977208674E-4</v>
      </c>
      <c r="Q51">
        <f t="shared" si="3"/>
        <v>8.999999981839209E-6</v>
      </c>
      <c r="R51">
        <f t="shared" si="3"/>
        <v>5.0409999999916374E-5</v>
      </c>
      <c r="S51">
        <f t="shared" si="4"/>
        <v>1.8588999975392595E-4</v>
      </c>
      <c r="T51">
        <f t="shared" si="5"/>
        <v>1.3634148295875542E-2</v>
      </c>
    </row>
    <row r="52" spans="1:20" x14ac:dyDescent="0.3">
      <c r="A52" s="2" t="s">
        <v>399</v>
      </c>
      <c r="B52" s="4" t="s">
        <v>272</v>
      </c>
      <c r="C52" s="2" t="s">
        <v>45</v>
      </c>
      <c r="D52" s="4" t="s">
        <v>21</v>
      </c>
      <c r="E52" s="3" t="s">
        <v>280</v>
      </c>
      <c r="F52" s="3" t="s">
        <v>281</v>
      </c>
      <c r="G52" s="3" t="s">
        <v>282</v>
      </c>
      <c r="H52" s="2" t="s">
        <v>283</v>
      </c>
      <c r="I52" s="2" t="s">
        <v>284</v>
      </c>
      <c r="J52" s="5" t="s">
        <v>277</v>
      </c>
      <c r="K52" s="5" t="s">
        <v>278</v>
      </c>
      <c r="L52" s="5" t="s">
        <v>279</v>
      </c>
      <c r="M52" s="3">
        <f t="shared" si="6"/>
        <v>6.7000000271946192E-3</v>
      </c>
      <c r="N52" s="3">
        <f t="shared" si="6"/>
        <v>-2.6400000002468005E-2</v>
      </c>
      <c r="O52" s="3">
        <f t="shared" si="2"/>
        <v>0.13009999999999877</v>
      </c>
      <c r="P52">
        <f t="shared" si="3"/>
        <v>4.4890000364407898E-5</v>
      </c>
      <c r="Q52">
        <f t="shared" si="3"/>
        <v>6.9696000013031063E-4</v>
      </c>
      <c r="R52">
        <f t="shared" si="3"/>
        <v>1.6926009999999679E-2</v>
      </c>
      <c r="S52">
        <f t="shared" si="4"/>
        <v>7.4185000049471848E-4</v>
      </c>
      <c r="T52">
        <f t="shared" si="5"/>
        <v>2.7236923477050753E-2</v>
      </c>
    </row>
    <row r="53" spans="1:20" x14ac:dyDescent="0.3">
      <c r="A53" s="2" t="s">
        <v>399</v>
      </c>
      <c r="B53" s="4" t="s">
        <v>285</v>
      </c>
      <c r="C53" s="2" t="s">
        <v>20</v>
      </c>
      <c r="D53" s="4" t="s">
        <v>37</v>
      </c>
      <c r="E53" s="3" t="s">
        <v>286</v>
      </c>
      <c r="F53" s="3" t="s">
        <v>287</v>
      </c>
      <c r="G53" s="3" t="s">
        <v>288</v>
      </c>
      <c r="H53" s="2" t="s">
        <v>81</v>
      </c>
      <c r="I53" s="2" t="s">
        <v>220</v>
      </c>
      <c r="J53" s="5" t="s">
        <v>289</v>
      </c>
      <c r="K53" s="5" t="s">
        <v>290</v>
      </c>
      <c r="L53" s="5" t="s">
        <v>279</v>
      </c>
      <c r="M53" s="3">
        <f t="shared" si="6"/>
        <v>-5.4999999701976776E-3</v>
      </c>
      <c r="N53" s="3">
        <f t="shared" si="6"/>
        <v>-1.2999999744351953E-3</v>
      </c>
      <c r="O53" s="3">
        <f t="shared" si="2"/>
        <v>1.8900000000002137E-2</v>
      </c>
      <c r="P53">
        <f t="shared" si="3"/>
        <v>3.0249999672174455E-5</v>
      </c>
      <c r="Q53">
        <f t="shared" si="3"/>
        <v>1.6899999335315085E-6</v>
      </c>
      <c r="R53">
        <f t="shared" si="3"/>
        <v>3.5721000000008078E-4</v>
      </c>
      <c r="S53">
        <f t="shared" si="4"/>
        <v>3.1939999605705962E-5</v>
      </c>
      <c r="T53">
        <f t="shared" si="5"/>
        <v>5.6515484254941991E-3</v>
      </c>
    </row>
    <row r="54" spans="1:20" x14ac:dyDescent="0.3">
      <c r="A54" s="2" t="s">
        <v>399</v>
      </c>
      <c r="B54" s="4" t="s">
        <v>285</v>
      </c>
      <c r="C54" s="2" t="s">
        <v>20</v>
      </c>
      <c r="D54" s="4" t="s">
        <v>46</v>
      </c>
      <c r="E54" s="3" t="s">
        <v>291</v>
      </c>
      <c r="F54" s="3" t="s">
        <v>292</v>
      </c>
      <c r="G54" s="3" t="s">
        <v>293</v>
      </c>
      <c r="H54" s="2" t="s">
        <v>49</v>
      </c>
      <c r="I54" s="2" t="s">
        <v>108</v>
      </c>
      <c r="J54" s="5" t="s">
        <v>289</v>
      </c>
      <c r="K54" s="5" t="s">
        <v>290</v>
      </c>
      <c r="L54" s="5" t="s">
        <v>279</v>
      </c>
      <c r="M54" s="3">
        <f t="shared" si="6"/>
        <v>6.5000000176951289E-3</v>
      </c>
      <c r="N54" s="3">
        <f t="shared" si="6"/>
        <v>2.5200000003678724E-2</v>
      </c>
      <c r="O54" s="3">
        <f t="shared" si="2"/>
        <v>3.0900000000002592E-2</v>
      </c>
      <c r="P54">
        <f t="shared" si="3"/>
        <v>4.2250000230036676E-5</v>
      </c>
      <c r="Q54">
        <f t="shared" si="3"/>
        <v>6.350400001854077E-4</v>
      </c>
      <c r="R54">
        <f t="shared" si="3"/>
        <v>9.5481000000016019E-4</v>
      </c>
      <c r="S54">
        <f t="shared" si="4"/>
        <v>6.7729000041544436E-4</v>
      </c>
      <c r="T54">
        <f t="shared" si="5"/>
        <v>2.602479587653752E-2</v>
      </c>
    </row>
    <row r="55" spans="1:20" x14ac:dyDescent="0.3">
      <c r="A55" s="2" t="s">
        <v>399</v>
      </c>
      <c r="B55" s="4" t="s">
        <v>285</v>
      </c>
      <c r="C55" s="2" t="s">
        <v>51</v>
      </c>
      <c r="D55" s="4" t="s">
        <v>63</v>
      </c>
      <c r="E55" s="3" t="s">
        <v>294</v>
      </c>
      <c r="F55" s="3" t="s">
        <v>295</v>
      </c>
      <c r="G55" s="3" t="s">
        <v>296</v>
      </c>
      <c r="H55" s="2" t="s">
        <v>121</v>
      </c>
      <c r="I55" s="2" t="s">
        <v>74</v>
      </c>
      <c r="J55" s="5" t="s">
        <v>289</v>
      </c>
      <c r="K55" s="5" t="s">
        <v>290</v>
      </c>
      <c r="L55" s="5" t="s">
        <v>279</v>
      </c>
      <c r="M55" s="3">
        <f t="shared" si="6"/>
        <v>1.7700000025797635E-2</v>
      </c>
      <c r="N55" s="3">
        <f t="shared" si="6"/>
        <v>8.2000000111293048E-3</v>
      </c>
      <c r="O55" s="3">
        <f t="shared" si="2"/>
        <v>2.109999999999701E-2</v>
      </c>
      <c r="P55">
        <f t="shared" si="3"/>
        <v>3.1329000091323631E-4</v>
      </c>
      <c r="Q55">
        <f t="shared" si="3"/>
        <v>6.7240000182520597E-5</v>
      </c>
      <c r="R55">
        <f t="shared" si="3"/>
        <v>4.4520999999987383E-4</v>
      </c>
      <c r="S55">
        <f t="shared" si="4"/>
        <v>3.8053000109575691E-4</v>
      </c>
      <c r="T55">
        <f t="shared" si="5"/>
        <v>1.9507178194084273E-2</v>
      </c>
    </row>
    <row r="56" spans="1:20" x14ac:dyDescent="0.3">
      <c r="A56" s="2" t="s">
        <v>399</v>
      </c>
      <c r="B56" s="4" t="s">
        <v>285</v>
      </c>
      <c r="C56" s="2" t="s">
        <v>57</v>
      </c>
      <c r="D56" s="4" t="s">
        <v>30</v>
      </c>
      <c r="E56" s="3" t="s">
        <v>297</v>
      </c>
      <c r="F56" s="3" t="s">
        <v>298</v>
      </c>
      <c r="G56" s="3" t="s">
        <v>299</v>
      </c>
      <c r="H56" s="2" t="s">
        <v>300</v>
      </c>
      <c r="I56" s="2" t="s">
        <v>301</v>
      </c>
      <c r="J56" s="5" t="s">
        <v>289</v>
      </c>
      <c r="K56" s="5" t="s">
        <v>290</v>
      </c>
      <c r="L56" s="5" t="s">
        <v>279</v>
      </c>
      <c r="M56" s="3">
        <f t="shared" si="6"/>
        <v>1.4699999999720603E-2</v>
      </c>
      <c r="N56" s="3">
        <f t="shared" si="6"/>
        <v>2.6400000002468005E-2</v>
      </c>
      <c r="O56" s="3">
        <f t="shared" si="2"/>
        <v>3.5099999999999909E-2</v>
      </c>
      <c r="P56">
        <f t="shared" si="3"/>
        <v>2.1608999999178573E-4</v>
      </c>
      <c r="Q56">
        <f t="shared" si="3"/>
        <v>6.9696000013031063E-4</v>
      </c>
      <c r="R56">
        <f t="shared" si="3"/>
        <v>1.2320099999999937E-3</v>
      </c>
      <c r="S56">
        <f t="shared" si="4"/>
        <v>9.1305000012209634E-4</v>
      </c>
      <c r="T56">
        <f t="shared" si="5"/>
        <v>3.0216717229409558E-2</v>
      </c>
    </row>
    <row r="57" spans="1:20" x14ac:dyDescent="0.3">
      <c r="A57" s="2" t="s">
        <v>399</v>
      </c>
      <c r="B57" s="4" t="s">
        <v>285</v>
      </c>
      <c r="C57" s="2" t="s">
        <v>57</v>
      </c>
      <c r="D57" s="4" t="s">
        <v>52</v>
      </c>
      <c r="E57" s="3" t="s">
        <v>302</v>
      </c>
      <c r="F57" s="3" t="s">
        <v>303</v>
      </c>
      <c r="G57" s="3" t="s">
        <v>275</v>
      </c>
      <c r="H57" s="2" t="s">
        <v>304</v>
      </c>
      <c r="I57" s="2" t="s">
        <v>73</v>
      </c>
      <c r="J57" s="5" t="s">
        <v>289</v>
      </c>
      <c r="K57" s="5" t="s">
        <v>290</v>
      </c>
      <c r="L57" s="5" t="s">
        <v>279</v>
      </c>
      <c r="M57" s="3">
        <f t="shared" si="6"/>
        <v>3.2999999821186066E-3</v>
      </c>
      <c r="N57" s="3">
        <f t="shared" si="6"/>
        <v>1.9700000004377216E-2</v>
      </c>
      <c r="O57" s="3">
        <f t="shared" si="2"/>
        <v>7.099999999994111E-3</v>
      </c>
      <c r="P57">
        <f t="shared" si="3"/>
        <v>1.0889999881982804E-5</v>
      </c>
      <c r="Q57">
        <f t="shared" si="3"/>
        <v>3.8809000017246231E-4</v>
      </c>
      <c r="R57">
        <f t="shared" si="3"/>
        <v>5.0409999999916374E-5</v>
      </c>
      <c r="S57">
        <f t="shared" si="4"/>
        <v>3.9898000005444511E-4</v>
      </c>
      <c r="T57">
        <f t="shared" si="5"/>
        <v>1.9974483724353054E-2</v>
      </c>
    </row>
    <row r="58" spans="1:20" x14ac:dyDescent="0.3">
      <c r="A58" s="2" t="s">
        <v>399</v>
      </c>
      <c r="B58" s="4" t="s">
        <v>305</v>
      </c>
      <c r="C58" s="2" t="s">
        <v>45</v>
      </c>
      <c r="D58" s="4" t="s">
        <v>30</v>
      </c>
      <c r="E58" s="3" t="s">
        <v>306</v>
      </c>
      <c r="F58" s="3" t="s">
        <v>307</v>
      </c>
      <c r="G58" s="3" t="s">
        <v>308</v>
      </c>
      <c r="H58" s="2" t="s">
        <v>87</v>
      </c>
      <c r="I58" s="2" t="s">
        <v>155</v>
      </c>
      <c r="J58" s="5" t="s">
        <v>309</v>
      </c>
      <c r="K58" s="5" t="s">
        <v>310</v>
      </c>
      <c r="L58" s="5" t="s">
        <v>311</v>
      </c>
      <c r="M58" s="3">
        <f t="shared" si="6"/>
        <v>-8.0999999772757292E-3</v>
      </c>
      <c r="N58" s="3">
        <f t="shared" si="6"/>
        <v>1.2499999982537702E-2</v>
      </c>
      <c r="O58" s="3">
        <f t="shared" si="2"/>
        <v>3.2499999999998863E-2</v>
      </c>
      <c r="P58">
        <f t="shared" si="3"/>
        <v>6.5609999631866813E-5</v>
      </c>
      <c r="Q58">
        <f t="shared" si="3"/>
        <v>1.5624999956344256E-4</v>
      </c>
      <c r="R58">
        <f t="shared" si="3"/>
        <v>1.0562499999999262E-3</v>
      </c>
      <c r="S58">
        <f t="shared" si="4"/>
        <v>2.2185999919530937E-4</v>
      </c>
      <c r="T58">
        <f t="shared" si="5"/>
        <v>1.4894965565428788E-2</v>
      </c>
    </row>
    <row r="59" spans="1:20" x14ac:dyDescent="0.3">
      <c r="A59" s="2" t="s">
        <v>399</v>
      </c>
      <c r="B59" s="4" t="s">
        <v>305</v>
      </c>
      <c r="C59" s="2" t="s">
        <v>45</v>
      </c>
      <c r="D59" s="4" t="s">
        <v>21</v>
      </c>
      <c r="E59" s="3" t="s">
        <v>312</v>
      </c>
      <c r="F59" s="3" t="s">
        <v>313</v>
      </c>
      <c r="G59" s="3" t="s">
        <v>314</v>
      </c>
      <c r="H59" s="2" t="s">
        <v>87</v>
      </c>
      <c r="I59" s="2" t="s">
        <v>315</v>
      </c>
      <c r="J59" s="5" t="s">
        <v>309</v>
      </c>
      <c r="K59" s="5" t="s">
        <v>310</v>
      </c>
      <c r="L59" s="5" t="s">
        <v>311</v>
      </c>
      <c r="M59" s="3">
        <f t="shared" si="6"/>
        <v>-3.599999996367842E-3</v>
      </c>
      <c r="N59" s="3">
        <f t="shared" si="6"/>
        <v>1.1899999983143061E-2</v>
      </c>
      <c r="O59" s="3">
        <f t="shared" si="2"/>
        <v>4.5000000000001705E-3</v>
      </c>
      <c r="P59">
        <f t="shared" si="3"/>
        <v>1.2959999973848462E-5</v>
      </c>
      <c r="Q59">
        <f t="shared" si="3"/>
        <v>1.4160999959880486E-4</v>
      </c>
      <c r="R59">
        <f t="shared" si="3"/>
        <v>2.0250000000001536E-5</v>
      </c>
      <c r="S59">
        <f t="shared" si="4"/>
        <v>1.5456999957265332E-4</v>
      </c>
      <c r="T59">
        <f t="shared" si="5"/>
        <v>1.243261837155204E-2</v>
      </c>
    </row>
    <row r="60" spans="1:20" x14ac:dyDescent="0.3">
      <c r="A60" s="2" t="s">
        <v>399</v>
      </c>
      <c r="B60" s="4" t="s">
        <v>316</v>
      </c>
      <c r="C60" s="2" t="s">
        <v>20</v>
      </c>
      <c r="D60" s="4" t="s">
        <v>37</v>
      </c>
      <c r="E60" s="3" t="s">
        <v>317</v>
      </c>
      <c r="F60" s="3" t="s">
        <v>318</v>
      </c>
      <c r="G60" s="3" t="s">
        <v>319</v>
      </c>
      <c r="H60" s="2" t="s">
        <v>166</v>
      </c>
      <c r="I60" s="2" t="s">
        <v>320</v>
      </c>
      <c r="J60" s="5" t="s">
        <v>321</v>
      </c>
      <c r="K60" s="5" t="s">
        <v>322</v>
      </c>
      <c r="L60" s="5" t="s">
        <v>311</v>
      </c>
      <c r="M60" s="3">
        <f t="shared" si="6"/>
        <v>-1.1799999978393316E-2</v>
      </c>
      <c r="N60" s="3">
        <f t="shared" si="6"/>
        <v>-2.3999999975785613E-3</v>
      </c>
      <c r="O60" s="3">
        <f t="shared" si="2"/>
        <v>4.1499999999999204E-2</v>
      </c>
      <c r="P60">
        <f t="shared" si="3"/>
        <v>1.3923999949008226E-4</v>
      </c>
      <c r="Q60">
        <f t="shared" si="3"/>
        <v>5.7599999883770943E-6</v>
      </c>
      <c r="R60">
        <f t="shared" si="3"/>
        <v>1.7222499999999339E-3</v>
      </c>
      <c r="S60">
        <f t="shared" si="4"/>
        <v>1.4499999947845935E-4</v>
      </c>
      <c r="T60">
        <f t="shared" si="5"/>
        <v>1.2041594557136499E-2</v>
      </c>
    </row>
    <row r="61" spans="1:20" x14ac:dyDescent="0.3">
      <c r="A61" s="2" t="s">
        <v>399</v>
      </c>
      <c r="B61" s="4" t="s">
        <v>316</v>
      </c>
      <c r="C61" s="2" t="s">
        <v>20</v>
      </c>
      <c r="D61" s="4" t="s">
        <v>46</v>
      </c>
      <c r="E61" s="3" t="s">
        <v>323</v>
      </c>
      <c r="F61" s="3" t="s">
        <v>324</v>
      </c>
      <c r="G61" s="3" t="s">
        <v>325</v>
      </c>
      <c r="H61" s="2" t="s">
        <v>94</v>
      </c>
      <c r="I61" s="2" t="s">
        <v>81</v>
      </c>
      <c r="J61" s="5" t="s">
        <v>321</v>
      </c>
      <c r="K61" s="5" t="s">
        <v>322</v>
      </c>
      <c r="L61" s="5" t="s">
        <v>311</v>
      </c>
      <c r="M61" s="3">
        <f t="shared" si="6"/>
        <v>1.0000000474974513E-4</v>
      </c>
      <c r="N61" s="3">
        <f t="shared" si="6"/>
        <v>5.3999999945517629E-3</v>
      </c>
      <c r="O61" s="3">
        <f t="shared" si="2"/>
        <v>5.6499999999999773E-2</v>
      </c>
      <c r="P61">
        <f t="shared" si="3"/>
        <v>1.0000000949949049E-8</v>
      </c>
      <c r="Q61">
        <f t="shared" si="3"/>
        <v>2.9159999941159039E-5</v>
      </c>
      <c r="R61">
        <f t="shared" si="3"/>
        <v>3.1922499999999742E-3</v>
      </c>
      <c r="S61">
        <f t="shared" si="4"/>
        <v>2.9169999942108988E-5</v>
      </c>
      <c r="T61">
        <f t="shared" si="5"/>
        <v>5.4009258411969506E-3</v>
      </c>
    </row>
    <row r="62" spans="1:20" x14ac:dyDescent="0.3">
      <c r="A62" s="2" t="s">
        <v>399</v>
      </c>
      <c r="B62" s="4" t="s">
        <v>316</v>
      </c>
      <c r="C62" s="2" t="s">
        <v>51</v>
      </c>
      <c r="D62" s="4" t="s">
        <v>63</v>
      </c>
      <c r="E62" s="3" t="s">
        <v>326</v>
      </c>
      <c r="F62" s="3" t="s">
        <v>327</v>
      </c>
      <c r="G62" s="3" t="s">
        <v>328</v>
      </c>
      <c r="H62" s="2" t="s">
        <v>329</v>
      </c>
      <c r="I62" s="2" t="s">
        <v>330</v>
      </c>
      <c r="J62" s="5" t="s">
        <v>321</v>
      </c>
      <c r="K62" s="5" t="s">
        <v>322</v>
      </c>
      <c r="L62" s="5" t="s">
        <v>311</v>
      </c>
      <c r="M62" s="3">
        <f t="shared" si="6"/>
        <v>2.1000000415369868E-3</v>
      </c>
      <c r="N62" s="3">
        <f t="shared" si="6"/>
        <v>-2.900000021327287E-3</v>
      </c>
      <c r="O62" s="3">
        <f t="shared" si="2"/>
        <v>0.1144999999999996</v>
      </c>
      <c r="P62">
        <f t="shared" si="3"/>
        <v>4.4100001744553464E-6</v>
      </c>
      <c r="Q62">
        <f t="shared" si="3"/>
        <v>8.4100001236982648E-6</v>
      </c>
      <c r="R62">
        <f t="shared" si="3"/>
        <v>1.3110249999999908E-2</v>
      </c>
      <c r="S62">
        <f t="shared" si="4"/>
        <v>1.2820000298153611E-5</v>
      </c>
      <c r="T62">
        <f t="shared" si="5"/>
        <v>3.5805027996293499E-3</v>
      </c>
    </row>
    <row r="63" spans="1:20" x14ac:dyDescent="0.3">
      <c r="A63" s="2" t="s">
        <v>399</v>
      </c>
      <c r="B63" s="4" t="s">
        <v>316</v>
      </c>
      <c r="C63" s="2" t="s">
        <v>57</v>
      </c>
      <c r="D63" s="4" t="s">
        <v>30</v>
      </c>
      <c r="E63" s="3" t="s">
        <v>331</v>
      </c>
      <c r="F63" s="3" t="s">
        <v>332</v>
      </c>
      <c r="G63" s="3" t="s">
        <v>333</v>
      </c>
      <c r="H63" s="2" t="s">
        <v>121</v>
      </c>
      <c r="I63" s="2" t="s">
        <v>334</v>
      </c>
      <c r="J63" s="5" t="s">
        <v>321</v>
      </c>
      <c r="K63" s="5" t="s">
        <v>322</v>
      </c>
      <c r="L63" s="5" t="s">
        <v>311</v>
      </c>
      <c r="M63" s="3">
        <f t="shared" si="6"/>
        <v>-1.6399999964050949E-2</v>
      </c>
      <c r="N63" s="3">
        <f t="shared" si="6"/>
        <v>1.3600000005681068E-2</v>
      </c>
      <c r="O63" s="3">
        <f t="shared" si="2"/>
        <v>8.4499999999998465E-2</v>
      </c>
      <c r="P63">
        <f t="shared" si="3"/>
        <v>2.689599988208711E-4</v>
      </c>
      <c r="Q63">
        <f t="shared" si="3"/>
        <v>1.8496000015452504E-4</v>
      </c>
      <c r="R63">
        <f t="shared" si="3"/>
        <v>7.1402499999997406E-3</v>
      </c>
      <c r="S63">
        <f t="shared" si="4"/>
        <v>4.5391999897539611E-4</v>
      </c>
      <c r="T63">
        <f t="shared" si="5"/>
        <v>2.1305398352891601E-2</v>
      </c>
    </row>
    <row r="64" spans="1:20" x14ac:dyDescent="0.3">
      <c r="A64" s="2" t="s">
        <v>399</v>
      </c>
      <c r="B64" s="4" t="s">
        <v>316</v>
      </c>
      <c r="C64" s="2" t="s">
        <v>57</v>
      </c>
      <c r="D64" s="4" t="s">
        <v>52</v>
      </c>
      <c r="E64" s="3" t="s">
        <v>335</v>
      </c>
      <c r="F64" s="3" t="s">
        <v>336</v>
      </c>
      <c r="G64" s="3" t="s">
        <v>337</v>
      </c>
      <c r="H64" s="2" t="s">
        <v>94</v>
      </c>
      <c r="I64" s="2" t="s">
        <v>81</v>
      </c>
      <c r="J64" s="5" t="s">
        <v>321</v>
      </c>
      <c r="K64" s="5" t="s">
        <v>322</v>
      </c>
      <c r="L64" s="5" t="s">
        <v>311</v>
      </c>
      <c r="M64" s="3">
        <f t="shared" si="6"/>
        <v>-1.879999996162951E-2</v>
      </c>
      <c r="N64" s="3">
        <f t="shared" si="6"/>
        <v>1.0199999989708886E-2</v>
      </c>
      <c r="O64" s="3">
        <f t="shared" si="2"/>
        <v>4.0499999999994429E-2</v>
      </c>
      <c r="P64">
        <f t="shared" si="3"/>
        <v>3.5343999855726957E-4</v>
      </c>
      <c r="Q64">
        <f t="shared" si="3"/>
        <v>1.0403999979006127E-4</v>
      </c>
      <c r="R64">
        <f t="shared" si="3"/>
        <v>1.6402499999995488E-3</v>
      </c>
      <c r="S64">
        <f t="shared" si="4"/>
        <v>4.5747999834733086E-4</v>
      </c>
      <c r="T64">
        <f t="shared" si="5"/>
        <v>2.1388782067881539E-2</v>
      </c>
    </row>
    <row r="65" spans="1:20" x14ac:dyDescent="0.3">
      <c r="A65" s="2" t="s">
        <v>399</v>
      </c>
      <c r="B65" s="4" t="s">
        <v>338</v>
      </c>
      <c r="C65" s="2" t="s">
        <v>45</v>
      </c>
      <c r="D65" s="4" t="s">
        <v>30</v>
      </c>
      <c r="E65" s="3" t="s">
        <v>339</v>
      </c>
      <c r="F65" s="3" t="s">
        <v>340</v>
      </c>
      <c r="G65" s="3" t="s">
        <v>341</v>
      </c>
      <c r="H65" s="2" t="s">
        <v>246</v>
      </c>
      <c r="I65" s="2" t="s">
        <v>114</v>
      </c>
      <c r="J65" s="5" t="s">
        <v>342</v>
      </c>
      <c r="K65" s="5" t="s">
        <v>343</v>
      </c>
      <c r="L65" s="5" t="s">
        <v>344</v>
      </c>
      <c r="M65" s="3">
        <f t="shared" si="6"/>
        <v>-1.1799999978393316E-2</v>
      </c>
      <c r="N65" s="3">
        <f t="shared" si="6"/>
        <v>1.919999998062849E-2</v>
      </c>
      <c r="O65" s="3">
        <f t="shared" si="2"/>
        <v>6.8999999999995509E-2</v>
      </c>
      <c r="P65">
        <f t="shared" si="3"/>
        <v>1.3923999949008226E-4</v>
      </c>
      <c r="Q65">
        <f t="shared" si="3"/>
        <v>3.6863999925613403E-4</v>
      </c>
      <c r="R65">
        <f t="shared" si="3"/>
        <v>4.7609999999993803E-3</v>
      </c>
      <c r="S65">
        <f t="shared" si="4"/>
        <v>5.078799987462163E-4</v>
      </c>
      <c r="T65">
        <f t="shared" si="5"/>
        <v>2.2536193084596527E-2</v>
      </c>
    </row>
    <row r="66" spans="1:20" x14ac:dyDescent="0.3">
      <c r="A66" s="2" t="s">
        <v>399</v>
      </c>
      <c r="B66" s="4" t="s">
        <v>338</v>
      </c>
      <c r="C66" s="2" t="s">
        <v>45</v>
      </c>
      <c r="D66" s="4" t="s">
        <v>21</v>
      </c>
      <c r="E66" s="3" t="s">
        <v>345</v>
      </c>
      <c r="F66" s="3" t="s">
        <v>346</v>
      </c>
      <c r="G66" s="3" t="s">
        <v>347</v>
      </c>
      <c r="H66" s="2" t="s">
        <v>50</v>
      </c>
      <c r="I66" s="2" t="s">
        <v>74</v>
      </c>
      <c r="J66" s="5" t="s">
        <v>342</v>
      </c>
      <c r="K66" s="5" t="s">
        <v>343</v>
      </c>
      <c r="L66" s="5" t="s">
        <v>344</v>
      </c>
      <c r="M66" s="3">
        <f t="shared" si="6"/>
        <v>-5.9999999939464033E-3</v>
      </c>
      <c r="N66" s="3">
        <f t="shared" si="6"/>
        <v>1.2199999997392297E-2</v>
      </c>
      <c r="O66" s="3">
        <f t="shared" si="2"/>
        <v>7.5999999999993406E-2</v>
      </c>
      <c r="P66">
        <f t="shared" si="3"/>
        <v>3.5999999927356836E-5</v>
      </c>
      <c r="Q66">
        <f t="shared" si="3"/>
        <v>1.4883999993637204E-4</v>
      </c>
      <c r="R66">
        <f t="shared" si="3"/>
        <v>5.7759999999989981E-3</v>
      </c>
      <c r="S66">
        <f t="shared" si="4"/>
        <v>1.8483999986372888E-4</v>
      </c>
      <c r="T66">
        <f t="shared" si="5"/>
        <v>1.3595587514474278E-2</v>
      </c>
    </row>
    <row r="67" spans="1:20" x14ac:dyDescent="0.3">
      <c r="A67" s="2" t="s">
        <v>399</v>
      </c>
      <c r="B67" s="4" t="s">
        <v>348</v>
      </c>
      <c r="C67" s="2" t="s">
        <v>20</v>
      </c>
      <c r="D67" s="4" t="s">
        <v>37</v>
      </c>
      <c r="E67" s="3" t="s">
        <v>349</v>
      </c>
      <c r="F67" s="3" t="s">
        <v>350</v>
      </c>
      <c r="G67" s="3" t="s">
        <v>351</v>
      </c>
      <c r="H67" s="2" t="s">
        <v>81</v>
      </c>
      <c r="I67" s="2" t="s">
        <v>334</v>
      </c>
      <c r="J67" s="5" t="s">
        <v>352</v>
      </c>
      <c r="K67" s="5" t="s">
        <v>353</v>
      </c>
      <c r="L67" s="5" t="s">
        <v>344</v>
      </c>
      <c r="M67" s="3">
        <f t="shared" si="6"/>
        <v>2.9500000004190952E-2</v>
      </c>
      <c r="N67" s="3">
        <f t="shared" si="6"/>
        <v>1.5399999974761158E-2</v>
      </c>
      <c r="O67" s="3">
        <f t="shared" ref="O67:O130" si="7">ABS(L67-G67)</f>
        <v>1.2999999999998124E-2</v>
      </c>
      <c r="P67">
        <f t="shared" ref="P67:R130" si="8">POWER(M67,2)</f>
        <v>8.7025000024726611E-4</v>
      </c>
      <c r="Q67">
        <f t="shared" si="8"/>
        <v>2.3715999922264367E-4</v>
      </c>
      <c r="R67">
        <f t="shared" si="8"/>
        <v>1.6899999999995123E-4</v>
      </c>
      <c r="S67">
        <f t="shared" ref="S67:S130" si="9">P67+Q67</f>
        <v>1.1074099994699098E-3</v>
      </c>
      <c r="T67">
        <f t="shared" ref="T67:T130" si="10">SQRT(S67)</f>
        <v>3.3277770350038621E-2</v>
      </c>
    </row>
    <row r="68" spans="1:20" x14ac:dyDescent="0.3">
      <c r="A68" s="2" t="s">
        <v>399</v>
      </c>
      <c r="B68" s="4" t="s">
        <v>348</v>
      </c>
      <c r="C68" s="2" t="s">
        <v>20</v>
      </c>
      <c r="D68" s="4" t="s">
        <v>46</v>
      </c>
      <c r="E68" s="3" t="s">
        <v>354</v>
      </c>
      <c r="F68" s="3" t="s">
        <v>355</v>
      </c>
      <c r="G68" s="3" t="s">
        <v>356</v>
      </c>
      <c r="H68" s="2" t="s">
        <v>94</v>
      </c>
      <c r="I68" s="2" t="s">
        <v>121</v>
      </c>
      <c r="J68" s="5" t="s">
        <v>352</v>
      </c>
      <c r="K68" s="5" t="s">
        <v>353</v>
      </c>
      <c r="L68" s="5" t="s">
        <v>344</v>
      </c>
      <c r="M68" s="3">
        <f t="shared" si="6"/>
        <v>1.840000000083819E-2</v>
      </c>
      <c r="N68" s="3">
        <f t="shared" si="6"/>
        <v>2.2099999972851947E-2</v>
      </c>
      <c r="O68" s="3">
        <f t="shared" si="7"/>
        <v>3.399999999999892E-2</v>
      </c>
      <c r="P68">
        <f t="shared" si="8"/>
        <v>3.385600000308454E-4</v>
      </c>
      <c r="Q68">
        <f t="shared" si="8"/>
        <v>4.884099988000561E-4</v>
      </c>
      <c r="R68">
        <f t="shared" si="8"/>
        <v>1.1559999999999266E-3</v>
      </c>
      <c r="S68">
        <f t="shared" si="9"/>
        <v>8.2696999883090155E-4</v>
      </c>
      <c r="T68">
        <f t="shared" si="10"/>
        <v>2.875708606293241E-2</v>
      </c>
    </row>
    <row r="69" spans="1:20" x14ac:dyDescent="0.3">
      <c r="A69" s="2" t="s">
        <v>399</v>
      </c>
      <c r="B69" s="4" t="s">
        <v>348</v>
      </c>
      <c r="C69" s="2" t="s">
        <v>51</v>
      </c>
      <c r="D69" s="4" t="s">
        <v>63</v>
      </c>
      <c r="E69" s="3" t="s">
        <v>357</v>
      </c>
      <c r="F69" s="3" t="s">
        <v>340</v>
      </c>
      <c r="G69" s="3" t="s">
        <v>358</v>
      </c>
      <c r="H69" s="2" t="s">
        <v>121</v>
      </c>
      <c r="I69" s="2" t="s">
        <v>108</v>
      </c>
      <c r="J69" s="5" t="s">
        <v>352</v>
      </c>
      <c r="K69" s="5" t="s">
        <v>353</v>
      </c>
      <c r="L69" s="5" t="s">
        <v>344</v>
      </c>
      <c r="M69" s="3">
        <f t="shared" si="6"/>
        <v>5.8000000019092113E-2</v>
      </c>
      <c r="N69" s="3">
        <f t="shared" si="6"/>
        <v>1.919999998062849E-2</v>
      </c>
      <c r="O69" s="3">
        <f t="shared" si="7"/>
        <v>1.7999999999993577E-2</v>
      </c>
      <c r="P69">
        <f t="shared" si="8"/>
        <v>3.3640000022146853E-3</v>
      </c>
      <c r="Q69">
        <f t="shared" si="8"/>
        <v>3.6863999925613403E-4</v>
      </c>
      <c r="R69">
        <f t="shared" si="8"/>
        <v>3.2399999999976875E-4</v>
      </c>
      <c r="S69">
        <f t="shared" si="9"/>
        <v>3.7326400014708193E-3</v>
      </c>
      <c r="T69">
        <f t="shared" si="10"/>
        <v>6.1095335349524181E-2</v>
      </c>
    </row>
    <row r="70" spans="1:20" x14ac:dyDescent="0.3">
      <c r="A70" s="2" t="s">
        <v>399</v>
      </c>
      <c r="B70" s="4" t="s">
        <v>348</v>
      </c>
      <c r="C70" s="2" t="s">
        <v>57</v>
      </c>
      <c r="D70" s="4" t="s">
        <v>30</v>
      </c>
      <c r="E70" s="3" t="s">
        <v>359</v>
      </c>
      <c r="F70" s="3" t="s">
        <v>360</v>
      </c>
      <c r="G70" s="3" t="s">
        <v>361</v>
      </c>
      <c r="H70" s="2" t="s">
        <v>49</v>
      </c>
      <c r="I70" s="2" t="s">
        <v>81</v>
      </c>
      <c r="J70" s="5" t="s">
        <v>352</v>
      </c>
      <c r="K70" s="5" t="s">
        <v>353</v>
      </c>
      <c r="L70" s="5" t="s">
        <v>344</v>
      </c>
      <c r="M70" s="3">
        <f t="shared" si="6"/>
        <v>3.0500000051688403E-2</v>
      </c>
      <c r="N70" s="3">
        <f t="shared" si="6"/>
        <v>2.0899999974062666E-2</v>
      </c>
      <c r="O70" s="3">
        <f t="shared" si="7"/>
        <v>9.9999999999980105E-3</v>
      </c>
      <c r="P70">
        <f t="shared" si="8"/>
        <v>9.302500031529926E-4</v>
      </c>
      <c r="Q70">
        <f t="shared" si="8"/>
        <v>4.3680999891581944E-4</v>
      </c>
      <c r="R70">
        <f t="shared" si="8"/>
        <v>9.9999999999960215E-5</v>
      </c>
      <c r="S70">
        <f t="shared" si="9"/>
        <v>1.3670600020688119E-3</v>
      </c>
      <c r="T70">
        <f t="shared" si="10"/>
        <v>3.6973774517471324E-2</v>
      </c>
    </row>
    <row r="71" spans="1:20" x14ac:dyDescent="0.3">
      <c r="A71" s="2" t="s">
        <v>399</v>
      </c>
      <c r="B71" s="4" t="s">
        <v>348</v>
      </c>
      <c r="C71" s="2" t="s">
        <v>57</v>
      </c>
      <c r="D71" s="4" t="s">
        <v>52</v>
      </c>
      <c r="E71" s="3" t="s">
        <v>362</v>
      </c>
      <c r="F71" s="3" t="s">
        <v>363</v>
      </c>
      <c r="G71" s="3" t="s">
        <v>364</v>
      </c>
      <c r="H71" s="2" t="s">
        <v>94</v>
      </c>
      <c r="I71" s="2" t="s">
        <v>87</v>
      </c>
      <c r="J71" s="5" t="s">
        <v>352</v>
      </c>
      <c r="K71" s="5" t="s">
        <v>353</v>
      </c>
      <c r="L71" s="5" t="s">
        <v>344</v>
      </c>
      <c r="M71" s="3">
        <f t="shared" si="6"/>
        <v>1.7900000035297126E-2</v>
      </c>
      <c r="N71" s="3">
        <f t="shared" si="6"/>
        <v>2.0999999978812411E-2</v>
      </c>
      <c r="O71" s="3">
        <f t="shared" si="7"/>
        <v>3.0000000000001137E-3</v>
      </c>
      <c r="P71">
        <f t="shared" si="8"/>
        <v>3.2041000126363712E-4</v>
      </c>
      <c r="Q71">
        <f t="shared" si="8"/>
        <v>4.4099999911012127E-4</v>
      </c>
      <c r="R71">
        <f t="shared" si="8"/>
        <v>9.0000000000006829E-6</v>
      </c>
      <c r="S71">
        <f t="shared" si="9"/>
        <v>7.6141000037375844E-4</v>
      </c>
      <c r="T71">
        <f t="shared" si="10"/>
        <v>2.75936586985807E-2</v>
      </c>
    </row>
    <row r="72" spans="1:20" x14ac:dyDescent="0.3">
      <c r="A72" s="2" t="s">
        <v>399</v>
      </c>
      <c r="B72" s="4" t="s">
        <v>365</v>
      </c>
      <c r="C72" s="2" t="s">
        <v>45</v>
      </c>
      <c r="D72" s="4" t="s">
        <v>30</v>
      </c>
      <c r="E72" s="3" t="s">
        <v>366</v>
      </c>
      <c r="F72" s="3" t="s">
        <v>367</v>
      </c>
      <c r="G72" s="3" t="s">
        <v>368</v>
      </c>
      <c r="H72" s="2" t="s">
        <v>369</v>
      </c>
      <c r="I72" s="2" t="s">
        <v>370</v>
      </c>
      <c r="J72" s="5" t="s">
        <v>371</v>
      </c>
      <c r="K72" s="5" t="s">
        <v>372</v>
      </c>
      <c r="L72" s="5" t="s">
        <v>373</v>
      </c>
      <c r="M72" s="3">
        <f t="shared" si="6"/>
        <v>1.8299999996088445E-2</v>
      </c>
      <c r="N72" s="3">
        <f t="shared" si="6"/>
        <v>-3.1099999992875382E-2</v>
      </c>
      <c r="O72" s="3">
        <f t="shared" si="7"/>
        <v>1.1200000000002319E-2</v>
      </c>
      <c r="P72">
        <f t="shared" si="8"/>
        <v>3.3488999985683708E-4</v>
      </c>
      <c r="Q72">
        <f t="shared" si="8"/>
        <v>9.6720999955684876E-4</v>
      </c>
      <c r="R72">
        <f t="shared" si="8"/>
        <v>1.2544000000005195E-4</v>
      </c>
      <c r="S72">
        <f t="shared" si="9"/>
        <v>1.3020999994136858E-3</v>
      </c>
      <c r="T72">
        <f t="shared" si="10"/>
        <v>3.6084622755596124E-2</v>
      </c>
    </row>
    <row r="73" spans="1:20" x14ac:dyDescent="0.3">
      <c r="A73" s="2" t="s">
        <v>399</v>
      </c>
      <c r="B73" s="4" t="s">
        <v>365</v>
      </c>
      <c r="C73" s="2" t="s">
        <v>45</v>
      </c>
      <c r="D73" s="4" t="s">
        <v>21</v>
      </c>
      <c r="E73" s="3" t="s">
        <v>374</v>
      </c>
      <c r="F73" s="3" t="s">
        <v>375</v>
      </c>
      <c r="G73" s="3" t="s">
        <v>376</v>
      </c>
      <c r="H73" s="2" t="s">
        <v>377</v>
      </c>
      <c r="I73" s="2" t="s">
        <v>378</v>
      </c>
      <c r="J73" s="5" t="s">
        <v>371</v>
      </c>
      <c r="K73" s="5" t="s">
        <v>372</v>
      </c>
      <c r="L73" s="5" t="s">
        <v>373</v>
      </c>
      <c r="M73" s="3">
        <f t="shared" si="6"/>
        <v>1.2699999962933362E-2</v>
      </c>
      <c r="N73" s="3">
        <f t="shared" si="6"/>
        <v>-1.0799999989103526E-2</v>
      </c>
      <c r="O73" s="3">
        <f t="shared" si="7"/>
        <v>3.1800000000004047E-2</v>
      </c>
      <c r="P73">
        <f t="shared" si="8"/>
        <v>1.6128999905850737E-4</v>
      </c>
      <c r="Q73">
        <f t="shared" si="8"/>
        <v>1.1663999976463616E-4</v>
      </c>
      <c r="R73">
        <f t="shared" si="8"/>
        <v>1.0112400000002574E-3</v>
      </c>
      <c r="S73">
        <f t="shared" si="9"/>
        <v>2.7792999882314355E-4</v>
      </c>
      <c r="T73">
        <f t="shared" si="10"/>
        <v>1.667123267257534E-2</v>
      </c>
    </row>
    <row r="74" spans="1:20" x14ac:dyDescent="0.3">
      <c r="A74" s="2" t="s">
        <v>399</v>
      </c>
      <c r="B74" s="4" t="s">
        <v>379</v>
      </c>
      <c r="C74" s="2" t="s">
        <v>20</v>
      </c>
      <c r="D74" s="4" t="s">
        <v>37</v>
      </c>
      <c r="E74" s="3" t="s">
        <v>380</v>
      </c>
      <c r="F74" s="3" t="s">
        <v>381</v>
      </c>
      <c r="G74" s="3" t="s">
        <v>382</v>
      </c>
      <c r="H74" s="2" t="s">
        <v>73</v>
      </c>
      <c r="I74" s="2" t="s">
        <v>41</v>
      </c>
      <c r="J74" s="5" t="s">
        <v>383</v>
      </c>
      <c r="K74" s="5" t="s">
        <v>384</v>
      </c>
      <c r="L74" s="5" t="s">
        <v>373</v>
      </c>
      <c r="M74" s="3">
        <f t="shared" si="6"/>
        <v>-1.1100000003352761E-2</v>
      </c>
      <c r="N74" s="3">
        <f t="shared" si="6"/>
        <v>-3.2099999982165173E-2</v>
      </c>
      <c r="O74" s="3">
        <f t="shared" si="7"/>
        <v>3.4800000000004161E-2</v>
      </c>
      <c r="P74">
        <f t="shared" si="8"/>
        <v>1.232100000744313E-4</v>
      </c>
      <c r="Q74">
        <f t="shared" si="8"/>
        <v>1.0304099988550041E-3</v>
      </c>
      <c r="R74">
        <f t="shared" si="8"/>
        <v>1.2110400000002895E-3</v>
      </c>
      <c r="S74">
        <f t="shared" si="9"/>
        <v>1.1536199989294353E-3</v>
      </c>
      <c r="T74">
        <f t="shared" si="10"/>
        <v>3.3964981950965839E-2</v>
      </c>
    </row>
    <row r="75" spans="1:20" x14ac:dyDescent="0.3">
      <c r="A75" s="2" t="s">
        <v>399</v>
      </c>
      <c r="B75" s="4" t="s">
        <v>379</v>
      </c>
      <c r="C75" s="2" t="s">
        <v>20</v>
      </c>
      <c r="D75" s="4" t="s">
        <v>46</v>
      </c>
      <c r="E75" s="3" t="s">
        <v>385</v>
      </c>
      <c r="F75" s="3" t="s">
        <v>386</v>
      </c>
      <c r="G75" s="3" t="s">
        <v>387</v>
      </c>
      <c r="H75" s="2" t="s">
        <v>49</v>
      </c>
      <c r="I75" s="2" t="s">
        <v>95</v>
      </c>
      <c r="J75" s="5" t="s">
        <v>383</v>
      </c>
      <c r="K75" s="5" t="s">
        <v>384</v>
      </c>
      <c r="L75" s="5" t="s">
        <v>373</v>
      </c>
      <c r="M75" s="3">
        <f t="shared" si="6"/>
        <v>1.6200000012759119E-2</v>
      </c>
      <c r="N75" s="3">
        <f t="shared" si="6"/>
        <v>-3.7599999981466681E-2</v>
      </c>
      <c r="O75" s="3">
        <f t="shared" si="7"/>
        <v>1.1999999999972033E-3</v>
      </c>
      <c r="P75">
        <f t="shared" si="8"/>
        <v>2.6244000041339546E-4</v>
      </c>
      <c r="Q75">
        <f t="shared" si="8"/>
        <v>1.4137599986062943E-3</v>
      </c>
      <c r="R75">
        <f t="shared" si="8"/>
        <v>1.4399999999932879E-6</v>
      </c>
      <c r="S75">
        <f t="shared" si="9"/>
        <v>1.6761999990196899E-3</v>
      </c>
      <c r="T75">
        <f t="shared" si="10"/>
        <v>4.0941421555921696E-2</v>
      </c>
    </row>
    <row r="76" spans="1:20" x14ac:dyDescent="0.3">
      <c r="A76" s="2" t="s">
        <v>399</v>
      </c>
      <c r="B76" s="4" t="s">
        <v>379</v>
      </c>
      <c r="C76" s="2" t="s">
        <v>51</v>
      </c>
      <c r="D76" s="4" t="s">
        <v>63</v>
      </c>
      <c r="E76" s="3" t="s">
        <v>388</v>
      </c>
      <c r="F76" s="3" t="s">
        <v>389</v>
      </c>
      <c r="G76" s="3" t="s">
        <v>390</v>
      </c>
      <c r="H76" s="2" t="s">
        <v>121</v>
      </c>
      <c r="I76" s="2" t="s">
        <v>108</v>
      </c>
      <c r="J76" s="5" t="s">
        <v>383</v>
      </c>
      <c r="K76" s="5" t="s">
        <v>384</v>
      </c>
      <c r="L76" s="5" t="s">
        <v>373</v>
      </c>
      <c r="M76" s="3">
        <f t="shared" si="6"/>
        <v>2.5000000023283064E-3</v>
      </c>
      <c r="N76" s="3">
        <f t="shared" si="6"/>
        <v>-1.3500000000931323E-2</v>
      </c>
      <c r="O76" s="3">
        <f t="shared" si="7"/>
        <v>7.3800000000005639E-2</v>
      </c>
      <c r="P76">
        <f t="shared" si="8"/>
        <v>6.2500000116415322E-6</v>
      </c>
      <c r="Q76">
        <f t="shared" si="8"/>
        <v>1.822500000251457E-4</v>
      </c>
      <c r="R76">
        <f t="shared" si="8"/>
        <v>5.4464400000008321E-3</v>
      </c>
      <c r="S76">
        <f t="shared" si="9"/>
        <v>1.8850000003678722E-4</v>
      </c>
      <c r="T76">
        <f t="shared" si="10"/>
        <v>1.3729530219085693E-2</v>
      </c>
    </row>
    <row r="77" spans="1:20" x14ac:dyDescent="0.3">
      <c r="A77" s="2" t="s">
        <v>399</v>
      </c>
      <c r="B77" s="4" t="s">
        <v>379</v>
      </c>
      <c r="C77" s="2" t="s">
        <v>57</v>
      </c>
      <c r="D77" s="4" t="s">
        <v>30</v>
      </c>
      <c r="E77" s="3" t="s">
        <v>391</v>
      </c>
      <c r="F77" s="3" t="s">
        <v>392</v>
      </c>
      <c r="G77" s="3" t="s">
        <v>393</v>
      </c>
      <c r="H77" s="2" t="s">
        <v>394</v>
      </c>
      <c r="I77" s="2" t="s">
        <v>395</v>
      </c>
      <c r="J77" s="5" t="s">
        <v>383</v>
      </c>
      <c r="K77" s="5" t="s">
        <v>384</v>
      </c>
      <c r="L77" s="5" t="s">
        <v>373</v>
      </c>
      <c r="M77" s="3">
        <f t="shared" si="6"/>
        <v>7.0100000011734664E-2</v>
      </c>
      <c r="N77" s="3">
        <f t="shared" si="6"/>
        <v>3.3100000000558794E-2</v>
      </c>
      <c r="O77" s="3">
        <f t="shared" si="7"/>
        <v>4.8799999999999955E-2</v>
      </c>
      <c r="P77">
        <f t="shared" si="8"/>
        <v>4.9140100016452004E-3</v>
      </c>
      <c r="Q77">
        <f t="shared" si="8"/>
        <v>1.0956100000369922E-3</v>
      </c>
      <c r="R77">
        <f t="shared" si="8"/>
        <v>2.3814399999999955E-3</v>
      </c>
      <c r="S77">
        <f t="shared" si="9"/>
        <v>6.0096200016821928E-3</v>
      </c>
      <c r="T77">
        <f t="shared" si="10"/>
        <v>7.7521738897435688E-2</v>
      </c>
    </row>
    <row r="78" spans="1:20" x14ac:dyDescent="0.3">
      <c r="A78" s="2" t="s">
        <v>399</v>
      </c>
      <c r="B78" s="4" t="s">
        <v>379</v>
      </c>
      <c r="C78" s="2" t="s">
        <v>57</v>
      </c>
      <c r="D78" s="4" t="s">
        <v>52</v>
      </c>
      <c r="E78" s="3" t="s">
        <v>396</v>
      </c>
      <c r="F78" s="3" t="s">
        <v>397</v>
      </c>
      <c r="G78" s="3" t="s">
        <v>398</v>
      </c>
      <c r="H78" s="2" t="s">
        <v>49</v>
      </c>
      <c r="I78" s="2" t="s">
        <v>87</v>
      </c>
      <c r="J78" s="5" t="s">
        <v>383</v>
      </c>
      <c r="K78" s="5" t="s">
        <v>384</v>
      </c>
      <c r="L78" s="5" t="s">
        <v>373</v>
      </c>
      <c r="M78" s="3">
        <f t="shared" si="6"/>
        <v>-7.4000000022351742E-3</v>
      </c>
      <c r="N78" s="3">
        <f t="shared" si="6"/>
        <v>-1.780000000144355E-2</v>
      </c>
      <c r="O78" s="3">
        <f t="shared" si="7"/>
        <v>6.6800000000000637E-2</v>
      </c>
      <c r="P78">
        <f t="shared" si="8"/>
        <v>5.4760000033080578E-5</v>
      </c>
      <c r="Q78">
        <f t="shared" si="8"/>
        <v>3.1684000005139041E-4</v>
      </c>
      <c r="R78">
        <f t="shared" si="8"/>
        <v>4.4622400000000851E-3</v>
      </c>
      <c r="S78">
        <f t="shared" si="9"/>
        <v>3.7160000008447098E-4</v>
      </c>
      <c r="T78">
        <f t="shared" si="10"/>
        <v>1.927692921822537E-2</v>
      </c>
    </row>
    <row r="79" spans="1:20" x14ac:dyDescent="0.3">
      <c r="A79" s="2" t="s">
        <v>1168</v>
      </c>
      <c r="B79" s="6" t="s">
        <v>400</v>
      </c>
      <c r="C79" s="2" t="s">
        <v>20</v>
      </c>
      <c r="D79" s="2" t="s">
        <v>30</v>
      </c>
      <c r="E79" s="3" t="s">
        <v>401</v>
      </c>
      <c r="F79" s="3" t="s">
        <v>402</v>
      </c>
      <c r="G79" s="3" t="s">
        <v>403</v>
      </c>
      <c r="J79" s="3">
        <v>428181.68839999998</v>
      </c>
      <c r="K79" s="3">
        <v>163393.6654</v>
      </c>
      <c r="L79" s="3">
        <v>46.6342</v>
      </c>
      <c r="M79" s="3">
        <f t="shared" si="6"/>
        <v>2.5000000023283064E-3</v>
      </c>
      <c r="N79" s="3">
        <f t="shared" si="6"/>
        <v>-1.5400000003864989E-2</v>
      </c>
      <c r="O79" s="3">
        <f t="shared" si="7"/>
        <v>4.7199999999996578E-2</v>
      </c>
      <c r="P79">
        <f t="shared" si="8"/>
        <v>6.2500000116415322E-6</v>
      </c>
      <c r="Q79">
        <f t="shared" si="8"/>
        <v>2.3716000011904164E-4</v>
      </c>
      <c r="R79">
        <f t="shared" si="8"/>
        <v>2.2278399999996769E-3</v>
      </c>
      <c r="S79">
        <f t="shared" si="9"/>
        <v>2.4341000013068317E-4</v>
      </c>
      <c r="T79">
        <f t="shared" si="10"/>
        <v>1.5601602485984675E-2</v>
      </c>
    </row>
    <row r="80" spans="1:20" x14ac:dyDescent="0.3">
      <c r="A80" s="2" t="s">
        <v>1168</v>
      </c>
      <c r="B80" s="6" t="s">
        <v>400</v>
      </c>
      <c r="C80" s="2" t="s">
        <v>20</v>
      </c>
      <c r="D80" s="2" t="s">
        <v>21</v>
      </c>
      <c r="E80" s="3" t="s">
        <v>404</v>
      </c>
      <c r="F80" s="3" t="s">
        <v>405</v>
      </c>
      <c r="G80" s="3" t="s">
        <v>406</v>
      </c>
      <c r="J80" s="3">
        <v>428181.68839999998</v>
      </c>
      <c r="K80" s="3">
        <v>163393.6654</v>
      </c>
      <c r="L80" s="3">
        <v>46.6342</v>
      </c>
      <c r="M80" s="3">
        <f t="shared" si="6"/>
        <v>6.6999999689869583E-3</v>
      </c>
      <c r="N80" s="3">
        <f t="shared" si="6"/>
        <v>-2.2100000001955777E-2</v>
      </c>
      <c r="O80" s="3">
        <f t="shared" si="7"/>
        <v>2.9200000000003001E-2</v>
      </c>
      <c r="P80">
        <f t="shared" si="8"/>
        <v>4.4889999584425238E-5</v>
      </c>
      <c r="Q80">
        <f t="shared" si="8"/>
        <v>4.8841000008644539E-4</v>
      </c>
      <c r="R80">
        <f t="shared" si="8"/>
        <v>8.5264000000017531E-4</v>
      </c>
      <c r="S80">
        <f t="shared" si="9"/>
        <v>5.332999996708706E-4</v>
      </c>
      <c r="T80">
        <f t="shared" si="10"/>
        <v>2.3093289061345737E-2</v>
      </c>
    </row>
    <row r="81" spans="1:20" x14ac:dyDescent="0.3">
      <c r="A81" s="2" t="s">
        <v>1168</v>
      </c>
      <c r="B81" s="6" t="s">
        <v>407</v>
      </c>
      <c r="C81" s="2" t="s">
        <v>20</v>
      </c>
      <c r="D81" s="2" t="s">
        <v>110</v>
      </c>
      <c r="E81" s="3" t="s">
        <v>408</v>
      </c>
      <c r="F81" s="3" t="s">
        <v>409</v>
      </c>
      <c r="G81" s="3" t="s">
        <v>410</v>
      </c>
      <c r="J81" s="3">
        <v>428181.68839999998</v>
      </c>
      <c r="K81" s="3">
        <v>163393.6654</v>
      </c>
      <c r="L81" s="3">
        <v>46.6342</v>
      </c>
      <c r="M81" s="3">
        <f t="shared" si="6"/>
        <v>4.299999971408397E-3</v>
      </c>
      <c r="N81" s="3">
        <f t="shared" si="6"/>
        <v>-2.5800000003073364E-2</v>
      </c>
      <c r="O81" s="3">
        <f t="shared" si="7"/>
        <v>4.5200000000001239E-2</v>
      </c>
      <c r="P81">
        <f t="shared" si="8"/>
        <v>1.8489999754112215E-5</v>
      </c>
      <c r="Q81">
        <f t="shared" si="8"/>
        <v>6.656400001585856E-4</v>
      </c>
      <c r="R81">
        <f t="shared" si="8"/>
        <v>2.0430400000001122E-3</v>
      </c>
      <c r="S81">
        <f t="shared" si="9"/>
        <v>6.8412999991269779E-4</v>
      </c>
      <c r="T81">
        <f t="shared" si="10"/>
        <v>2.615587887861346E-2</v>
      </c>
    </row>
    <row r="82" spans="1:20" x14ac:dyDescent="0.3">
      <c r="A82" s="2" t="s">
        <v>1168</v>
      </c>
      <c r="B82" s="6" t="s">
        <v>407</v>
      </c>
      <c r="C82" s="2" t="s">
        <v>20</v>
      </c>
      <c r="D82" s="2" t="s">
        <v>37</v>
      </c>
      <c r="E82" s="3" t="s">
        <v>411</v>
      </c>
      <c r="F82" s="3" t="s">
        <v>412</v>
      </c>
      <c r="G82" s="3" t="s">
        <v>413</v>
      </c>
      <c r="J82" s="3">
        <v>428181.68839999998</v>
      </c>
      <c r="K82" s="3">
        <v>163393.6654</v>
      </c>
      <c r="L82" s="3">
        <v>46.6342</v>
      </c>
      <c r="M82" s="3">
        <f t="shared" ref="M82:N145" si="11">J82-E82</f>
        <v>1.2300000002142042E-2</v>
      </c>
      <c r="N82" s="3">
        <f t="shared" si="11"/>
        <v>-2.7200000011362135E-2</v>
      </c>
      <c r="O82" s="3">
        <f t="shared" si="7"/>
        <v>0.2511999999999972</v>
      </c>
      <c r="P82">
        <f t="shared" si="8"/>
        <v>1.5129000005269423E-4</v>
      </c>
      <c r="Q82">
        <f t="shared" si="8"/>
        <v>7.3984000061810015E-4</v>
      </c>
      <c r="R82">
        <f t="shared" si="8"/>
        <v>6.3101439999998593E-2</v>
      </c>
      <c r="S82">
        <f t="shared" si="9"/>
        <v>8.9113000067079433E-4</v>
      </c>
      <c r="T82">
        <f t="shared" si="10"/>
        <v>2.9851800626943668E-2</v>
      </c>
    </row>
    <row r="83" spans="1:20" x14ac:dyDescent="0.3">
      <c r="A83" s="2" t="s">
        <v>1168</v>
      </c>
      <c r="B83" s="6" t="s">
        <v>407</v>
      </c>
      <c r="C83" s="2" t="s">
        <v>20</v>
      </c>
      <c r="D83" s="2" t="s">
        <v>46</v>
      </c>
      <c r="E83" s="3" t="s">
        <v>414</v>
      </c>
      <c r="F83" s="3" t="s">
        <v>415</v>
      </c>
      <c r="G83" s="3" t="s">
        <v>416</v>
      </c>
      <c r="J83" s="3">
        <v>428181.68839999998</v>
      </c>
      <c r="K83" s="3">
        <v>163393.6654</v>
      </c>
      <c r="L83" s="3">
        <v>46.6342</v>
      </c>
      <c r="M83" s="3">
        <f t="shared" si="11"/>
        <v>1.9099999975878745E-2</v>
      </c>
      <c r="N83" s="3">
        <f t="shared" si="11"/>
        <v>-2.9700000013690442E-2</v>
      </c>
      <c r="O83" s="3">
        <f t="shared" si="7"/>
        <v>1.4200000000002433E-2</v>
      </c>
      <c r="P83">
        <f t="shared" si="8"/>
        <v>3.648099990785681E-4</v>
      </c>
      <c r="Q83">
        <f t="shared" si="8"/>
        <v>8.8209000081321222E-4</v>
      </c>
      <c r="R83">
        <f t="shared" si="8"/>
        <v>2.0164000000006909E-4</v>
      </c>
      <c r="S83">
        <f t="shared" si="9"/>
        <v>1.2468999998917804E-3</v>
      </c>
      <c r="T83">
        <f t="shared" si="10"/>
        <v>3.5311471222419781E-2</v>
      </c>
    </row>
    <row r="84" spans="1:20" x14ac:dyDescent="0.3">
      <c r="A84" s="2" t="s">
        <v>1168</v>
      </c>
      <c r="B84" s="6" t="s">
        <v>407</v>
      </c>
      <c r="C84" s="2" t="s">
        <v>51</v>
      </c>
      <c r="D84" s="2" t="s">
        <v>63</v>
      </c>
      <c r="E84" s="3" t="s">
        <v>404</v>
      </c>
      <c r="F84" s="3" t="s">
        <v>417</v>
      </c>
      <c r="G84" s="3" t="s">
        <v>418</v>
      </c>
      <c r="J84" s="3">
        <v>428181.68839999998</v>
      </c>
      <c r="K84" s="3">
        <v>163393.6654</v>
      </c>
      <c r="L84" s="3">
        <v>46.6342</v>
      </c>
      <c r="M84" s="3">
        <f t="shared" si="11"/>
        <v>6.6999999689869583E-3</v>
      </c>
      <c r="N84" s="3">
        <f t="shared" si="11"/>
        <v>-6.4999999885912985E-3</v>
      </c>
      <c r="O84" s="3">
        <f t="shared" si="7"/>
        <v>5.3199999999996805E-2</v>
      </c>
      <c r="P84">
        <f t="shared" si="8"/>
        <v>4.4889999584425238E-5</v>
      </c>
      <c r="Q84">
        <f t="shared" si="8"/>
        <v>4.2249999851686879E-5</v>
      </c>
      <c r="R84">
        <f t="shared" si="8"/>
        <v>2.8302399999996599E-3</v>
      </c>
      <c r="S84">
        <f t="shared" si="9"/>
        <v>8.7139999436112124E-5</v>
      </c>
      <c r="T84">
        <f t="shared" si="10"/>
        <v>9.3348807938886998E-3</v>
      </c>
    </row>
    <row r="85" spans="1:20" x14ac:dyDescent="0.3">
      <c r="A85" s="2" t="s">
        <v>1168</v>
      </c>
      <c r="B85" s="6" t="s">
        <v>407</v>
      </c>
      <c r="C85" s="2" t="s">
        <v>51</v>
      </c>
      <c r="D85" s="2" t="s">
        <v>52</v>
      </c>
      <c r="E85" s="3" t="s">
        <v>419</v>
      </c>
      <c r="F85" s="3" t="s">
        <v>420</v>
      </c>
      <c r="G85" s="3" t="s">
        <v>421</v>
      </c>
      <c r="J85" s="3">
        <v>428181.68839999998</v>
      </c>
      <c r="K85" s="3">
        <v>163393.6654</v>
      </c>
      <c r="L85" s="3">
        <v>46.6342</v>
      </c>
      <c r="M85" s="3">
        <f t="shared" si="11"/>
        <v>1.3399999996181577E-2</v>
      </c>
      <c r="N85" s="3">
        <f t="shared" si="11"/>
        <v>-1.4300000009825453E-2</v>
      </c>
      <c r="O85" s="3">
        <f t="shared" si="7"/>
        <v>0.12019999999999698</v>
      </c>
      <c r="P85">
        <f t="shared" si="8"/>
        <v>1.7955999989766627E-4</v>
      </c>
      <c r="Q85">
        <f t="shared" si="8"/>
        <v>2.0449000028100795E-4</v>
      </c>
      <c r="R85">
        <f t="shared" si="8"/>
        <v>1.4448039999999274E-2</v>
      </c>
      <c r="S85">
        <f t="shared" si="9"/>
        <v>3.8405000017867423E-4</v>
      </c>
      <c r="T85">
        <f t="shared" si="10"/>
        <v>1.9597193681205334E-2</v>
      </c>
    </row>
    <row r="86" spans="1:20" x14ac:dyDescent="0.3">
      <c r="A86" s="2" t="s">
        <v>1168</v>
      </c>
      <c r="B86" s="6" t="s">
        <v>407</v>
      </c>
      <c r="C86" s="2" t="s">
        <v>422</v>
      </c>
      <c r="D86" s="2" t="s">
        <v>423</v>
      </c>
      <c r="E86" s="3" t="s">
        <v>424</v>
      </c>
      <c r="F86" s="3" t="s">
        <v>425</v>
      </c>
      <c r="G86" s="3" t="s">
        <v>426</v>
      </c>
      <c r="J86" s="3">
        <v>428181.68839999998</v>
      </c>
      <c r="K86" s="3">
        <v>163393.6654</v>
      </c>
      <c r="L86" s="3">
        <v>46.6342</v>
      </c>
      <c r="M86" s="3">
        <f t="shared" si="11"/>
        <v>1.2799999967683107E-2</v>
      </c>
      <c r="N86" s="3">
        <f t="shared" si="11"/>
        <v>-5.0000000046566129E-3</v>
      </c>
      <c r="O86" s="3">
        <f t="shared" si="7"/>
        <v>1.1200000000002319E-2</v>
      </c>
      <c r="P86">
        <f t="shared" si="8"/>
        <v>1.6383999917268753E-4</v>
      </c>
      <c r="Q86">
        <f t="shared" si="8"/>
        <v>2.5000000046566129E-5</v>
      </c>
      <c r="R86">
        <f t="shared" si="8"/>
        <v>1.2544000000005195E-4</v>
      </c>
      <c r="S86">
        <f t="shared" si="9"/>
        <v>1.8883999921925367E-4</v>
      </c>
      <c r="T86">
        <f t="shared" si="10"/>
        <v>1.3741906680634011E-2</v>
      </c>
    </row>
    <row r="87" spans="1:20" x14ac:dyDescent="0.3">
      <c r="A87" s="2" t="s">
        <v>1168</v>
      </c>
      <c r="B87" s="6" t="s">
        <v>407</v>
      </c>
      <c r="C87" s="2" t="s">
        <v>51</v>
      </c>
      <c r="D87" s="2" t="s">
        <v>30</v>
      </c>
      <c r="E87" s="3" t="s">
        <v>427</v>
      </c>
      <c r="F87" s="3" t="s">
        <v>428</v>
      </c>
      <c r="G87" s="3" t="s">
        <v>429</v>
      </c>
      <c r="J87" s="3">
        <v>428181.68839999998</v>
      </c>
      <c r="K87" s="3">
        <v>163393.6654</v>
      </c>
      <c r="L87" s="3">
        <v>46.6342</v>
      </c>
      <c r="M87" s="3">
        <f t="shared" si="11"/>
        <v>1.5099999960511923E-2</v>
      </c>
      <c r="N87" s="3">
        <f t="shared" si="11"/>
        <v>-1.1599999997997656E-2</v>
      </c>
      <c r="O87" s="3">
        <f t="shared" si="7"/>
        <v>0.11820000000000164</v>
      </c>
      <c r="P87">
        <f t="shared" si="8"/>
        <v>2.2800999880746007E-4</v>
      </c>
      <c r="Q87">
        <f t="shared" si="8"/>
        <v>1.3455999995354564E-4</v>
      </c>
      <c r="R87">
        <f t="shared" si="8"/>
        <v>1.3971240000000386E-2</v>
      </c>
      <c r="S87">
        <f t="shared" si="9"/>
        <v>3.6256999876100573E-4</v>
      </c>
      <c r="T87">
        <f t="shared" si="10"/>
        <v>1.9041270933448894E-2</v>
      </c>
    </row>
    <row r="88" spans="1:20" x14ac:dyDescent="0.3">
      <c r="A88" s="2" t="s">
        <v>1168</v>
      </c>
      <c r="B88" s="6" t="s">
        <v>430</v>
      </c>
      <c r="C88" s="2" t="s">
        <v>20</v>
      </c>
      <c r="D88" s="2" t="s">
        <v>30</v>
      </c>
      <c r="E88" s="3" t="s">
        <v>431</v>
      </c>
      <c r="F88" s="3" t="s">
        <v>432</v>
      </c>
      <c r="G88" s="3" t="s">
        <v>433</v>
      </c>
      <c r="J88" s="2" t="s">
        <v>434</v>
      </c>
      <c r="K88" s="2" t="s">
        <v>435</v>
      </c>
      <c r="L88" s="2" t="s">
        <v>436</v>
      </c>
      <c r="M88" s="3">
        <f t="shared" si="11"/>
        <v>-1.3200000044889748E-2</v>
      </c>
      <c r="N88" s="3">
        <f t="shared" si="11"/>
        <v>-7.4000000022351742E-3</v>
      </c>
      <c r="O88" s="3">
        <f t="shared" si="7"/>
        <v>4.970000000000141E-2</v>
      </c>
      <c r="P88">
        <f t="shared" si="8"/>
        <v>1.7424000118508934E-4</v>
      </c>
      <c r="Q88">
        <f t="shared" si="8"/>
        <v>5.4760000033080578E-5</v>
      </c>
      <c r="R88">
        <f t="shared" si="8"/>
        <v>2.47009000000014E-3</v>
      </c>
      <c r="S88">
        <f t="shared" si="9"/>
        <v>2.2900000121816992E-4</v>
      </c>
      <c r="T88">
        <f t="shared" si="10"/>
        <v>1.5132745990671022E-2</v>
      </c>
    </row>
    <row r="89" spans="1:20" x14ac:dyDescent="0.3">
      <c r="A89" s="2" t="s">
        <v>1168</v>
      </c>
      <c r="B89" s="6" t="s">
        <v>430</v>
      </c>
      <c r="C89" s="2" t="s">
        <v>20</v>
      </c>
      <c r="D89" s="2" t="s">
        <v>21</v>
      </c>
      <c r="E89" s="3" t="s">
        <v>437</v>
      </c>
      <c r="F89" s="3" t="s">
        <v>438</v>
      </c>
      <c r="G89" s="3" t="s">
        <v>439</v>
      </c>
      <c r="J89" s="2" t="s">
        <v>434</v>
      </c>
      <c r="K89" s="2" t="s">
        <v>435</v>
      </c>
      <c r="L89" s="2" t="s">
        <v>436</v>
      </c>
      <c r="M89" s="3">
        <f t="shared" si="11"/>
        <v>-1.3800000015180558E-2</v>
      </c>
      <c r="N89" s="3">
        <f t="shared" si="11"/>
        <v>-1.0500000003958121E-2</v>
      </c>
      <c r="O89" s="3">
        <f t="shared" si="7"/>
        <v>6.2699999999999534E-2</v>
      </c>
      <c r="P89">
        <f t="shared" si="8"/>
        <v>1.904400004189834E-4</v>
      </c>
      <c r="Q89">
        <f t="shared" si="8"/>
        <v>1.1025000008312055E-4</v>
      </c>
      <c r="R89">
        <f t="shared" si="8"/>
        <v>3.9312899999999415E-3</v>
      </c>
      <c r="S89">
        <f t="shared" si="9"/>
        <v>3.0069000050210394E-4</v>
      </c>
      <c r="T89">
        <f t="shared" si="10"/>
        <v>1.7340415234419964E-2</v>
      </c>
    </row>
    <row r="90" spans="1:20" x14ac:dyDescent="0.3">
      <c r="A90" s="2" t="s">
        <v>1168</v>
      </c>
      <c r="B90" s="6" t="s">
        <v>440</v>
      </c>
      <c r="C90" s="2" t="s">
        <v>20</v>
      </c>
      <c r="D90" s="2" t="s">
        <v>110</v>
      </c>
      <c r="E90" s="3" t="s">
        <v>441</v>
      </c>
      <c r="F90" s="3" t="s">
        <v>442</v>
      </c>
      <c r="G90" s="3">
        <v>37.149000000000001</v>
      </c>
      <c r="J90" s="2" t="s">
        <v>434</v>
      </c>
      <c r="K90" s="2" t="s">
        <v>435</v>
      </c>
      <c r="L90" s="2" t="s">
        <v>436</v>
      </c>
      <c r="M90" s="3">
        <f t="shared" si="11"/>
        <v>-1.700000005075708E-2</v>
      </c>
      <c r="N90" s="3">
        <f t="shared" si="11"/>
        <v>-9.9999999802093953E-3</v>
      </c>
      <c r="O90" s="3">
        <f t="shared" si="7"/>
        <v>5.969999999999942E-2</v>
      </c>
      <c r="P90">
        <f t="shared" si="8"/>
        <v>2.8900000172574073E-4</v>
      </c>
      <c r="Q90">
        <f t="shared" si="8"/>
        <v>9.9999999604187905E-5</v>
      </c>
      <c r="R90">
        <f t="shared" si="8"/>
        <v>3.5640899999999308E-3</v>
      </c>
      <c r="S90">
        <f t="shared" si="9"/>
        <v>3.8900000132992865E-4</v>
      </c>
      <c r="T90">
        <f t="shared" si="10"/>
        <v>1.9723082957031051E-2</v>
      </c>
    </row>
    <row r="91" spans="1:20" x14ac:dyDescent="0.3">
      <c r="A91" s="2" t="s">
        <v>1168</v>
      </c>
      <c r="B91" s="6" t="s">
        <v>440</v>
      </c>
      <c r="C91" s="2" t="s">
        <v>20</v>
      </c>
      <c r="D91" s="2" t="s">
        <v>37</v>
      </c>
      <c r="E91" s="3" t="s">
        <v>443</v>
      </c>
      <c r="F91" s="3" t="s">
        <v>444</v>
      </c>
      <c r="G91" s="3" t="s">
        <v>445</v>
      </c>
      <c r="J91" s="2" t="s">
        <v>434</v>
      </c>
      <c r="K91" s="2" t="s">
        <v>435</v>
      </c>
      <c r="L91" s="2" t="s">
        <v>436</v>
      </c>
      <c r="M91" s="3">
        <f t="shared" si="11"/>
        <v>-1.4900000009220093E-2</v>
      </c>
      <c r="N91" s="3">
        <f t="shared" si="11"/>
        <v>-1.3000000006286427E-2</v>
      </c>
      <c r="O91" s="3">
        <f t="shared" si="7"/>
        <v>3.0700000000003058E-2</v>
      </c>
      <c r="P91">
        <f t="shared" si="8"/>
        <v>2.2201000027475878E-4</v>
      </c>
      <c r="Q91">
        <f t="shared" si="8"/>
        <v>1.6900000016344712E-4</v>
      </c>
      <c r="R91">
        <f t="shared" si="8"/>
        <v>9.4249000000018782E-4</v>
      </c>
      <c r="S91">
        <f t="shared" si="9"/>
        <v>3.9101000043820591E-4</v>
      </c>
      <c r="T91">
        <f t="shared" si="10"/>
        <v>1.9773972803617534E-2</v>
      </c>
    </row>
    <row r="92" spans="1:20" x14ac:dyDescent="0.3">
      <c r="A92" s="2" t="s">
        <v>1168</v>
      </c>
      <c r="B92" s="6" t="s">
        <v>440</v>
      </c>
      <c r="C92" s="2" t="s">
        <v>20</v>
      </c>
      <c r="D92" s="2" t="s">
        <v>46</v>
      </c>
      <c r="E92" s="3" t="s">
        <v>446</v>
      </c>
      <c r="F92" s="3" t="s">
        <v>447</v>
      </c>
      <c r="G92" s="3" t="s">
        <v>448</v>
      </c>
      <c r="J92" s="2" t="s">
        <v>434</v>
      </c>
      <c r="K92" s="2" t="s">
        <v>435</v>
      </c>
      <c r="L92" s="2" t="s">
        <v>436</v>
      </c>
      <c r="M92" s="3">
        <f t="shared" si="11"/>
        <v>-1.7900000035297126E-2</v>
      </c>
      <c r="N92" s="3">
        <f t="shared" si="11"/>
        <v>-9.2000000004190952E-3</v>
      </c>
      <c r="O92" s="3">
        <f t="shared" si="7"/>
        <v>2.8700000000000614E-2</v>
      </c>
      <c r="P92">
        <f t="shared" si="8"/>
        <v>3.2041000126363712E-4</v>
      </c>
      <c r="Q92">
        <f t="shared" si="8"/>
        <v>8.464000000771135E-5</v>
      </c>
      <c r="R92">
        <f t="shared" si="8"/>
        <v>8.2369000000003521E-4</v>
      </c>
      <c r="S92">
        <f t="shared" si="9"/>
        <v>4.0505000127134848E-4</v>
      </c>
      <c r="T92">
        <f t="shared" si="10"/>
        <v>2.0125854050731574E-2</v>
      </c>
    </row>
    <row r="93" spans="1:20" x14ac:dyDescent="0.3">
      <c r="A93" s="2" t="s">
        <v>1168</v>
      </c>
      <c r="B93" s="6" t="s">
        <v>440</v>
      </c>
      <c r="C93" s="2" t="s">
        <v>51</v>
      </c>
      <c r="D93" s="2" t="s">
        <v>63</v>
      </c>
      <c r="E93" s="3" t="s">
        <v>449</v>
      </c>
      <c r="F93" s="3" t="s">
        <v>450</v>
      </c>
      <c r="G93" s="3" t="s">
        <v>451</v>
      </c>
      <c r="J93" s="2" t="s">
        <v>434</v>
      </c>
      <c r="K93" s="2" t="s">
        <v>435</v>
      </c>
      <c r="L93" s="2" t="s">
        <v>436</v>
      </c>
      <c r="M93" s="3">
        <f t="shared" si="11"/>
        <v>-2.2400000016205013E-2</v>
      </c>
      <c r="N93" s="3">
        <f t="shared" si="11"/>
        <v>6.1199999996460974E-2</v>
      </c>
      <c r="O93" s="3">
        <f t="shared" si="7"/>
        <v>0.1366999999999976</v>
      </c>
      <c r="P93">
        <f t="shared" si="8"/>
        <v>5.0176000072598456E-4</v>
      </c>
      <c r="Q93">
        <f t="shared" si="8"/>
        <v>3.7454399995668231E-3</v>
      </c>
      <c r="R93">
        <f t="shared" si="8"/>
        <v>1.8686889999999345E-2</v>
      </c>
      <c r="S93">
        <f t="shared" si="9"/>
        <v>4.2472000002928079E-3</v>
      </c>
      <c r="T93">
        <f t="shared" si="10"/>
        <v>6.5170545496357535E-2</v>
      </c>
    </row>
    <row r="94" spans="1:20" x14ac:dyDescent="0.3">
      <c r="A94" s="2" t="s">
        <v>1168</v>
      </c>
      <c r="B94" s="6" t="s">
        <v>440</v>
      </c>
      <c r="C94" s="2" t="s">
        <v>51</v>
      </c>
      <c r="D94" s="2" t="s">
        <v>30</v>
      </c>
      <c r="E94" s="3" t="s">
        <v>452</v>
      </c>
      <c r="F94" s="3" t="s">
        <v>453</v>
      </c>
      <c r="G94" s="3" t="s">
        <v>454</v>
      </c>
      <c r="J94" s="2" t="s">
        <v>434</v>
      </c>
      <c r="K94" s="2" t="s">
        <v>435</v>
      </c>
      <c r="L94" s="2" t="s">
        <v>436</v>
      </c>
      <c r="M94" s="3">
        <f t="shared" si="11"/>
        <v>-1.8000000040046871E-2</v>
      </c>
      <c r="N94" s="3">
        <f t="shared" si="11"/>
        <v>-8.2999999867752194E-3</v>
      </c>
      <c r="O94" s="3">
        <f t="shared" si="7"/>
        <v>4.6999999999997044E-3</v>
      </c>
      <c r="P94">
        <f t="shared" si="8"/>
        <v>3.2400000144168733E-4</v>
      </c>
      <c r="Q94">
        <f t="shared" si="8"/>
        <v>6.8889999780468643E-5</v>
      </c>
      <c r="R94">
        <f t="shared" si="8"/>
        <v>2.2089999999997222E-5</v>
      </c>
      <c r="S94">
        <f t="shared" si="9"/>
        <v>3.9289000122215596E-4</v>
      </c>
      <c r="T94">
        <f t="shared" si="10"/>
        <v>1.9821453055267061E-2</v>
      </c>
    </row>
    <row r="95" spans="1:20" x14ac:dyDescent="0.3">
      <c r="A95" s="2" t="s">
        <v>1168</v>
      </c>
      <c r="B95" s="6" t="s">
        <v>440</v>
      </c>
      <c r="C95" s="2" t="s">
        <v>51</v>
      </c>
      <c r="D95" s="2" t="s">
        <v>52</v>
      </c>
      <c r="E95" s="3" t="s">
        <v>455</v>
      </c>
      <c r="F95" s="3" t="s">
        <v>456</v>
      </c>
      <c r="G95" s="3" t="s">
        <v>457</v>
      </c>
      <c r="J95" s="2" t="s">
        <v>434</v>
      </c>
      <c r="K95" s="2" t="s">
        <v>435</v>
      </c>
      <c r="L95" s="2" t="s">
        <v>436</v>
      </c>
      <c r="M95" s="3">
        <f t="shared" si="11"/>
        <v>-1.6300000017508864E-2</v>
      </c>
      <c r="N95" s="3">
        <f t="shared" si="11"/>
        <v>-1.3399999996181577E-2</v>
      </c>
      <c r="O95" s="3">
        <f t="shared" si="7"/>
        <v>1.4699999999997715E-2</v>
      </c>
      <c r="P95">
        <f t="shared" si="8"/>
        <v>2.6569000057078898E-4</v>
      </c>
      <c r="Q95">
        <f t="shared" si="8"/>
        <v>1.7955999989766627E-4</v>
      </c>
      <c r="R95">
        <f t="shared" si="8"/>
        <v>2.1608999999993281E-4</v>
      </c>
      <c r="S95">
        <f t="shared" si="9"/>
        <v>4.4525000046845525E-4</v>
      </c>
      <c r="T95">
        <f t="shared" si="10"/>
        <v>2.1100947857109531E-2</v>
      </c>
    </row>
    <row r="96" spans="1:20" x14ac:dyDescent="0.3">
      <c r="A96" s="2" t="s">
        <v>1168</v>
      </c>
      <c r="B96" s="6" t="s">
        <v>440</v>
      </c>
      <c r="C96" s="2" t="s">
        <v>422</v>
      </c>
      <c r="D96" s="2" t="s">
        <v>423</v>
      </c>
      <c r="E96" s="3" t="s">
        <v>458</v>
      </c>
      <c r="F96" s="3" t="s">
        <v>459</v>
      </c>
      <c r="G96" s="3" t="s">
        <v>460</v>
      </c>
      <c r="J96" s="2" t="s">
        <v>434</v>
      </c>
      <c r="K96" s="2" t="s">
        <v>435</v>
      </c>
      <c r="L96" s="2" t="s">
        <v>436</v>
      </c>
      <c r="M96" s="3">
        <f t="shared" si="11"/>
        <v>3.1999999773688614E-3</v>
      </c>
      <c r="N96" s="3">
        <f t="shared" si="11"/>
        <v>-4.1399999987334013E-2</v>
      </c>
      <c r="O96" s="3">
        <f t="shared" si="7"/>
        <v>0.1203000000000003</v>
      </c>
      <c r="P96">
        <f t="shared" si="8"/>
        <v>1.0239999855160714E-5</v>
      </c>
      <c r="Q96">
        <f t="shared" si="8"/>
        <v>1.7139599989512563E-3</v>
      </c>
      <c r="R96">
        <f t="shared" si="8"/>
        <v>1.4472090000000071E-2</v>
      </c>
      <c r="S96">
        <f t="shared" si="9"/>
        <v>1.724199998806417E-3</v>
      </c>
      <c r="T96">
        <f t="shared" si="10"/>
        <v>4.1523487315089723E-2</v>
      </c>
    </row>
    <row r="97" spans="1:20" x14ac:dyDescent="0.3">
      <c r="A97" s="2" t="s">
        <v>1168</v>
      </c>
      <c r="B97" s="6" t="s">
        <v>461</v>
      </c>
      <c r="C97" s="2" t="s">
        <v>20</v>
      </c>
      <c r="D97" s="2" t="s">
        <v>30</v>
      </c>
      <c r="E97" s="3" t="s">
        <v>462</v>
      </c>
      <c r="F97" s="3" t="s">
        <v>463</v>
      </c>
      <c r="G97" s="3" t="s">
        <v>464</v>
      </c>
      <c r="J97" s="7">
        <v>344945.9338</v>
      </c>
      <c r="K97" s="7">
        <v>180876.34109999999</v>
      </c>
      <c r="L97" s="7">
        <v>42.471899999999998</v>
      </c>
      <c r="M97" s="3">
        <f t="shared" si="11"/>
        <v>2.9900000023189932E-2</v>
      </c>
      <c r="N97" s="3">
        <f t="shared" si="11"/>
        <v>-5.6000000040512532E-3</v>
      </c>
      <c r="O97" s="3">
        <f t="shared" si="7"/>
        <v>2.8900000000000148E-2</v>
      </c>
      <c r="P97">
        <f t="shared" si="8"/>
        <v>8.9401000138675799E-4</v>
      </c>
      <c r="Q97">
        <f t="shared" si="8"/>
        <v>3.1360000045374035E-5</v>
      </c>
      <c r="R97">
        <f t="shared" si="8"/>
        <v>8.3521000000000853E-4</v>
      </c>
      <c r="S97">
        <f t="shared" si="9"/>
        <v>9.2537000143213199E-4</v>
      </c>
      <c r="T97">
        <f t="shared" si="10"/>
        <v>3.0419894829406165E-2</v>
      </c>
    </row>
    <row r="98" spans="1:20" x14ac:dyDescent="0.3">
      <c r="A98" s="2" t="s">
        <v>1168</v>
      </c>
      <c r="B98" s="6" t="s">
        <v>461</v>
      </c>
      <c r="C98" s="2" t="s">
        <v>20</v>
      </c>
      <c r="D98" s="2" t="s">
        <v>21</v>
      </c>
      <c r="E98" s="3" t="s">
        <v>465</v>
      </c>
      <c r="F98" s="3" t="s">
        <v>466</v>
      </c>
      <c r="G98" s="3" t="s">
        <v>467</v>
      </c>
      <c r="J98" s="7">
        <v>344945.9338</v>
      </c>
      <c r="K98" s="7">
        <v>180876.34109999999</v>
      </c>
      <c r="L98" s="7">
        <v>42.471899999999998</v>
      </c>
      <c r="M98" s="3">
        <f t="shared" si="11"/>
        <v>2.4199999985285103E-2</v>
      </c>
      <c r="N98" s="3">
        <f t="shared" si="11"/>
        <v>-1.500000013038516E-3</v>
      </c>
      <c r="O98" s="3">
        <f t="shared" si="7"/>
        <v>3.2899999999997931E-2</v>
      </c>
      <c r="P98">
        <f t="shared" si="8"/>
        <v>5.8563999928779899E-4</v>
      </c>
      <c r="Q98">
        <f t="shared" si="8"/>
        <v>2.2500000391155483E-6</v>
      </c>
      <c r="R98">
        <f t="shared" si="8"/>
        <v>1.0824099999998638E-3</v>
      </c>
      <c r="S98">
        <f t="shared" si="9"/>
        <v>5.8788999932691448E-4</v>
      </c>
      <c r="T98">
        <f t="shared" si="10"/>
        <v>2.424644302422346E-2</v>
      </c>
    </row>
    <row r="99" spans="1:20" x14ac:dyDescent="0.3">
      <c r="A99" s="2" t="s">
        <v>1168</v>
      </c>
      <c r="B99" s="6" t="s">
        <v>461</v>
      </c>
      <c r="C99" s="2" t="s">
        <v>20</v>
      </c>
      <c r="D99" s="2" t="s">
        <v>110</v>
      </c>
      <c r="E99" s="3" t="s">
        <v>468</v>
      </c>
      <c r="F99" s="3" t="s">
        <v>469</v>
      </c>
      <c r="G99" s="3" t="s">
        <v>470</v>
      </c>
      <c r="J99" s="7">
        <v>344945.9338</v>
      </c>
      <c r="K99" s="7">
        <v>180876.34109999999</v>
      </c>
      <c r="L99" s="7">
        <v>42.471899999999998</v>
      </c>
      <c r="M99" s="3">
        <f t="shared" si="11"/>
        <v>2.0499999984167516E-2</v>
      </c>
      <c r="N99" s="3">
        <f t="shared" si="11"/>
        <v>4.3999999761581421E-3</v>
      </c>
      <c r="O99" s="3">
        <f t="shared" si="7"/>
        <v>3.4900000000000375E-2</v>
      </c>
      <c r="P99">
        <f t="shared" si="8"/>
        <v>4.2024999935086815E-4</v>
      </c>
      <c r="Q99">
        <f t="shared" si="8"/>
        <v>1.9359999790191651E-5</v>
      </c>
      <c r="R99">
        <f t="shared" si="8"/>
        <v>1.2180100000000263E-3</v>
      </c>
      <c r="S99">
        <f t="shared" si="9"/>
        <v>4.396099991410598E-4</v>
      </c>
      <c r="T99">
        <f t="shared" si="10"/>
        <v>2.0966878621794419E-2</v>
      </c>
    </row>
    <row r="100" spans="1:20" x14ac:dyDescent="0.3">
      <c r="A100" s="2" t="s">
        <v>1168</v>
      </c>
      <c r="B100" s="6" t="s">
        <v>461</v>
      </c>
      <c r="C100" s="2" t="s">
        <v>20</v>
      </c>
      <c r="D100" s="2" t="s">
        <v>37</v>
      </c>
      <c r="E100" s="3" t="s">
        <v>471</v>
      </c>
      <c r="F100" s="3" t="s">
        <v>472</v>
      </c>
      <c r="G100" s="3" t="s">
        <v>473</v>
      </c>
      <c r="J100" s="7">
        <v>344945.9338</v>
      </c>
      <c r="K100" s="7">
        <v>180876.34109999999</v>
      </c>
      <c r="L100" s="7">
        <v>42.471899999999998</v>
      </c>
      <c r="M100" s="3">
        <f t="shared" si="11"/>
        <v>1.9499999994877726E-2</v>
      </c>
      <c r="N100" s="3">
        <f t="shared" si="11"/>
        <v>1.0999999940395355E-3</v>
      </c>
      <c r="O100" s="3">
        <f t="shared" si="7"/>
        <v>1.0000000000331966E-4</v>
      </c>
      <c r="P100">
        <f t="shared" si="8"/>
        <v>3.802499998002313E-4</v>
      </c>
      <c r="Q100">
        <f t="shared" si="8"/>
        <v>1.2099999868869782E-6</v>
      </c>
      <c r="R100">
        <f t="shared" si="8"/>
        <v>1.0000000000663932E-8</v>
      </c>
      <c r="S100">
        <f t="shared" si="9"/>
        <v>3.8145999978711828E-4</v>
      </c>
      <c r="T100">
        <f t="shared" si="10"/>
        <v>1.9531000992962913E-2</v>
      </c>
    </row>
    <row r="101" spans="1:20" x14ac:dyDescent="0.3">
      <c r="A101" s="2" t="s">
        <v>1168</v>
      </c>
      <c r="B101" s="6" t="s">
        <v>461</v>
      </c>
      <c r="C101" s="2" t="s">
        <v>20</v>
      </c>
      <c r="D101" s="2" t="s">
        <v>46</v>
      </c>
      <c r="E101" s="3" t="s">
        <v>474</v>
      </c>
      <c r="F101" s="3" t="s">
        <v>475</v>
      </c>
      <c r="G101" s="3" t="s">
        <v>476</v>
      </c>
      <c r="J101" s="7">
        <v>344945.9338</v>
      </c>
      <c r="K101" s="7">
        <v>180876.34109999999</v>
      </c>
      <c r="L101" s="7">
        <v>42.471899999999998</v>
      </c>
      <c r="M101" s="3">
        <f t="shared" si="11"/>
        <v>4.7999999951571226E-3</v>
      </c>
      <c r="N101" s="3">
        <f t="shared" si="11"/>
        <v>4.999999946448952E-4</v>
      </c>
      <c r="O101" s="3">
        <f t="shared" si="7"/>
        <v>4.690000000000083E-2</v>
      </c>
      <c r="P101">
        <f t="shared" si="8"/>
        <v>2.3039999953508377E-5</v>
      </c>
      <c r="Q101">
        <f t="shared" si="8"/>
        <v>2.4999999464489522E-7</v>
      </c>
      <c r="R101">
        <f t="shared" si="8"/>
        <v>2.1996100000000779E-3</v>
      </c>
      <c r="S101">
        <f t="shared" si="9"/>
        <v>2.3289999948153271E-5</v>
      </c>
      <c r="T101">
        <f t="shared" si="10"/>
        <v>4.8259713994338246E-3</v>
      </c>
    </row>
    <row r="102" spans="1:20" x14ac:dyDescent="0.3">
      <c r="A102" s="2" t="s">
        <v>1168</v>
      </c>
      <c r="B102" s="6" t="s">
        <v>461</v>
      </c>
      <c r="C102" s="2" t="s">
        <v>51</v>
      </c>
      <c r="D102" s="2" t="s">
        <v>30</v>
      </c>
      <c r="E102" s="3" t="s">
        <v>477</v>
      </c>
      <c r="F102" s="3" t="s">
        <v>478</v>
      </c>
      <c r="G102" s="3" t="s">
        <v>479</v>
      </c>
      <c r="J102" s="7">
        <v>344945.9338</v>
      </c>
      <c r="K102" s="7">
        <v>180876.34109999999</v>
      </c>
      <c r="L102" s="7">
        <v>42.471899999999998</v>
      </c>
      <c r="M102" s="3">
        <f t="shared" si="11"/>
        <v>-6.2000000034458935E-3</v>
      </c>
      <c r="N102" s="3">
        <f t="shared" si="11"/>
        <v>-1.2000000016996637E-2</v>
      </c>
      <c r="O102" s="3">
        <f t="shared" si="7"/>
        <v>0.22090000000000032</v>
      </c>
      <c r="P102">
        <f t="shared" si="8"/>
        <v>3.8440000042729076E-5</v>
      </c>
      <c r="Q102">
        <f t="shared" si="8"/>
        <v>1.4400000040791928E-4</v>
      </c>
      <c r="R102">
        <f t="shared" si="8"/>
        <v>4.8796810000000142E-2</v>
      </c>
      <c r="S102">
        <f t="shared" si="9"/>
        <v>1.8244000045064836E-4</v>
      </c>
      <c r="T102">
        <f t="shared" si="10"/>
        <v>1.3507035220604422E-2</v>
      </c>
    </row>
    <row r="103" spans="1:20" x14ac:dyDescent="0.3">
      <c r="A103" s="2" t="s">
        <v>1168</v>
      </c>
      <c r="B103" s="6" t="s">
        <v>461</v>
      </c>
      <c r="C103" s="2" t="s">
        <v>51</v>
      </c>
      <c r="D103" s="2" t="s">
        <v>52</v>
      </c>
      <c r="E103" s="3" t="s">
        <v>480</v>
      </c>
      <c r="F103" s="3" t="s">
        <v>481</v>
      </c>
      <c r="G103" s="3" t="s">
        <v>482</v>
      </c>
      <c r="J103" s="7">
        <v>344945.9338</v>
      </c>
      <c r="K103" s="7">
        <v>180876.34109999999</v>
      </c>
      <c r="L103" s="7">
        <v>42.471899999999998</v>
      </c>
      <c r="M103" s="3">
        <f t="shared" si="11"/>
        <v>-3.2999999821186066E-3</v>
      </c>
      <c r="N103" s="3">
        <f t="shared" si="11"/>
        <v>-2.1200000017415732E-2</v>
      </c>
      <c r="O103" s="3">
        <f t="shared" si="7"/>
        <v>0.231899999999996</v>
      </c>
      <c r="P103">
        <f t="shared" si="8"/>
        <v>1.0889999881982804E-5</v>
      </c>
      <c r="Q103">
        <f t="shared" si="8"/>
        <v>4.4944000073842707E-4</v>
      </c>
      <c r="R103">
        <f t="shared" si="8"/>
        <v>5.3777609999998144E-2</v>
      </c>
      <c r="S103">
        <f t="shared" si="9"/>
        <v>4.6033000062040987E-4</v>
      </c>
      <c r="T103">
        <f t="shared" si="10"/>
        <v>2.1455302389395723E-2</v>
      </c>
    </row>
    <row r="104" spans="1:20" x14ac:dyDescent="0.3">
      <c r="A104" s="2" t="s">
        <v>1168</v>
      </c>
      <c r="B104" s="6" t="s">
        <v>461</v>
      </c>
      <c r="C104" s="2" t="s">
        <v>422</v>
      </c>
      <c r="D104" s="2" t="s">
        <v>423</v>
      </c>
      <c r="E104" s="3" t="s">
        <v>483</v>
      </c>
      <c r="F104" s="3" t="s">
        <v>484</v>
      </c>
      <c r="G104" s="3" t="s">
        <v>485</v>
      </c>
      <c r="J104" s="7">
        <v>344945.9338</v>
      </c>
      <c r="K104" s="7">
        <v>180876.34109999999</v>
      </c>
      <c r="L104" s="7">
        <v>42.471899999999998</v>
      </c>
      <c r="M104" s="3">
        <f t="shared" si="11"/>
        <v>-4.1000000201165676E-3</v>
      </c>
      <c r="N104" s="3">
        <f t="shared" si="11"/>
        <v>1.9100000004982576E-2</v>
      </c>
      <c r="O104" s="3">
        <f t="shared" si="7"/>
        <v>4.5899999999996055E-2</v>
      </c>
      <c r="P104">
        <f t="shared" si="8"/>
        <v>1.6810000164955855E-5</v>
      </c>
      <c r="Q104">
        <f t="shared" si="8"/>
        <v>3.6481000019033437E-4</v>
      </c>
      <c r="R104">
        <f t="shared" si="8"/>
        <v>2.1068099999996381E-3</v>
      </c>
      <c r="S104">
        <f t="shared" si="9"/>
        <v>3.8162000035529023E-4</v>
      </c>
      <c r="T104">
        <f t="shared" si="10"/>
        <v>1.9535096630303374E-2</v>
      </c>
    </row>
    <row r="105" spans="1:20" x14ac:dyDescent="0.3">
      <c r="A105" s="2" t="s">
        <v>1168</v>
      </c>
      <c r="B105" s="6" t="s">
        <v>486</v>
      </c>
      <c r="C105" s="2" t="s">
        <v>20</v>
      </c>
      <c r="D105" s="2" t="s">
        <v>30</v>
      </c>
      <c r="E105" s="3" t="s">
        <v>487</v>
      </c>
      <c r="F105" s="3" t="s">
        <v>488</v>
      </c>
      <c r="G105" s="3" t="s">
        <v>489</v>
      </c>
      <c r="J105" s="5" t="s">
        <v>490</v>
      </c>
      <c r="K105" s="5" t="s">
        <v>491</v>
      </c>
      <c r="L105" s="5" t="s">
        <v>492</v>
      </c>
      <c r="M105" s="3">
        <f t="shared" si="11"/>
        <v>1.6100000008009374E-2</v>
      </c>
      <c r="N105" s="3">
        <f t="shared" si="11"/>
        <v>-7.7999999921303242E-3</v>
      </c>
      <c r="O105" s="3">
        <f t="shared" si="7"/>
        <v>1.9600000000004059E-2</v>
      </c>
      <c r="P105">
        <f t="shared" si="8"/>
        <v>2.5921000025790183E-4</v>
      </c>
      <c r="Q105">
        <f t="shared" si="8"/>
        <v>6.0839999877233057E-5</v>
      </c>
      <c r="R105">
        <f t="shared" si="8"/>
        <v>3.8416000000015909E-4</v>
      </c>
      <c r="S105">
        <f t="shared" si="9"/>
        <v>3.200500001351349E-4</v>
      </c>
      <c r="T105">
        <f t="shared" si="10"/>
        <v>1.7889941311673856E-2</v>
      </c>
    </row>
    <row r="106" spans="1:20" x14ac:dyDescent="0.3">
      <c r="A106" s="2" t="s">
        <v>1168</v>
      </c>
      <c r="B106" s="6" t="s">
        <v>486</v>
      </c>
      <c r="C106" s="2" t="s">
        <v>20</v>
      </c>
      <c r="D106" s="2" t="s">
        <v>21</v>
      </c>
      <c r="E106" s="3" t="s">
        <v>493</v>
      </c>
      <c r="F106" s="3" t="s">
        <v>494</v>
      </c>
      <c r="G106" s="3" t="s">
        <v>495</v>
      </c>
      <c r="J106" s="5" t="s">
        <v>490</v>
      </c>
      <c r="K106" s="5" t="s">
        <v>491</v>
      </c>
      <c r="L106" s="5" t="s">
        <v>496</v>
      </c>
      <c r="M106" s="3">
        <f t="shared" si="11"/>
        <v>2.5000000023283064E-2</v>
      </c>
      <c r="N106" s="3">
        <f t="shared" si="11"/>
        <v>-8.2999999867752194E-3</v>
      </c>
      <c r="O106" s="3">
        <f t="shared" si="7"/>
        <v>2.0499999999998408E-2</v>
      </c>
      <c r="P106">
        <f t="shared" si="8"/>
        <v>6.2500000116415321E-4</v>
      </c>
      <c r="Q106">
        <f t="shared" si="8"/>
        <v>6.8889999780468643E-5</v>
      </c>
      <c r="R106">
        <f t="shared" si="8"/>
        <v>4.2024999999993473E-4</v>
      </c>
      <c r="S106">
        <f t="shared" si="9"/>
        <v>6.9389000094462183E-4</v>
      </c>
      <c r="T106">
        <f t="shared" si="10"/>
        <v>2.6341791908384322E-2</v>
      </c>
    </row>
    <row r="107" spans="1:20" x14ac:dyDescent="0.3">
      <c r="A107" s="2" t="s">
        <v>1168</v>
      </c>
      <c r="B107" s="6" t="s">
        <v>497</v>
      </c>
      <c r="C107" s="2" t="s">
        <v>20</v>
      </c>
      <c r="D107" s="2" t="s">
        <v>110</v>
      </c>
      <c r="E107" s="3" t="s">
        <v>498</v>
      </c>
      <c r="F107" s="3" t="s">
        <v>499</v>
      </c>
      <c r="G107" s="3" t="s">
        <v>500</v>
      </c>
      <c r="J107" s="5" t="s">
        <v>501</v>
      </c>
      <c r="K107" s="5" t="s">
        <v>502</v>
      </c>
      <c r="L107" s="5" t="s">
        <v>503</v>
      </c>
      <c r="M107" s="3">
        <f t="shared" si="11"/>
        <v>1.8600000010337681E-2</v>
      </c>
      <c r="N107" s="3">
        <f t="shared" si="11"/>
        <v>-8.3999999915249646E-3</v>
      </c>
      <c r="O107" s="3">
        <f t="shared" si="7"/>
        <v>1.1400000000001853E-2</v>
      </c>
      <c r="P107">
        <f t="shared" si="8"/>
        <v>3.4596000038456171E-4</v>
      </c>
      <c r="Q107">
        <f t="shared" si="8"/>
        <v>7.0559999857619401E-5</v>
      </c>
      <c r="R107">
        <f t="shared" si="8"/>
        <v>1.2996000000004224E-4</v>
      </c>
      <c r="S107">
        <f t="shared" si="9"/>
        <v>4.1652000024218114E-4</v>
      </c>
      <c r="T107">
        <f t="shared" si="10"/>
        <v>2.0408821627967186E-2</v>
      </c>
    </row>
    <row r="108" spans="1:20" x14ac:dyDescent="0.3">
      <c r="A108" s="2" t="s">
        <v>1168</v>
      </c>
      <c r="B108" s="6" t="s">
        <v>497</v>
      </c>
      <c r="C108" s="2" t="s">
        <v>20</v>
      </c>
      <c r="D108" s="2" t="s">
        <v>37</v>
      </c>
      <c r="E108" s="3" t="s">
        <v>504</v>
      </c>
      <c r="F108" s="3" t="s">
        <v>505</v>
      </c>
      <c r="G108" s="3" t="s">
        <v>506</v>
      </c>
      <c r="J108" s="5" t="s">
        <v>501</v>
      </c>
      <c r="K108" s="5" t="s">
        <v>502</v>
      </c>
      <c r="L108" s="5" t="s">
        <v>507</v>
      </c>
      <c r="M108" s="3">
        <f t="shared" si="11"/>
        <v>1.4800000004470348E-2</v>
      </c>
      <c r="N108" s="3">
        <f t="shared" si="11"/>
        <v>-5.0000000046566129E-3</v>
      </c>
      <c r="O108" s="3">
        <f t="shared" si="7"/>
        <v>1.5299999999996317E-2</v>
      </c>
      <c r="P108">
        <f t="shared" si="8"/>
        <v>2.1904000013232231E-4</v>
      </c>
      <c r="Q108">
        <f t="shared" si="8"/>
        <v>2.5000000046566129E-5</v>
      </c>
      <c r="R108">
        <f t="shared" si="8"/>
        <v>2.3408999999988727E-4</v>
      </c>
      <c r="S108">
        <f t="shared" si="9"/>
        <v>2.4404000017888843E-4</v>
      </c>
      <c r="T108">
        <f t="shared" si="10"/>
        <v>1.5621779673868416E-2</v>
      </c>
    </row>
    <row r="109" spans="1:20" x14ac:dyDescent="0.3">
      <c r="A109" s="2" t="s">
        <v>1168</v>
      </c>
      <c r="B109" s="6" t="s">
        <v>497</v>
      </c>
      <c r="C109" s="2" t="s">
        <v>20</v>
      </c>
      <c r="D109" s="2" t="s">
        <v>46</v>
      </c>
      <c r="E109" s="3" t="s">
        <v>508</v>
      </c>
      <c r="F109" s="3" t="s">
        <v>509</v>
      </c>
      <c r="G109" s="3" t="s">
        <v>510</v>
      </c>
      <c r="J109" s="5" t="s">
        <v>501</v>
      </c>
      <c r="K109" s="5" t="s">
        <v>502</v>
      </c>
      <c r="L109" s="5" t="s">
        <v>511</v>
      </c>
      <c r="M109" s="3">
        <f t="shared" si="11"/>
        <v>2.4299999990034848E-2</v>
      </c>
      <c r="N109" s="3">
        <f t="shared" si="11"/>
        <v>1.7000000225380063E-3</v>
      </c>
      <c r="O109" s="3">
        <f t="shared" si="7"/>
        <v>4.420000000000357E-2</v>
      </c>
      <c r="P109">
        <f t="shared" si="8"/>
        <v>5.9048999951569366E-4</v>
      </c>
      <c r="Q109">
        <f t="shared" si="8"/>
        <v>2.8900000766292219E-6</v>
      </c>
      <c r="R109">
        <f t="shared" si="8"/>
        <v>1.9536400000003157E-3</v>
      </c>
      <c r="S109">
        <f t="shared" si="9"/>
        <v>5.9337999959232287E-4</v>
      </c>
      <c r="T109">
        <f t="shared" si="10"/>
        <v>2.4359392430689294E-2</v>
      </c>
    </row>
    <row r="110" spans="1:20" x14ac:dyDescent="0.3">
      <c r="A110" s="2" t="s">
        <v>1168</v>
      </c>
      <c r="B110" s="6" t="s">
        <v>497</v>
      </c>
      <c r="C110" s="2" t="s">
        <v>51</v>
      </c>
      <c r="D110" s="2" t="s">
        <v>63</v>
      </c>
      <c r="E110" s="3" t="s">
        <v>512</v>
      </c>
      <c r="F110" s="3" t="s">
        <v>513</v>
      </c>
      <c r="G110" s="3" t="s">
        <v>514</v>
      </c>
      <c r="J110" s="5" t="s">
        <v>501</v>
      </c>
      <c r="K110" s="5" t="s">
        <v>502</v>
      </c>
      <c r="L110" s="5" t="s">
        <v>515</v>
      </c>
      <c r="M110" s="3">
        <f t="shared" si="11"/>
        <v>3.6000000021886081E-2</v>
      </c>
      <c r="N110" s="3">
        <f t="shared" si="11"/>
        <v>-2.709999997750856E-2</v>
      </c>
      <c r="O110" s="3">
        <f t="shared" si="7"/>
        <v>4.9900000000000944E-2</v>
      </c>
      <c r="P110">
        <f t="shared" si="8"/>
        <v>1.2960000015757977E-3</v>
      </c>
      <c r="Q110">
        <f t="shared" si="8"/>
        <v>7.3440999878096396E-4</v>
      </c>
      <c r="R110">
        <f t="shared" si="8"/>
        <v>2.4900100000000941E-3</v>
      </c>
      <c r="S110">
        <f t="shared" si="9"/>
        <v>2.0304100003567618E-3</v>
      </c>
      <c r="T110">
        <f t="shared" si="10"/>
        <v>4.5060071020325318E-2</v>
      </c>
    </row>
    <row r="111" spans="1:20" x14ac:dyDescent="0.3">
      <c r="A111" s="2" t="s">
        <v>1168</v>
      </c>
      <c r="B111" s="6" t="s">
        <v>497</v>
      </c>
      <c r="C111" s="2" t="s">
        <v>51</v>
      </c>
      <c r="D111" s="2" t="s">
        <v>30</v>
      </c>
      <c r="E111" s="3" t="s">
        <v>516</v>
      </c>
      <c r="F111" s="3" t="s">
        <v>517</v>
      </c>
      <c r="G111" s="3" t="s">
        <v>518</v>
      </c>
      <c r="J111" s="5" t="s">
        <v>501</v>
      </c>
      <c r="K111" s="5" t="s">
        <v>502</v>
      </c>
      <c r="L111" s="5" t="s">
        <v>519</v>
      </c>
      <c r="M111" s="3">
        <f t="shared" si="11"/>
        <v>2.2800000035203993E-2</v>
      </c>
      <c r="N111" s="3">
        <f t="shared" si="11"/>
        <v>-1.1100000003352761E-2</v>
      </c>
      <c r="O111" s="3">
        <f t="shared" si="7"/>
        <v>4.399999999999693E-2</v>
      </c>
      <c r="P111">
        <f t="shared" si="8"/>
        <v>5.1984000160530208E-4</v>
      </c>
      <c r="Q111">
        <f t="shared" si="8"/>
        <v>1.232100000744313E-4</v>
      </c>
      <c r="R111">
        <f t="shared" si="8"/>
        <v>1.9359999999997298E-3</v>
      </c>
      <c r="S111">
        <f t="shared" si="9"/>
        <v>6.4305000167973344E-4</v>
      </c>
      <c r="T111">
        <f t="shared" si="10"/>
        <v>2.5358430583924816E-2</v>
      </c>
    </row>
    <row r="112" spans="1:20" x14ac:dyDescent="0.3">
      <c r="A112" s="2" t="s">
        <v>1168</v>
      </c>
      <c r="B112" s="6" t="s">
        <v>497</v>
      </c>
      <c r="C112" s="2" t="s">
        <v>51</v>
      </c>
      <c r="D112" s="2" t="s">
        <v>52</v>
      </c>
      <c r="E112" s="3" t="s">
        <v>516</v>
      </c>
      <c r="F112" s="3" t="s">
        <v>520</v>
      </c>
      <c r="G112" s="3" t="s">
        <v>521</v>
      </c>
      <c r="J112" s="5" t="s">
        <v>501</v>
      </c>
      <c r="K112" s="5" t="s">
        <v>502</v>
      </c>
      <c r="L112" s="5" t="s">
        <v>522</v>
      </c>
      <c r="M112" s="3">
        <f t="shared" si="11"/>
        <v>2.2800000035203993E-2</v>
      </c>
      <c r="N112" s="3">
        <f t="shared" si="11"/>
        <v>-1.4599999994970858E-2</v>
      </c>
      <c r="O112" s="3">
        <f t="shared" si="7"/>
        <v>3.0100000000004457E-2</v>
      </c>
      <c r="P112">
        <f t="shared" si="8"/>
        <v>5.1984000160530208E-4</v>
      </c>
      <c r="Q112">
        <f t="shared" si="8"/>
        <v>2.1315999985314904E-4</v>
      </c>
      <c r="R112">
        <f t="shared" si="8"/>
        <v>9.0601000000026829E-4</v>
      </c>
      <c r="S112">
        <f t="shared" si="9"/>
        <v>7.3300000145845113E-4</v>
      </c>
      <c r="T112">
        <f t="shared" si="10"/>
        <v>2.7073972768296328E-2</v>
      </c>
    </row>
    <row r="113" spans="1:20" x14ac:dyDescent="0.3">
      <c r="A113" s="2" t="s">
        <v>1168</v>
      </c>
      <c r="B113" s="6" t="s">
        <v>497</v>
      </c>
      <c r="C113" s="2" t="s">
        <v>422</v>
      </c>
      <c r="D113" s="2" t="s">
        <v>423</v>
      </c>
      <c r="E113" s="3" t="s">
        <v>523</v>
      </c>
      <c r="F113" s="3" t="s">
        <v>524</v>
      </c>
      <c r="G113" s="3" t="s">
        <v>525</v>
      </c>
      <c r="J113" s="5" t="s">
        <v>501</v>
      </c>
      <c r="K113" s="5" t="s">
        <v>502</v>
      </c>
      <c r="L113" s="5" t="s">
        <v>526</v>
      </c>
      <c r="M113" s="3">
        <f t="shared" si="11"/>
        <v>3.0900000012479722E-2</v>
      </c>
      <c r="N113" s="3">
        <f t="shared" si="11"/>
        <v>-1.1999999987892807E-3</v>
      </c>
      <c r="O113" s="3">
        <f t="shared" si="7"/>
        <v>0.1378000000000057</v>
      </c>
      <c r="P113">
        <f t="shared" si="8"/>
        <v>9.5481000077124684E-4</v>
      </c>
      <c r="Q113">
        <f t="shared" si="8"/>
        <v>1.4399999970942736E-6</v>
      </c>
      <c r="R113">
        <f t="shared" si="8"/>
        <v>1.8988840000001568E-2</v>
      </c>
      <c r="S113">
        <f t="shared" si="9"/>
        <v>9.5625000076834108E-4</v>
      </c>
      <c r="T113">
        <f t="shared" si="10"/>
        <v>3.0923292204555794E-2</v>
      </c>
    </row>
    <row r="114" spans="1:20" x14ac:dyDescent="0.3">
      <c r="A114" s="2" t="s">
        <v>1168</v>
      </c>
      <c r="B114" s="6" t="s">
        <v>527</v>
      </c>
      <c r="C114" s="2" t="s">
        <v>20</v>
      </c>
      <c r="D114" s="2" t="s">
        <v>30</v>
      </c>
      <c r="E114" s="3" t="s">
        <v>528</v>
      </c>
      <c r="F114" s="3" t="s">
        <v>529</v>
      </c>
      <c r="G114" s="3" t="s">
        <v>530</v>
      </c>
      <c r="J114" s="5" t="s">
        <v>531</v>
      </c>
      <c r="K114" s="5" t="s">
        <v>532</v>
      </c>
      <c r="L114" s="5" t="s">
        <v>533</v>
      </c>
      <c r="M114" s="3">
        <f t="shared" si="11"/>
        <v>-1.6300000017508864E-2</v>
      </c>
      <c r="N114" s="3">
        <f t="shared" si="11"/>
        <v>0.10899999999674037</v>
      </c>
      <c r="O114" s="3">
        <f t="shared" si="7"/>
        <v>7.5200000000002376E-2</v>
      </c>
      <c r="P114">
        <f t="shared" si="8"/>
        <v>2.6569000057078898E-4</v>
      </c>
      <c r="Q114">
        <f t="shared" si="8"/>
        <v>1.1880999999289401E-2</v>
      </c>
      <c r="R114">
        <f t="shared" si="8"/>
        <v>5.6550400000003574E-3</v>
      </c>
      <c r="S114">
        <f t="shared" si="9"/>
        <v>1.214668999986019E-2</v>
      </c>
      <c r="T114">
        <f t="shared" si="10"/>
        <v>0.11021202293697449</v>
      </c>
    </row>
    <row r="115" spans="1:20" x14ac:dyDescent="0.3">
      <c r="A115" s="2" t="s">
        <v>1168</v>
      </c>
      <c r="B115" s="6" t="s">
        <v>527</v>
      </c>
      <c r="C115" s="2" t="s">
        <v>20</v>
      </c>
      <c r="D115" s="2" t="s">
        <v>21</v>
      </c>
      <c r="E115" s="3" t="s">
        <v>534</v>
      </c>
      <c r="F115" s="3" t="s">
        <v>535</v>
      </c>
      <c r="G115" s="3" t="s">
        <v>536</v>
      </c>
      <c r="J115" s="5" t="s">
        <v>531</v>
      </c>
      <c r="K115" s="5" t="s">
        <v>532</v>
      </c>
      <c r="L115" s="5" t="s">
        <v>537</v>
      </c>
      <c r="M115" s="3">
        <f t="shared" si="11"/>
        <v>-1.3700000010430813E-2</v>
      </c>
      <c r="N115" s="3">
        <f t="shared" si="11"/>
        <v>0.10679999997955747</v>
      </c>
      <c r="O115" s="3">
        <f t="shared" si="7"/>
        <v>7.8300000000005809E-2</v>
      </c>
      <c r="P115">
        <f t="shared" si="8"/>
        <v>1.8769000028580427E-4</v>
      </c>
      <c r="Q115">
        <f t="shared" si="8"/>
        <v>1.1406239995633475E-2</v>
      </c>
      <c r="R115">
        <f t="shared" si="8"/>
        <v>6.1308900000009098E-3</v>
      </c>
      <c r="S115">
        <f t="shared" si="9"/>
        <v>1.159392999591928E-2</v>
      </c>
      <c r="T115">
        <f t="shared" si="10"/>
        <v>0.10767511316882504</v>
      </c>
    </row>
    <row r="116" spans="1:20" x14ac:dyDescent="0.3">
      <c r="A116" s="2" t="s">
        <v>1168</v>
      </c>
      <c r="B116" s="6" t="s">
        <v>538</v>
      </c>
      <c r="C116" s="2" t="s">
        <v>20</v>
      </c>
      <c r="D116" s="2" t="s">
        <v>110</v>
      </c>
      <c r="E116" s="3" t="s">
        <v>539</v>
      </c>
      <c r="F116" s="3" t="s">
        <v>540</v>
      </c>
      <c r="G116" s="3" t="s">
        <v>530</v>
      </c>
      <c r="J116" s="5" t="s">
        <v>541</v>
      </c>
      <c r="K116" s="5" t="s">
        <v>542</v>
      </c>
      <c r="L116" s="5" t="s">
        <v>543</v>
      </c>
      <c r="M116" s="3">
        <f t="shared" si="11"/>
        <v>-1.7300000006798655E-2</v>
      </c>
      <c r="N116" s="3">
        <f t="shared" si="11"/>
        <v>0.10129999998025596</v>
      </c>
      <c r="O116" s="3">
        <f t="shared" si="7"/>
        <v>7.540000000000191E-2</v>
      </c>
      <c r="P116">
        <f t="shared" si="8"/>
        <v>2.9929000023523345E-4</v>
      </c>
      <c r="Q116">
        <f t="shared" si="8"/>
        <v>1.0261689995999858E-2</v>
      </c>
      <c r="R116">
        <f t="shared" si="8"/>
        <v>5.6851600000002878E-3</v>
      </c>
      <c r="S116">
        <f t="shared" si="9"/>
        <v>1.0560979996235091E-2</v>
      </c>
      <c r="T116">
        <f t="shared" si="10"/>
        <v>0.10276662880641307</v>
      </c>
    </row>
    <row r="117" spans="1:20" x14ac:dyDescent="0.3">
      <c r="A117" s="2" t="s">
        <v>1168</v>
      </c>
      <c r="B117" s="6" t="s">
        <v>538</v>
      </c>
      <c r="C117" s="2" t="s">
        <v>20</v>
      </c>
      <c r="D117" s="2" t="s">
        <v>37</v>
      </c>
      <c r="E117" s="3" t="s">
        <v>544</v>
      </c>
      <c r="F117" s="3" t="s">
        <v>545</v>
      </c>
      <c r="G117" s="3" t="s">
        <v>546</v>
      </c>
      <c r="J117" s="5" t="s">
        <v>541</v>
      </c>
      <c r="K117" s="5" t="s">
        <v>542</v>
      </c>
      <c r="L117" s="5" t="s">
        <v>547</v>
      </c>
      <c r="M117" s="3">
        <f t="shared" si="11"/>
        <v>-2.8800000029150397E-2</v>
      </c>
      <c r="N117" s="3">
        <f t="shared" si="11"/>
        <v>0.11839999997755513</v>
      </c>
      <c r="O117" s="3">
        <f t="shared" si="7"/>
        <v>5.9499999999999886E-2</v>
      </c>
      <c r="P117">
        <f t="shared" si="8"/>
        <v>8.2944000167906289E-4</v>
      </c>
      <c r="Q117">
        <f t="shared" si="8"/>
        <v>1.4018559994685055E-2</v>
      </c>
      <c r="R117">
        <f t="shared" si="8"/>
        <v>3.5402499999999866E-3</v>
      </c>
      <c r="S117">
        <f t="shared" si="9"/>
        <v>1.4847999996364117E-2</v>
      </c>
      <c r="T117">
        <f t="shared" si="10"/>
        <v>0.12185236967890332</v>
      </c>
    </row>
    <row r="118" spans="1:20" x14ac:dyDescent="0.3">
      <c r="A118" s="2" t="s">
        <v>1168</v>
      </c>
      <c r="B118" s="6" t="s">
        <v>538</v>
      </c>
      <c r="C118" s="2" t="s">
        <v>20</v>
      </c>
      <c r="D118" s="2" t="s">
        <v>46</v>
      </c>
      <c r="E118" s="3" t="s">
        <v>548</v>
      </c>
      <c r="F118" s="3" t="s">
        <v>549</v>
      </c>
      <c r="G118" s="3" t="s">
        <v>550</v>
      </c>
      <c r="J118" s="5" t="s">
        <v>541</v>
      </c>
      <c r="K118" s="5" t="s">
        <v>542</v>
      </c>
      <c r="L118" s="5" t="s">
        <v>551</v>
      </c>
      <c r="M118" s="3">
        <f t="shared" si="11"/>
        <v>-2.5599999993573874E-2</v>
      </c>
      <c r="N118" s="3">
        <f t="shared" si="11"/>
        <v>0.10979999997653067</v>
      </c>
      <c r="O118" s="3">
        <f t="shared" si="7"/>
        <v>5.6599999999995987E-2</v>
      </c>
      <c r="P118">
        <f t="shared" si="8"/>
        <v>6.5535999967098238E-4</v>
      </c>
      <c r="Q118">
        <f t="shared" si="8"/>
        <v>1.2056039994846135E-2</v>
      </c>
      <c r="R118">
        <f t="shared" si="8"/>
        <v>3.2035599999995458E-3</v>
      </c>
      <c r="S118">
        <f t="shared" si="9"/>
        <v>1.2711399994517118E-2</v>
      </c>
      <c r="T118">
        <f t="shared" si="10"/>
        <v>0.11274484464718162</v>
      </c>
    </row>
    <row r="119" spans="1:20" x14ac:dyDescent="0.3">
      <c r="A119" s="2" t="s">
        <v>1168</v>
      </c>
      <c r="B119" s="6" t="s">
        <v>538</v>
      </c>
      <c r="C119" s="2" t="s">
        <v>51</v>
      </c>
      <c r="D119" s="2" t="s">
        <v>63</v>
      </c>
      <c r="E119" s="3" t="s">
        <v>552</v>
      </c>
      <c r="F119" s="3" t="s">
        <v>553</v>
      </c>
      <c r="G119" s="3" t="s">
        <v>554</v>
      </c>
      <c r="J119" s="5" t="s">
        <v>541</v>
      </c>
      <c r="K119" s="5" t="s">
        <v>542</v>
      </c>
      <c r="L119" s="5" t="s">
        <v>555</v>
      </c>
      <c r="M119" s="3">
        <f t="shared" si="11"/>
        <v>-1.66000000317581E-2</v>
      </c>
      <c r="N119" s="3">
        <f t="shared" si="11"/>
        <v>0.10639999998966232</v>
      </c>
      <c r="O119" s="3">
        <f t="shared" si="7"/>
        <v>0.10170000000000101</v>
      </c>
      <c r="P119">
        <f t="shared" si="8"/>
        <v>2.7556000105436894E-4</v>
      </c>
      <c r="Q119">
        <f t="shared" si="8"/>
        <v>1.1320959997800141E-2</v>
      </c>
      <c r="R119">
        <f t="shared" si="8"/>
        <v>1.0342890000000205E-2</v>
      </c>
      <c r="S119">
        <f t="shared" si="9"/>
        <v>1.1596519998854511E-2</v>
      </c>
      <c r="T119">
        <f t="shared" si="10"/>
        <v>0.10768713943110621</v>
      </c>
    </row>
    <row r="120" spans="1:20" x14ac:dyDescent="0.3">
      <c r="A120" s="2" t="s">
        <v>1168</v>
      </c>
      <c r="B120" s="6" t="s">
        <v>538</v>
      </c>
      <c r="C120" s="2" t="s">
        <v>51</v>
      </c>
      <c r="D120" s="2" t="s">
        <v>30</v>
      </c>
      <c r="E120" s="3" t="s">
        <v>556</v>
      </c>
      <c r="F120" s="3" t="s">
        <v>557</v>
      </c>
      <c r="G120" s="3" t="s">
        <v>558</v>
      </c>
      <c r="J120" s="5" t="s">
        <v>541</v>
      </c>
      <c r="K120" s="5" t="s">
        <v>542</v>
      </c>
      <c r="L120" s="5" t="s">
        <v>559</v>
      </c>
      <c r="M120" s="3">
        <f t="shared" si="11"/>
        <v>-1.4499999990221113E-2</v>
      </c>
      <c r="N120" s="3">
        <f t="shared" si="11"/>
        <v>0.10119999997550622</v>
      </c>
      <c r="O120" s="3">
        <f t="shared" si="7"/>
        <v>0.1027999999999949</v>
      </c>
      <c r="P120">
        <f t="shared" si="8"/>
        <v>2.1024999971641227E-4</v>
      </c>
      <c r="Q120">
        <f t="shared" si="8"/>
        <v>1.0241439995042458E-2</v>
      </c>
      <c r="R120">
        <f t="shared" si="8"/>
        <v>1.0567839999998951E-2</v>
      </c>
      <c r="S120">
        <f t="shared" si="9"/>
        <v>1.0451689994758871E-2</v>
      </c>
      <c r="T120">
        <f t="shared" si="10"/>
        <v>0.10223350720169426</v>
      </c>
    </row>
    <row r="121" spans="1:20" x14ac:dyDescent="0.3">
      <c r="A121" s="2" t="s">
        <v>1168</v>
      </c>
      <c r="B121" s="6" t="s">
        <v>538</v>
      </c>
      <c r="C121" s="2" t="s">
        <v>51</v>
      </c>
      <c r="D121" s="2" t="s">
        <v>52</v>
      </c>
      <c r="E121" s="3" t="s">
        <v>560</v>
      </c>
      <c r="F121" s="3" t="s">
        <v>561</v>
      </c>
      <c r="G121" s="3" t="s">
        <v>562</v>
      </c>
      <c r="J121" s="5" t="s">
        <v>541</v>
      </c>
      <c r="K121" s="5" t="s">
        <v>542</v>
      </c>
      <c r="L121" s="5" t="s">
        <v>563</v>
      </c>
      <c r="M121" s="3">
        <f t="shared" si="11"/>
        <v>-2.0400000037625432E-2</v>
      </c>
      <c r="N121" s="3">
        <f t="shared" si="11"/>
        <v>9.8799999977927655E-2</v>
      </c>
      <c r="O121" s="3">
        <f t="shared" si="7"/>
        <v>9.9899999999998101E-2</v>
      </c>
      <c r="P121">
        <f t="shared" si="8"/>
        <v>4.1616000153511763E-4</v>
      </c>
      <c r="Q121">
        <f t="shared" si="8"/>
        <v>9.7614399956385042E-3</v>
      </c>
      <c r="R121">
        <f t="shared" si="8"/>
        <v>9.9800099999996211E-3</v>
      </c>
      <c r="S121">
        <f t="shared" si="9"/>
        <v>1.0177599997173622E-2</v>
      </c>
      <c r="T121">
        <f t="shared" si="10"/>
        <v>0.10088409189348746</v>
      </c>
    </row>
    <row r="122" spans="1:20" x14ac:dyDescent="0.3">
      <c r="A122" s="2" t="s">
        <v>1168</v>
      </c>
      <c r="B122" s="6" t="s">
        <v>538</v>
      </c>
      <c r="C122" s="2" t="s">
        <v>422</v>
      </c>
      <c r="D122" s="2" t="s">
        <v>423</v>
      </c>
      <c r="E122" s="3" t="s">
        <v>564</v>
      </c>
      <c r="F122" s="3" t="s">
        <v>565</v>
      </c>
      <c r="G122" s="3" t="s">
        <v>566</v>
      </c>
      <c r="J122" s="5" t="s">
        <v>541</v>
      </c>
      <c r="K122" s="5" t="s">
        <v>542</v>
      </c>
      <c r="L122" s="5" t="s">
        <v>567</v>
      </c>
      <c r="M122" s="3">
        <f t="shared" si="11"/>
        <v>-2.4399999994784594E-2</v>
      </c>
      <c r="N122" s="3">
        <f t="shared" si="11"/>
        <v>9.949999998207204E-2</v>
      </c>
      <c r="O122" s="3">
        <f t="shared" si="7"/>
        <v>0.11500000000000199</v>
      </c>
      <c r="P122">
        <f t="shared" si="8"/>
        <v>5.9535999974548817E-4</v>
      </c>
      <c r="Q122">
        <f t="shared" si="8"/>
        <v>9.9002499964323358E-3</v>
      </c>
      <c r="R122">
        <f t="shared" si="8"/>
        <v>1.3225000000000457E-2</v>
      </c>
      <c r="S122">
        <f t="shared" si="9"/>
        <v>1.0495609996177824E-2</v>
      </c>
      <c r="T122">
        <f t="shared" si="10"/>
        <v>0.10244808439486716</v>
      </c>
    </row>
    <row r="123" spans="1:20" x14ac:dyDescent="0.3">
      <c r="A123" s="2" t="s">
        <v>1168</v>
      </c>
      <c r="B123" s="6" t="s">
        <v>568</v>
      </c>
      <c r="C123" s="2" t="s">
        <v>20</v>
      </c>
      <c r="D123" s="2" t="s">
        <v>30</v>
      </c>
      <c r="E123" s="3" t="s">
        <v>569</v>
      </c>
      <c r="F123" s="3" t="s">
        <v>570</v>
      </c>
      <c r="G123" s="3" t="s">
        <v>571</v>
      </c>
      <c r="J123" s="5" t="s">
        <v>572</v>
      </c>
      <c r="K123" s="5" t="s">
        <v>573</v>
      </c>
      <c r="L123" s="5" t="s">
        <v>574</v>
      </c>
      <c r="M123" s="3">
        <f t="shared" si="11"/>
        <v>6.9999999832361937E-3</v>
      </c>
      <c r="N123" s="3">
        <f t="shared" si="11"/>
        <v>-3.63999999826774E-2</v>
      </c>
      <c r="O123" s="3">
        <f t="shared" si="7"/>
        <v>9.0000000000145519E-4</v>
      </c>
      <c r="P123">
        <f t="shared" si="8"/>
        <v>4.8999999765306711E-5</v>
      </c>
      <c r="Q123">
        <f t="shared" si="8"/>
        <v>1.3249599987389148E-3</v>
      </c>
      <c r="R123">
        <f t="shared" si="8"/>
        <v>8.1000000000261932E-7</v>
      </c>
      <c r="S123">
        <f t="shared" si="9"/>
        <v>1.3739599985042215E-3</v>
      </c>
      <c r="T123">
        <f t="shared" si="10"/>
        <v>3.7066966405469727E-2</v>
      </c>
    </row>
    <row r="124" spans="1:20" x14ac:dyDescent="0.3">
      <c r="A124" s="2" t="s">
        <v>1168</v>
      </c>
      <c r="B124" s="6" t="s">
        <v>568</v>
      </c>
      <c r="C124" s="2" t="s">
        <v>20</v>
      </c>
      <c r="D124" s="2" t="s">
        <v>21</v>
      </c>
      <c r="E124" s="3" t="s">
        <v>575</v>
      </c>
      <c r="F124" s="3" t="s">
        <v>576</v>
      </c>
      <c r="G124" s="3" t="s">
        <v>577</v>
      </c>
      <c r="J124" s="5" t="s">
        <v>572</v>
      </c>
      <c r="K124" s="5" t="s">
        <v>573</v>
      </c>
      <c r="L124" s="5" t="s">
        <v>574</v>
      </c>
      <c r="M124" s="3">
        <f t="shared" si="11"/>
        <v>-6.4000000129453838E-3</v>
      </c>
      <c r="N124" s="3">
        <f t="shared" si="11"/>
        <v>-1.5699999989010394E-2</v>
      </c>
      <c r="O124" s="3">
        <f t="shared" si="7"/>
        <v>3.0100000000004457E-2</v>
      </c>
      <c r="P124">
        <f t="shared" si="8"/>
        <v>4.0960000165700909E-5</v>
      </c>
      <c r="Q124">
        <f t="shared" si="8"/>
        <v>2.4648999965492635E-4</v>
      </c>
      <c r="R124">
        <f t="shared" si="8"/>
        <v>9.0601000000026829E-4</v>
      </c>
      <c r="S124">
        <f t="shared" si="9"/>
        <v>2.8744999982062728E-4</v>
      </c>
      <c r="T124">
        <f t="shared" si="10"/>
        <v>1.6954350468850975E-2</v>
      </c>
    </row>
    <row r="125" spans="1:20" x14ac:dyDescent="0.3">
      <c r="A125" s="2" t="s">
        <v>1168</v>
      </c>
      <c r="B125" s="6" t="s">
        <v>578</v>
      </c>
      <c r="C125" s="2" t="s">
        <v>20</v>
      </c>
      <c r="D125" s="2" t="s">
        <v>37</v>
      </c>
      <c r="E125" s="3" t="s">
        <v>579</v>
      </c>
      <c r="F125" s="3" t="s">
        <v>580</v>
      </c>
      <c r="G125" s="3" t="s">
        <v>581</v>
      </c>
      <c r="J125" s="5" t="s">
        <v>582</v>
      </c>
      <c r="K125" s="5" t="s">
        <v>583</v>
      </c>
      <c r="L125" s="5" t="s">
        <v>574</v>
      </c>
      <c r="M125" s="3">
        <f t="shared" si="11"/>
        <v>1.9999999785795808E-3</v>
      </c>
      <c r="N125" s="3">
        <f t="shared" si="11"/>
        <v>-3.2899999991059303E-2</v>
      </c>
      <c r="O125" s="3">
        <f t="shared" si="7"/>
        <v>2.590000000000714E-2</v>
      </c>
      <c r="P125">
        <f t="shared" si="8"/>
        <v>3.9999999143183236E-6</v>
      </c>
      <c r="Q125">
        <f t="shared" si="8"/>
        <v>1.0824099994117022E-3</v>
      </c>
      <c r="R125">
        <f t="shared" si="8"/>
        <v>6.708100000003698E-4</v>
      </c>
      <c r="S125">
        <f t="shared" si="9"/>
        <v>1.0864099993260206E-3</v>
      </c>
      <c r="T125">
        <f t="shared" si="10"/>
        <v>3.2960734204899325E-2</v>
      </c>
    </row>
    <row r="126" spans="1:20" x14ac:dyDescent="0.3">
      <c r="A126" s="2" t="s">
        <v>1168</v>
      </c>
      <c r="B126" s="6" t="s">
        <v>578</v>
      </c>
      <c r="C126" s="2" t="s">
        <v>20</v>
      </c>
      <c r="D126" s="2" t="s">
        <v>46</v>
      </c>
      <c r="E126" s="3" t="s">
        <v>584</v>
      </c>
      <c r="F126" s="3" t="s">
        <v>585</v>
      </c>
      <c r="G126" s="3" t="s">
        <v>581</v>
      </c>
      <c r="J126" s="5" t="s">
        <v>582</v>
      </c>
      <c r="K126" s="5" t="s">
        <v>583</v>
      </c>
      <c r="L126" s="5" t="s">
        <v>574</v>
      </c>
      <c r="M126" s="3">
        <f t="shared" si="11"/>
        <v>-8.0000003799796104E-4</v>
      </c>
      <c r="N126" s="3">
        <f t="shared" si="11"/>
        <v>-2.5699999998323619E-2</v>
      </c>
      <c r="O126" s="3">
        <f t="shared" si="7"/>
        <v>2.590000000000714E-2</v>
      </c>
      <c r="P126">
        <f t="shared" si="8"/>
        <v>6.4000006079673911E-7</v>
      </c>
      <c r="Q126">
        <f t="shared" si="8"/>
        <v>6.6048999991383402E-4</v>
      </c>
      <c r="R126">
        <f t="shared" si="8"/>
        <v>6.708100000003698E-4</v>
      </c>
      <c r="S126">
        <f t="shared" si="9"/>
        <v>6.6112999997463076E-4</v>
      </c>
      <c r="T126">
        <f t="shared" si="10"/>
        <v>2.5712448346562229E-2</v>
      </c>
    </row>
    <row r="127" spans="1:20" x14ac:dyDescent="0.3">
      <c r="A127" s="2" t="s">
        <v>1168</v>
      </c>
      <c r="B127" s="6" t="s">
        <v>578</v>
      </c>
      <c r="C127" s="2" t="s">
        <v>51</v>
      </c>
      <c r="D127" s="2" t="s">
        <v>52</v>
      </c>
      <c r="E127" s="3" t="s">
        <v>586</v>
      </c>
      <c r="F127" s="3" t="s">
        <v>587</v>
      </c>
      <c r="G127" s="3" t="s">
        <v>588</v>
      </c>
      <c r="J127" s="5" t="s">
        <v>582</v>
      </c>
      <c r="K127" s="5" t="s">
        <v>583</v>
      </c>
      <c r="L127" s="5" t="s">
        <v>574</v>
      </c>
      <c r="M127" s="3">
        <f t="shared" si="11"/>
        <v>-1.3100000040140003E-2</v>
      </c>
      <c r="N127" s="3">
        <f t="shared" si="11"/>
        <v>-3.4499999979743734E-2</v>
      </c>
      <c r="O127" s="3">
        <f t="shared" si="7"/>
        <v>2.4900000000002365E-2</v>
      </c>
      <c r="P127">
        <f t="shared" si="8"/>
        <v>1.7161000105166808E-4</v>
      </c>
      <c r="Q127">
        <f t="shared" si="8"/>
        <v>1.1902499986023176E-3</v>
      </c>
      <c r="R127">
        <f t="shared" si="8"/>
        <v>6.2001000000011779E-4</v>
      </c>
      <c r="S127">
        <f t="shared" si="9"/>
        <v>1.3618599996539857E-3</v>
      </c>
      <c r="T127">
        <f t="shared" si="10"/>
        <v>3.690338737370847E-2</v>
      </c>
    </row>
    <row r="128" spans="1:20" x14ac:dyDescent="0.3">
      <c r="A128" s="2" t="s">
        <v>1168</v>
      </c>
      <c r="B128" s="6" t="s">
        <v>578</v>
      </c>
      <c r="C128" s="2" t="s">
        <v>422</v>
      </c>
      <c r="D128" s="2" t="s">
        <v>423</v>
      </c>
      <c r="E128" s="3" t="s">
        <v>589</v>
      </c>
      <c r="F128" s="3" t="s">
        <v>590</v>
      </c>
      <c r="G128" s="3" t="s">
        <v>591</v>
      </c>
      <c r="J128" s="5" t="s">
        <v>582</v>
      </c>
      <c r="K128" s="5" t="s">
        <v>583</v>
      </c>
      <c r="L128" s="5" t="s">
        <v>574</v>
      </c>
      <c r="M128" s="3">
        <f t="shared" si="11"/>
        <v>2.2099999943748116E-2</v>
      </c>
      <c r="N128" s="3">
        <f t="shared" si="11"/>
        <v>-1.4699999999720603E-2</v>
      </c>
      <c r="O128" s="3">
        <f t="shared" si="7"/>
        <v>0.12990000000000634</v>
      </c>
      <c r="P128">
        <f t="shared" si="8"/>
        <v>4.884099975136667E-4</v>
      </c>
      <c r="Q128">
        <f t="shared" si="8"/>
        <v>2.1608999999178573E-4</v>
      </c>
      <c r="R128">
        <f t="shared" si="8"/>
        <v>1.687401000000165E-2</v>
      </c>
      <c r="S128">
        <f t="shared" si="9"/>
        <v>7.044999975054524E-4</v>
      </c>
      <c r="T128">
        <f t="shared" si="10"/>
        <v>2.6542418832982279E-2</v>
      </c>
    </row>
    <row r="129" spans="1:20" x14ac:dyDescent="0.3">
      <c r="A129" s="2" t="s">
        <v>1168</v>
      </c>
      <c r="B129" s="6" t="s">
        <v>592</v>
      </c>
      <c r="C129" s="2" t="s">
        <v>20</v>
      </c>
      <c r="D129" s="2" t="s">
        <v>30</v>
      </c>
      <c r="E129" s="3" t="s">
        <v>593</v>
      </c>
      <c r="F129" s="3" t="s">
        <v>594</v>
      </c>
      <c r="G129" s="3" t="s">
        <v>595</v>
      </c>
      <c r="J129" s="5" t="s">
        <v>596</v>
      </c>
      <c r="K129" s="5" t="s">
        <v>597</v>
      </c>
      <c r="L129" s="5" t="s">
        <v>598</v>
      </c>
      <c r="M129" s="3">
        <f t="shared" si="11"/>
        <v>-6.5000000176951289E-3</v>
      </c>
      <c r="N129" s="3">
        <f t="shared" si="11"/>
        <v>2.5999999983469024E-2</v>
      </c>
      <c r="O129" s="3">
        <f t="shared" si="7"/>
        <v>2.5199999999998113E-2</v>
      </c>
      <c r="P129">
        <f t="shared" si="8"/>
        <v>4.2250000230036676E-5</v>
      </c>
      <c r="Q129">
        <f t="shared" si="8"/>
        <v>6.7599999914038928E-4</v>
      </c>
      <c r="R129">
        <f t="shared" si="8"/>
        <v>6.3503999999990493E-4</v>
      </c>
      <c r="S129">
        <f t="shared" si="9"/>
        <v>7.1824999937042595E-4</v>
      </c>
      <c r="T129">
        <f t="shared" si="10"/>
        <v>2.6800186554769092E-2</v>
      </c>
    </row>
    <row r="130" spans="1:20" x14ac:dyDescent="0.3">
      <c r="A130" s="2" t="s">
        <v>1168</v>
      </c>
      <c r="B130" s="6" t="s">
        <v>592</v>
      </c>
      <c r="C130" s="2" t="s">
        <v>20</v>
      </c>
      <c r="D130" s="2" t="s">
        <v>21</v>
      </c>
      <c r="E130" s="3" t="s">
        <v>599</v>
      </c>
      <c r="F130" s="3" t="s">
        <v>600</v>
      </c>
      <c r="G130" s="3" t="s">
        <v>601</v>
      </c>
      <c r="J130" s="5" t="s">
        <v>596</v>
      </c>
      <c r="K130" s="5" t="s">
        <v>597</v>
      </c>
      <c r="L130" s="5" t="s">
        <v>598</v>
      </c>
      <c r="M130" s="3">
        <f t="shared" si="11"/>
        <v>-4.6999999904073775E-3</v>
      </c>
      <c r="N130" s="3">
        <f t="shared" si="11"/>
        <v>3.1900000001769513E-2</v>
      </c>
      <c r="O130" s="3">
        <f t="shared" si="7"/>
        <v>1.2199999999992883E-2</v>
      </c>
      <c r="P130">
        <f t="shared" si="8"/>
        <v>2.2089999909829348E-5</v>
      </c>
      <c r="Q130">
        <f t="shared" si="8"/>
        <v>1.0176100001128949E-3</v>
      </c>
      <c r="R130">
        <f t="shared" si="8"/>
        <v>1.4883999999982636E-4</v>
      </c>
      <c r="S130">
        <f t="shared" si="9"/>
        <v>1.0397000000227242E-3</v>
      </c>
      <c r="T130">
        <f t="shared" si="10"/>
        <v>3.2244379355520617E-2</v>
      </c>
    </row>
    <row r="131" spans="1:20" x14ac:dyDescent="0.3">
      <c r="A131" s="2" t="s">
        <v>1168</v>
      </c>
      <c r="B131" s="6" t="s">
        <v>602</v>
      </c>
      <c r="C131" s="2" t="s">
        <v>20</v>
      </c>
      <c r="D131" s="2" t="s">
        <v>110</v>
      </c>
      <c r="E131" s="3" t="s">
        <v>603</v>
      </c>
      <c r="F131" s="3" t="s">
        <v>604</v>
      </c>
      <c r="G131" s="3" t="s">
        <v>605</v>
      </c>
      <c r="J131" s="5" t="s">
        <v>606</v>
      </c>
      <c r="K131" s="5" t="s">
        <v>607</v>
      </c>
      <c r="L131" s="5" t="s">
        <v>598</v>
      </c>
      <c r="M131" s="3">
        <f t="shared" si="11"/>
        <v>-3.1999999773688614E-3</v>
      </c>
      <c r="N131" s="3">
        <f t="shared" si="11"/>
        <v>2.9999999998835847E-2</v>
      </c>
      <c r="O131" s="3">
        <f t="shared" ref="O131:O194" si="12">ABS(L131-G131)</f>
        <v>2.2199999999997999E-2</v>
      </c>
      <c r="P131">
        <f t="shared" ref="P131:R194" si="13">POWER(M131,2)</f>
        <v>1.0239999855160714E-5</v>
      </c>
      <c r="Q131">
        <f t="shared" si="13"/>
        <v>8.9999999993015079E-4</v>
      </c>
      <c r="R131">
        <f t="shared" si="13"/>
        <v>4.9283999999991113E-4</v>
      </c>
      <c r="S131">
        <f t="shared" ref="S131:S194" si="14">P131+Q131</f>
        <v>9.1023999978531148E-4</v>
      </c>
      <c r="T131">
        <f t="shared" ref="T131:T194" si="15">SQRT(S131)</f>
        <v>3.0170183953454964E-2</v>
      </c>
    </row>
    <row r="132" spans="1:20" x14ac:dyDescent="0.3">
      <c r="A132" s="2" t="s">
        <v>1168</v>
      </c>
      <c r="B132" s="6" t="s">
        <v>602</v>
      </c>
      <c r="C132" s="2" t="s">
        <v>20</v>
      </c>
      <c r="D132" s="2" t="s">
        <v>37</v>
      </c>
      <c r="E132" s="3" t="s">
        <v>608</v>
      </c>
      <c r="F132" s="3" t="s">
        <v>609</v>
      </c>
      <c r="G132" s="3" t="s">
        <v>610</v>
      </c>
      <c r="J132" s="5" t="s">
        <v>606</v>
      </c>
      <c r="K132" s="5" t="s">
        <v>607</v>
      </c>
      <c r="L132" s="5" t="s">
        <v>598</v>
      </c>
      <c r="M132" s="3">
        <f t="shared" si="11"/>
        <v>3.0000000260770321E-3</v>
      </c>
      <c r="N132" s="3">
        <f t="shared" si="11"/>
        <v>2.590000000782311E-2</v>
      </c>
      <c r="O132" s="3">
        <f t="shared" si="12"/>
        <v>3.8200000000003342E-2</v>
      </c>
      <c r="P132">
        <f t="shared" si="13"/>
        <v>9.0000001564621932E-6</v>
      </c>
      <c r="Q132">
        <f t="shared" si="13"/>
        <v>6.7081000040523702E-4</v>
      </c>
      <c r="R132">
        <f t="shared" si="13"/>
        <v>1.4592400000002553E-3</v>
      </c>
      <c r="S132">
        <f t="shared" si="14"/>
        <v>6.7981000056169922E-4</v>
      </c>
      <c r="T132">
        <f t="shared" si="15"/>
        <v>2.6073166293369497E-2</v>
      </c>
    </row>
    <row r="133" spans="1:20" x14ac:dyDescent="0.3">
      <c r="A133" s="2" t="s">
        <v>1168</v>
      </c>
      <c r="B133" s="6" t="s">
        <v>602</v>
      </c>
      <c r="C133" s="2" t="s">
        <v>20</v>
      </c>
      <c r="D133" s="2" t="s">
        <v>46</v>
      </c>
      <c r="E133" s="3" t="s">
        <v>611</v>
      </c>
      <c r="F133" s="3" t="s">
        <v>612</v>
      </c>
      <c r="G133" s="3" t="s">
        <v>613</v>
      </c>
      <c r="J133" s="5" t="s">
        <v>606</v>
      </c>
      <c r="K133" s="5" t="s">
        <v>607</v>
      </c>
      <c r="L133" s="5" t="s">
        <v>598</v>
      </c>
      <c r="M133" s="3">
        <f t="shared" si="11"/>
        <v>1.0000000474974513E-4</v>
      </c>
      <c r="N133" s="3">
        <f t="shared" si="11"/>
        <v>2.2399999987101182E-2</v>
      </c>
      <c r="O133" s="3">
        <f t="shared" si="12"/>
        <v>2.9200000000003001E-2</v>
      </c>
      <c r="P133">
        <f t="shared" si="13"/>
        <v>1.0000000949949049E-8</v>
      </c>
      <c r="Q133">
        <f t="shared" si="13"/>
        <v>5.01759999422133E-4</v>
      </c>
      <c r="R133">
        <f t="shared" si="13"/>
        <v>8.5264000000017531E-4</v>
      </c>
      <c r="S133">
        <f t="shared" si="14"/>
        <v>5.0176999942308292E-4</v>
      </c>
      <c r="T133">
        <f t="shared" si="15"/>
        <v>2.2400223200296082E-2</v>
      </c>
    </row>
    <row r="134" spans="1:20" x14ac:dyDescent="0.3">
      <c r="A134" s="2" t="s">
        <v>1168</v>
      </c>
      <c r="B134" s="6" t="s">
        <v>602</v>
      </c>
      <c r="C134" s="2" t="s">
        <v>51</v>
      </c>
      <c r="D134" s="2" t="s">
        <v>63</v>
      </c>
      <c r="E134" s="3" t="s">
        <v>614</v>
      </c>
      <c r="F134" s="3" t="s">
        <v>615</v>
      </c>
      <c r="G134" s="3" t="s">
        <v>616</v>
      </c>
      <c r="J134" s="5" t="s">
        <v>606</v>
      </c>
      <c r="K134" s="5" t="s">
        <v>607</v>
      </c>
      <c r="L134" s="5" t="s">
        <v>598</v>
      </c>
      <c r="M134" s="3">
        <f t="shared" si="11"/>
        <v>-2.199999988079071E-3</v>
      </c>
      <c r="N134" s="3">
        <f t="shared" si="11"/>
        <v>2.8900000004796311E-2</v>
      </c>
      <c r="O134" s="3">
        <f t="shared" si="12"/>
        <v>0.15519999999999357</v>
      </c>
      <c r="P134">
        <f t="shared" si="13"/>
        <v>4.8399999475479127E-6</v>
      </c>
      <c r="Q134">
        <f t="shared" si="13"/>
        <v>8.3521000027722678E-4</v>
      </c>
      <c r="R134">
        <f t="shared" si="13"/>
        <v>2.4087039999998002E-2</v>
      </c>
      <c r="S134">
        <f t="shared" si="14"/>
        <v>8.4005000022477469E-4</v>
      </c>
      <c r="T134">
        <f t="shared" si="15"/>
        <v>2.8983616065370012E-2</v>
      </c>
    </row>
    <row r="135" spans="1:20" x14ac:dyDescent="0.3">
      <c r="A135" s="2" t="s">
        <v>1168</v>
      </c>
      <c r="B135" s="6" t="s">
        <v>602</v>
      </c>
      <c r="C135" s="2" t="s">
        <v>51</v>
      </c>
      <c r="D135" s="2" t="s">
        <v>30</v>
      </c>
      <c r="E135" s="3" t="s">
        <v>617</v>
      </c>
      <c r="F135" s="3" t="s">
        <v>618</v>
      </c>
      <c r="G135" s="3" t="s">
        <v>619</v>
      </c>
      <c r="J135" s="5" t="s">
        <v>606</v>
      </c>
      <c r="K135" s="5" t="s">
        <v>607</v>
      </c>
      <c r="L135" s="5" t="s">
        <v>598</v>
      </c>
      <c r="M135" s="3">
        <f t="shared" si="11"/>
        <v>-6.9999999832361937E-3</v>
      </c>
      <c r="N135" s="3">
        <f t="shared" si="11"/>
        <v>2.7399999991757795E-2</v>
      </c>
      <c r="O135" s="3">
        <f t="shared" si="12"/>
        <v>0.14820000000000277</v>
      </c>
      <c r="P135">
        <f t="shared" si="13"/>
        <v>4.8999999765306711E-5</v>
      </c>
      <c r="Q135">
        <f t="shared" si="13"/>
        <v>7.5075999954832718E-4</v>
      </c>
      <c r="R135">
        <f t="shared" si="13"/>
        <v>2.1963240000000821E-2</v>
      </c>
      <c r="S135">
        <f t="shared" si="14"/>
        <v>7.9975999931363394E-4</v>
      </c>
      <c r="T135">
        <f t="shared" si="15"/>
        <v>2.828002827639382E-2</v>
      </c>
    </row>
    <row r="136" spans="1:20" x14ac:dyDescent="0.3">
      <c r="A136" s="2" t="s">
        <v>1168</v>
      </c>
      <c r="B136" s="6" t="s">
        <v>602</v>
      </c>
      <c r="C136" s="2" t="s">
        <v>51</v>
      </c>
      <c r="D136" s="2" t="s">
        <v>52</v>
      </c>
      <c r="E136" s="3" t="s">
        <v>620</v>
      </c>
      <c r="F136" s="3" t="s">
        <v>621</v>
      </c>
      <c r="G136" s="3" t="s">
        <v>622</v>
      </c>
      <c r="J136" s="5" t="s">
        <v>606</v>
      </c>
      <c r="K136" s="5" t="s">
        <v>607</v>
      </c>
      <c r="L136" s="5" t="s">
        <v>598</v>
      </c>
      <c r="M136" s="3">
        <f t="shared" si="11"/>
        <v>1.7000000225380063E-3</v>
      </c>
      <c r="N136" s="3">
        <f t="shared" si="11"/>
        <v>2.5399999984074384E-2</v>
      </c>
      <c r="O136" s="3">
        <f t="shared" si="12"/>
        <v>0.16920000000000357</v>
      </c>
      <c r="P136">
        <f t="shared" si="13"/>
        <v>2.8900000766292219E-6</v>
      </c>
      <c r="Q136">
        <f t="shared" si="13"/>
        <v>6.4515999919097873E-4</v>
      </c>
      <c r="R136">
        <f t="shared" si="13"/>
        <v>2.8628640000001208E-2</v>
      </c>
      <c r="S136">
        <f t="shared" si="14"/>
        <v>6.4804999926760794E-4</v>
      </c>
      <c r="T136">
        <f t="shared" si="15"/>
        <v>2.5456826182138414E-2</v>
      </c>
    </row>
    <row r="137" spans="1:20" x14ac:dyDescent="0.3">
      <c r="A137" s="2" t="s">
        <v>1168</v>
      </c>
      <c r="B137" s="6" t="s">
        <v>602</v>
      </c>
      <c r="C137" s="2" t="s">
        <v>422</v>
      </c>
      <c r="D137" s="2" t="s">
        <v>423</v>
      </c>
      <c r="E137" s="3" t="s">
        <v>623</v>
      </c>
      <c r="F137" s="3" t="s">
        <v>624</v>
      </c>
      <c r="G137" s="3" t="s">
        <v>625</v>
      </c>
      <c r="J137" s="5" t="s">
        <v>606</v>
      </c>
      <c r="K137" s="5" t="s">
        <v>607</v>
      </c>
      <c r="L137" s="5" t="s">
        <v>598</v>
      </c>
      <c r="M137" s="3">
        <f t="shared" si="11"/>
        <v>-3.0000001424923539E-4</v>
      </c>
      <c r="N137" s="3">
        <f t="shared" si="11"/>
        <v>9.399999980814755E-3</v>
      </c>
      <c r="O137" s="3">
        <f t="shared" si="12"/>
        <v>0.13679999999999382</v>
      </c>
      <c r="P137">
        <f t="shared" si="13"/>
        <v>9.0000008549541438E-8</v>
      </c>
      <c r="Q137">
        <f t="shared" si="13"/>
        <v>8.8359999639317394E-5</v>
      </c>
      <c r="R137">
        <f t="shared" si="13"/>
        <v>1.8714239999998307E-2</v>
      </c>
      <c r="S137">
        <f t="shared" si="14"/>
        <v>8.8449999647866932E-5</v>
      </c>
      <c r="T137">
        <f t="shared" si="15"/>
        <v>9.4047859969202344E-3</v>
      </c>
    </row>
    <row r="138" spans="1:20" x14ac:dyDescent="0.3">
      <c r="A138" s="2" t="s">
        <v>1168</v>
      </c>
      <c r="B138" s="6" t="s">
        <v>626</v>
      </c>
      <c r="C138" s="2" t="s">
        <v>20</v>
      </c>
      <c r="D138" s="2" t="s">
        <v>30</v>
      </c>
      <c r="E138" s="3" t="s">
        <v>627</v>
      </c>
      <c r="F138" s="3" t="s">
        <v>628</v>
      </c>
      <c r="G138" s="3" t="s">
        <v>629</v>
      </c>
      <c r="J138" s="5" t="s">
        <v>630</v>
      </c>
      <c r="K138" s="5" t="s">
        <v>631</v>
      </c>
      <c r="L138" s="5" t="s">
        <v>632</v>
      </c>
      <c r="M138" s="3">
        <f t="shared" si="11"/>
        <v>4.2400000034831464E-2</v>
      </c>
      <c r="N138" s="3">
        <f t="shared" si="11"/>
        <v>-7.1000000170897692E-3</v>
      </c>
      <c r="O138" s="3">
        <f t="shared" si="12"/>
        <v>3.8799999999994839E-2</v>
      </c>
      <c r="P138">
        <f t="shared" si="13"/>
        <v>1.7977600029537083E-3</v>
      </c>
      <c r="Q138">
        <f t="shared" si="13"/>
        <v>5.0410000242674723E-5</v>
      </c>
      <c r="R138">
        <f t="shared" si="13"/>
        <v>1.5054399999995995E-3</v>
      </c>
      <c r="S138">
        <f t="shared" si="14"/>
        <v>1.8481700031963829E-3</v>
      </c>
      <c r="T138">
        <f t="shared" si="15"/>
        <v>4.2990347791060993E-2</v>
      </c>
    </row>
    <row r="139" spans="1:20" x14ac:dyDescent="0.3">
      <c r="A139" s="2" t="s">
        <v>1168</v>
      </c>
      <c r="B139" s="6" t="s">
        <v>626</v>
      </c>
      <c r="C139" s="2" t="s">
        <v>20</v>
      </c>
      <c r="D139" s="2" t="s">
        <v>21</v>
      </c>
      <c r="E139" s="3" t="s">
        <v>633</v>
      </c>
      <c r="F139" s="3" t="s">
        <v>634</v>
      </c>
      <c r="G139" s="3" t="s">
        <v>635</v>
      </c>
      <c r="J139" s="5" t="s">
        <v>630</v>
      </c>
      <c r="K139" s="5" t="s">
        <v>631</v>
      </c>
      <c r="L139" s="5" t="s">
        <v>632</v>
      </c>
      <c r="M139" s="3">
        <f t="shared" si="11"/>
        <v>4.4600000022910535E-2</v>
      </c>
      <c r="N139" s="3">
        <f t="shared" si="11"/>
        <v>-5.9000000183004886E-3</v>
      </c>
      <c r="O139" s="3">
        <f t="shared" si="12"/>
        <v>3.67999999999995E-2</v>
      </c>
      <c r="P139">
        <f t="shared" si="13"/>
        <v>1.9891600020436198E-3</v>
      </c>
      <c r="Q139">
        <f t="shared" si="13"/>
        <v>3.4810000215945765E-5</v>
      </c>
      <c r="R139">
        <f t="shared" si="13"/>
        <v>1.3542399999999632E-3</v>
      </c>
      <c r="S139">
        <f t="shared" si="14"/>
        <v>2.0239700022595657E-3</v>
      </c>
      <c r="T139">
        <f t="shared" si="15"/>
        <v>4.4988554125016796E-2</v>
      </c>
    </row>
    <row r="140" spans="1:20" x14ac:dyDescent="0.3">
      <c r="A140" s="2" t="s">
        <v>1168</v>
      </c>
      <c r="B140" s="6" t="s">
        <v>636</v>
      </c>
      <c r="C140" s="2" t="s">
        <v>20</v>
      </c>
      <c r="D140" s="2" t="s">
        <v>110</v>
      </c>
      <c r="E140" s="3" t="s">
        <v>637</v>
      </c>
      <c r="F140" s="3" t="s">
        <v>638</v>
      </c>
      <c r="G140" s="3" t="s">
        <v>639</v>
      </c>
      <c r="J140" s="5" t="s">
        <v>640</v>
      </c>
      <c r="K140" s="5" t="s">
        <v>641</v>
      </c>
      <c r="L140" s="5" t="s">
        <v>632</v>
      </c>
      <c r="M140" s="3">
        <f t="shared" si="11"/>
        <v>4.7300000034738332E-2</v>
      </c>
      <c r="N140" s="3">
        <f t="shared" si="11"/>
        <v>-1.4800000004470348E-2</v>
      </c>
      <c r="O140" s="3">
        <f t="shared" si="12"/>
        <v>1.279999999999859E-2</v>
      </c>
      <c r="P140">
        <f t="shared" si="13"/>
        <v>2.2372900032862461E-3</v>
      </c>
      <c r="Q140">
        <f t="shared" si="13"/>
        <v>2.1904000013232231E-4</v>
      </c>
      <c r="R140">
        <f t="shared" si="13"/>
        <v>1.638399999999639E-4</v>
      </c>
      <c r="S140">
        <f t="shared" si="14"/>
        <v>2.4563300034185684E-3</v>
      </c>
      <c r="T140">
        <f t="shared" si="15"/>
        <v>4.9561376125149798E-2</v>
      </c>
    </row>
    <row r="141" spans="1:20" x14ac:dyDescent="0.3">
      <c r="A141" s="2" t="s">
        <v>1168</v>
      </c>
      <c r="B141" s="6" t="s">
        <v>636</v>
      </c>
      <c r="C141" s="2" t="s">
        <v>20</v>
      </c>
      <c r="D141" s="2" t="s">
        <v>37</v>
      </c>
      <c r="E141" s="3" t="s">
        <v>642</v>
      </c>
      <c r="F141" s="3" t="s">
        <v>643</v>
      </c>
      <c r="G141" s="3" t="s">
        <v>644</v>
      </c>
      <c r="J141" s="5" t="s">
        <v>640</v>
      </c>
      <c r="K141" s="5" t="s">
        <v>641</v>
      </c>
      <c r="L141" s="5" t="s">
        <v>632</v>
      </c>
      <c r="M141" s="3">
        <f t="shared" si="11"/>
        <v>4.1700000001583248E-2</v>
      </c>
      <c r="N141" s="3">
        <f t="shared" si="11"/>
        <v>-9.09999999566935E-3</v>
      </c>
      <c r="O141" s="3">
        <f t="shared" si="12"/>
        <v>1.9799999999996487E-2</v>
      </c>
      <c r="P141">
        <f t="shared" si="13"/>
        <v>1.7388900001320429E-3</v>
      </c>
      <c r="Q141">
        <f t="shared" si="13"/>
        <v>8.2809999921182176E-5</v>
      </c>
      <c r="R141">
        <f t="shared" si="13"/>
        <v>3.9203999999986086E-4</v>
      </c>
      <c r="S141">
        <f t="shared" si="14"/>
        <v>1.8217000000532251E-3</v>
      </c>
      <c r="T141">
        <f t="shared" si="15"/>
        <v>4.2681377672858983E-2</v>
      </c>
    </row>
    <row r="142" spans="1:20" x14ac:dyDescent="0.3">
      <c r="A142" s="2" t="s">
        <v>1168</v>
      </c>
      <c r="B142" s="6" t="s">
        <v>636</v>
      </c>
      <c r="C142" s="2" t="s">
        <v>20</v>
      </c>
      <c r="D142" s="2" t="s">
        <v>46</v>
      </c>
      <c r="E142" s="3" t="s">
        <v>645</v>
      </c>
      <c r="F142" s="3" t="s">
        <v>646</v>
      </c>
      <c r="G142" s="3" t="s">
        <v>647</v>
      </c>
      <c r="J142" s="5" t="s">
        <v>640</v>
      </c>
      <c r="K142" s="5" t="s">
        <v>641</v>
      </c>
      <c r="L142" s="5" t="s">
        <v>632</v>
      </c>
      <c r="M142" s="3">
        <f t="shared" si="11"/>
        <v>4.2900000000372529E-2</v>
      </c>
      <c r="N142" s="3">
        <f t="shared" si="11"/>
        <v>-7.6000000117346644E-3</v>
      </c>
      <c r="O142" s="3">
        <f t="shared" si="12"/>
        <v>3.2799999999994611E-2</v>
      </c>
      <c r="P142">
        <f t="shared" si="13"/>
        <v>1.8404100000319629E-3</v>
      </c>
      <c r="Q142">
        <f t="shared" si="13"/>
        <v>5.77600001783669E-5</v>
      </c>
      <c r="R142">
        <f t="shared" si="13"/>
        <v>1.0758399999996465E-3</v>
      </c>
      <c r="S142">
        <f t="shared" si="14"/>
        <v>1.8981700002103298E-3</v>
      </c>
      <c r="T142">
        <f t="shared" si="15"/>
        <v>4.3567992841193982E-2</v>
      </c>
    </row>
    <row r="143" spans="1:20" x14ac:dyDescent="0.3">
      <c r="A143" s="2" t="s">
        <v>1168</v>
      </c>
      <c r="B143" s="6" t="s">
        <v>636</v>
      </c>
      <c r="C143" s="2" t="s">
        <v>51</v>
      </c>
      <c r="D143" s="2" t="s">
        <v>63</v>
      </c>
      <c r="E143" s="3" t="s">
        <v>648</v>
      </c>
      <c r="F143" s="3" t="s">
        <v>649</v>
      </c>
      <c r="G143" s="3" t="s">
        <v>650</v>
      </c>
      <c r="J143" s="5" t="s">
        <v>640</v>
      </c>
      <c r="K143" s="5" t="s">
        <v>641</v>
      </c>
      <c r="L143" s="5" t="s">
        <v>632</v>
      </c>
      <c r="M143" s="3">
        <f t="shared" si="11"/>
        <v>4.5199999993201345E-2</v>
      </c>
      <c r="N143" s="3">
        <f t="shared" si="11"/>
        <v>-1.3700000010430813E-2</v>
      </c>
      <c r="O143" s="3">
        <f t="shared" si="12"/>
        <v>0.11179999999999524</v>
      </c>
      <c r="P143">
        <f t="shared" si="13"/>
        <v>2.0430399993854017E-3</v>
      </c>
      <c r="Q143">
        <f t="shared" si="13"/>
        <v>1.8769000028580427E-4</v>
      </c>
      <c r="R143">
        <f t="shared" si="13"/>
        <v>1.2499239999998935E-2</v>
      </c>
      <c r="S143">
        <f t="shared" si="14"/>
        <v>2.2307299996712059E-3</v>
      </c>
      <c r="T143">
        <f t="shared" si="15"/>
        <v>4.72306044813234E-2</v>
      </c>
    </row>
    <row r="144" spans="1:20" x14ac:dyDescent="0.3">
      <c r="A144" s="2" t="s">
        <v>1168</v>
      </c>
      <c r="B144" s="6" t="s">
        <v>636</v>
      </c>
      <c r="C144" s="2" t="s">
        <v>51</v>
      </c>
      <c r="D144" s="2" t="s">
        <v>30</v>
      </c>
      <c r="E144" s="3" t="s">
        <v>651</v>
      </c>
      <c r="F144" s="3" t="s">
        <v>652</v>
      </c>
      <c r="G144" s="3" t="s">
        <v>653</v>
      </c>
      <c r="J144" s="5" t="s">
        <v>640</v>
      </c>
      <c r="K144" s="5" t="s">
        <v>641</v>
      </c>
      <c r="L144" s="5" t="s">
        <v>632</v>
      </c>
      <c r="M144" s="3">
        <f t="shared" si="11"/>
        <v>4.3200000014621764E-2</v>
      </c>
      <c r="N144" s="3">
        <f t="shared" si="11"/>
        <v>-7.8999999968800694E-3</v>
      </c>
      <c r="O144" s="3">
        <f t="shared" si="12"/>
        <v>0.13980000000000103</v>
      </c>
      <c r="P144">
        <f t="shared" si="13"/>
        <v>1.8662400012633205E-3</v>
      </c>
      <c r="Q144">
        <f t="shared" si="13"/>
        <v>6.2409999950705102E-5</v>
      </c>
      <c r="R144">
        <f t="shared" si="13"/>
        <v>1.954404000000029E-2</v>
      </c>
      <c r="S144">
        <f t="shared" si="14"/>
        <v>1.9286500012140257E-3</v>
      </c>
      <c r="T144">
        <f t="shared" si="15"/>
        <v>4.3916397862461647E-2</v>
      </c>
    </row>
    <row r="145" spans="1:20" x14ac:dyDescent="0.3">
      <c r="A145" s="2" t="s">
        <v>1168</v>
      </c>
      <c r="B145" s="6" t="s">
        <v>636</v>
      </c>
      <c r="C145" s="2" t="s">
        <v>51</v>
      </c>
      <c r="D145" s="2" t="s">
        <v>52</v>
      </c>
      <c r="E145" s="3" t="s">
        <v>654</v>
      </c>
      <c r="F145" s="3" t="s">
        <v>655</v>
      </c>
      <c r="G145" s="3" t="s">
        <v>656</v>
      </c>
      <c r="J145" s="5" t="s">
        <v>640</v>
      </c>
      <c r="K145" s="5" t="s">
        <v>641</v>
      </c>
      <c r="L145" s="5" t="s">
        <v>632</v>
      </c>
      <c r="M145" s="3">
        <f t="shared" si="11"/>
        <v>4.6200000040698797E-2</v>
      </c>
      <c r="N145" s="3">
        <f t="shared" si="11"/>
        <v>-6.2000000034458935E-3</v>
      </c>
      <c r="O145" s="3">
        <f t="shared" si="12"/>
        <v>0.14479999999999649</v>
      </c>
      <c r="P145">
        <f t="shared" si="13"/>
        <v>2.1344400037605687E-3</v>
      </c>
      <c r="Q145">
        <f t="shared" si="13"/>
        <v>3.8440000042729076E-5</v>
      </c>
      <c r="R145">
        <f t="shared" si="13"/>
        <v>2.0967039999998983E-2</v>
      </c>
      <c r="S145">
        <f t="shared" si="14"/>
        <v>2.1728800038032978E-3</v>
      </c>
      <c r="T145">
        <f t="shared" si="15"/>
        <v>4.6614160979291455E-2</v>
      </c>
    </row>
    <row r="146" spans="1:20" x14ac:dyDescent="0.3">
      <c r="A146" s="2" t="s">
        <v>1168</v>
      </c>
      <c r="B146" s="6" t="s">
        <v>636</v>
      </c>
      <c r="C146" s="2" t="s">
        <v>422</v>
      </c>
      <c r="D146" s="2" t="s">
        <v>423</v>
      </c>
      <c r="E146" s="3" t="s">
        <v>657</v>
      </c>
      <c r="F146" s="3" t="s">
        <v>658</v>
      </c>
      <c r="G146" s="3" t="s">
        <v>659</v>
      </c>
      <c r="J146" s="5" t="s">
        <v>640</v>
      </c>
      <c r="K146" s="5" t="s">
        <v>641</v>
      </c>
      <c r="L146" s="5" t="s">
        <v>632</v>
      </c>
      <c r="M146" s="3">
        <f t="shared" ref="M146:N209" si="16">J146-E146</f>
        <v>2.68999999971129E-2</v>
      </c>
      <c r="N146" s="3">
        <f t="shared" si="16"/>
        <v>-7.0000000414438546E-4</v>
      </c>
      <c r="O146" s="3">
        <f t="shared" si="12"/>
        <v>0.13220000000000454</v>
      </c>
      <c r="P146">
        <f t="shared" si="13"/>
        <v>7.2360999984467402E-4</v>
      </c>
      <c r="Q146">
        <f t="shared" si="13"/>
        <v>4.9000000580213966E-7</v>
      </c>
      <c r="R146">
        <f t="shared" si="13"/>
        <v>1.7476840000001201E-2</v>
      </c>
      <c r="S146">
        <f t="shared" si="14"/>
        <v>7.2409999985047614E-4</v>
      </c>
      <c r="T146">
        <f t="shared" si="15"/>
        <v>2.6909106262573569E-2</v>
      </c>
    </row>
    <row r="147" spans="1:20" x14ac:dyDescent="0.3">
      <c r="A147" s="2" t="s">
        <v>1168</v>
      </c>
      <c r="B147" s="6" t="s">
        <v>660</v>
      </c>
      <c r="C147" s="2" t="s">
        <v>20</v>
      </c>
      <c r="D147" s="2" t="s">
        <v>30</v>
      </c>
      <c r="E147" s="3" t="s">
        <v>661</v>
      </c>
      <c r="F147" s="3" t="s">
        <v>662</v>
      </c>
      <c r="G147" s="3" t="s">
        <v>663</v>
      </c>
      <c r="J147" s="3">
        <v>358366.22029999999</v>
      </c>
      <c r="K147" s="3">
        <v>203018.79389999999</v>
      </c>
      <c r="L147" s="3">
        <v>65.672899999999998</v>
      </c>
      <c r="M147" s="3">
        <f t="shared" si="16"/>
        <v>-2.8099999995902181E-2</v>
      </c>
      <c r="N147" s="3">
        <f t="shared" si="16"/>
        <v>-1.2199999997392297E-2</v>
      </c>
      <c r="O147" s="3">
        <f t="shared" si="12"/>
        <v>5.0999999999987722E-3</v>
      </c>
      <c r="P147">
        <f t="shared" si="13"/>
        <v>7.896099997697025E-4</v>
      </c>
      <c r="Q147">
        <f t="shared" si="13"/>
        <v>1.4883999993637204E-4</v>
      </c>
      <c r="R147">
        <f t="shared" si="13"/>
        <v>2.6009999999987477E-5</v>
      </c>
      <c r="S147">
        <f t="shared" si="14"/>
        <v>9.3844999970607449E-4</v>
      </c>
      <c r="T147">
        <f t="shared" si="15"/>
        <v>3.0634131286949765E-2</v>
      </c>
    </row>
    <row r="148" spans="1:20" x14ac:dyDescent="0.3">
      <c r="A148" s="2" t="s">
        <v>1168</v>
      </c>
      <c r="B148" s="6" t="s">
        <v>660</v>
      </c>
      <c r="C148" s="2" t="s">
        <v>20</v>
      </c>
      <c r="D148" s="2" t="s">
        <v>21</v>
      </c>
      <c r="E148" s="3" t="s">
        <v>664</v>
      </c>
      <c r="F148" s="3" t="s">
        <v>665</v>
      </c>
      <c r="G148" s="3" t="s">
        <v>666</v>
      </c>
      <c r="J148" s="3">
        <v>358366.22029999999</v>
      </c>
      <c r="K148" s="3">
        <v>203018.79389999999</v>
      </c>
      <c r="L148" s="3">
        <v>65.672899999999998</v>
      </c>
      <c r="M148" s="3">
        <f t="shared" si="16"/>
        <v>-3.460000001359731E-2</v>
      </c>
      <c r="N148" s="3">
        <f t="shared" si="16"/>
        <v>-1.2700000021141022E-2</v>
      </c>
      <c r="O148" s="3">
        <f t="shared" si="12"/>
        <v>5.8999999999969077E-3</v>
      </c>
      <c r="P148">
        <f t="shared" si="13"/>
        <v>1.1971600009409338E-3</v>
      </c>
      <c r="Q148">
        <f t="shared" si="13"/>
        <v>1.6129000053698197E-4</v>
      </c>
      <c r="R148">
        <f t="shared" si="13"/>
        <v>3.480999999996351E-5</v>
      </c>
      <c r="S148">
        <f t="shared" si="14"/>
        <v>1.3584500014779159E-3</v>
      </c>
      <c r="T148">
        <f t="shared" si="15"/>
        <v>3.6857156719935898E-2</v>
      </c>
    </row>
    <row r="149" spans="1:20" x14ac:dyDescent="0.3">
      <c r="A149" s="2" t="s">
        <v>1168</v>
      </c>
      <c r="B149" s="6" t="s">
        <v>660</v>
      </c>
      <c r="C149" s="2" t="s">
        <v>20</v>
      </c>
      <c r="D149" s="2" t="s">
        <v>110</v>
      </c>
      <c r="E149" s="3" t="s">
        <v>667</v>
      </c>
      <c r="F149" s="3" t="s">
        <v>668</v>
      </c>
      <c r="G149" s="3" t="s">
        <v>669</v>
      </c>
      <c r="J149" s="3">
        <v>358366.22029999999</v>
      </c>
      <c r="K149" s="3">
        <v>203018.79389999999</v>
      </c>
      <c r="L149" s="3">
        <v>65.672899999999998</v>
      </c>
      <c r="M149" s="3">
        <f t="shared" si="16"/>
        <v>-3.0100000032689422E-2</v>
      </c>
      <c r="N149" s="3">
        <f t="shared" si="16"/>
        <v>-1.0900000022957101E-2</v>
      </c>
      <c r="O149" s="3">
        <f t="shared" si="12"/>
        <v>1.9099999999994566E-2</v>
      </c>
      <c r="P149">
        <f t="shared" si="13"/>
        <v>9.0601000196790322E-4</v>
      </c>
      <c r="Q149">
        <f t="shared" si="13"/>
        <v>1.1881000050046482E-4</v>
      </c>
      <c r="R149">
        <f t="shared" si="13"/>
        <v>3.648099999997924E-4</v>
      </c>
      <c r="S149">
        <f t="shared" si="14"/>
        <v>1.024820002468368E-3</v>
      </c>
      <c r="T149">
        <f t="shared" si="15"/>
        <v>3.2012809974576867E-2</v>
      </c>
    </row>
    <row r="150" spans="1:20" x14ac:dyDescent="0.3">
      <c r="A150" s="2" t="s">
        <v>1168</v>
      </c>
      <c r="B150" s="6" t="s">
        <v>660</v>
      </c>
      <c r="C150" s="2" t="s">
        <v>20</v>
      </c>
      <c r="D150" s="2" t="s">
        <v>37</v>
      </c>
      <c r="E150" s="3" t="s">
        <v>670</v>
      </c>
      <c r="F150" s="3" t="s">
        <v>671</v>
      </c>
      <c r="G150" s="3" t="s">
        <v>672</v>
      </c>
      <c r="J150" s="3">
        <v>358366.22029999999</v>
      </c>
      <c r="K150" s="3">
        <v>203018.79389999999</v>
      </c>
      <c r="L150" s="3">
        <v>65.672899999999998</v>
      </c>
      <c r="M150" s="3">
        <f t="shared" si="16"/>
        <v>-2.9399999999441206E-2</v>
      </c>
      <c r="N150" s="3">
        <f t="shared" si="16"/>
        <v>-1.0300000023562461E-2</v>
      </c>
      <c r="O150" s="3">
        <f t="shared" si="12"/>
        <v>2.6899999999997704E-2</v>
      </c>
      <c r="P150">
        <f t="shared" si="13"/>
        <v>8.6435999996714293E-4</v>
      </c>
      <c r="Q150">
        <f t="shared" si="13"/>
        <v>1.060900004853867E-4</v>
      </c>
      <c r="R150">
        <f t="shared" si="13"/>
        <v>7.2360999999987647E-4</v>
      </c>
      <c r="S150">
        <f t="shared" si="14"/>
        <v>9.704500004525296E-4</v>
      </c>
      <c r="T150">
        <f t="shared" si="15"/>
        <v>3.1152046488995385E-2</v>
      </c>
    </row>
    <row r="151" spans="1:20" x14ac:dyDescent="0.3">
      <c r="A151" s="2" t="s">
        <v>1168</v>
      </c>
      <c r="B151" s="6" t="s">
        <v>660</v>
      </c>
      <c r="C151" s="2" t="s">
        <v>20</v>
      </c>
      <c r="D151" s="2" t="s">
        <v>46</v>
      </c>
      <c r="E151" s="3" t="s">
        <v>673</v>
      </c>
      <c r="F151" s="3" t="s">
        <v>674</v>
      </c>
      <c r="G151" s="3" t="s">
        <v>675</v>
      </c>
      <c r="J151" s="3">
        <v>358366.22029999999</v>
      </c>
      <c r="K151" s="3">
        <v>203018.79389999999</v>
      </c>
      <c r="L151" s="3">
        <v>65.672899999999998</v>
      </c>
      <c r="M151" s="3">
        <f t="shared" si="16"/>
        <v>-3.0800000007729977E-2</v>
      </c>
      <c r="N151" s="3">
        <f t="shared" si="16"/>
        <v>-8.0000000016298145E-3</v>
      </c>
      <c r="O151" s="3">
        <f t="shared" si="12"/>
        <v>1.9899999999992701E-2</v>
      </c>
      <c r="P151">
        <f t="shared" si="13"/>
        <v>9.4864000047616658E-4</v>
      </c>
      <c r="Q151">
        <f t="shared" si="13"/>
        <v>6.4000000026077038E-5</v>
      </c>
      <c r="R151">
        <f t="shared" si="13"/>
        <v>3.9600999999970951E-4</v>
      </c>
      <c r="S151">
        <f t="shared" si="14"/>
        <v>1.0126400005022436E-3</v>
      </c>
      <c r="T151">
        <f t="shared" si="15"/>
        <v>3.1822004973009535E-2</v>
      </c>
    </row>
    <row r="152" spans="1:20" x14ac:dyDescent="0.3">
      <c r="A152" s="2" t="s">
        <v>1168</v>
      </c>
      <c r="B152" s="6" t="s">
        <v>660</v>
      </c>
      <c r="C152" s="2" t="s">
        <v>51</v>
      </c>
      <c r="D152" s="2" t="s">
        <v>63</v>
      </c>
      <c r="E152" s="3" t="s">
        <v>676</v>
      </c>
      <c r="F152" s="3" t="s">
        <v>677</v>
      </c>
      <c r="G152" s="3" t="s">
        <v>678</v>
      </c>
      <c r="J152" s="3">
        <v>358366.22029999999</v>
      </c>
      <c r="K152" s="3">
        <v>203018.79389999999</v>
      </c>
      <c r="L152" s="3">
        <v>65.672899999999998</v>
      </c>
      <c r="M152" s="3">
        <f t="shared" si="16"/>
        <v>-3.8600000028964132E-2</v>
      </c>
      <c r="N152" s="3">
        <f t="shared" si="16"/>
        <v>-5.9000000183004886E-3</v>
      </c>
      <c r="O152" s="3">
        <f t="shared" si="12"/>
        <v>9.9000000000017963E-3</v>
      </c>
      <c r="P152">
        <f t="shared" si="13"/>
        <v>1.489960002236031E-3</v>
      </c>
      <c r="Q152">
        <f t="shared" si="13"/>
        <v>3.4810000215945765E-5</v>
      </c>
      <c r="R152">
        <f t="shared" si="13"/>
        <v>9.8010000000035567E-5</v>
      </c>
      <c r="S152">
        <f t="shared" si="14"/>
        <v>1.5247700024519767E-3</v>
      </c>
      <c r="T152">
        <f t="shared" si="15"/>
        <v>3.9048303451647892E-2</v>
      </c>
    </row>
    <row r="153" spans="1:20" x14ac:dyDescent="0.3">
      <c r="A153" s="2" t="s">
        <v>1168</v>
      </c>
      <c r="B153" s="6" t="s">
        <v>660</v>
      </c>
      <c r="C153" s="2" t="s">
        <v>51</v>
      </c>
      <c r="D153" s="2" t="s">
        <v>30</v>
      </c>
      <c r="E153" s="3" t="s">
        <v>679</v>
      </c>
      <c r="F153" s="3" t="s">
        <v>680</v>
      </c>
      <c r="G153" s="3" t="s">
        <v>681</v>
      </c>
      <c r="J153" s="3">
        <v>358366.22029999999</v>
      </c>
      <c r="K153" s="3">
        <v>203018.79389999999</v>
      </c>
      <c r="L153" s="3">
        <v>65.672899999999998</v>
      </c>
      <c r="M153" s="3">
        <f t="shared" si="16"/>
        <v>-3.0399999988730997E-2</v>
      </c>
      <c r="N153" s="3">
        <f t="shared" si="16"/>
        <v>-7.5000000069849193E-3</v>
      </c>
      <c r="O153" s="3">
        <f t="shared" si="12"/>
        <v>1.4099999999999113E-2</v>
      </c>
      <c r="P153">
        <f t="shared" si="13"/>
        <v>9.2415999931484466E-4</v>
      </c>
      <c r="Q153">
        <f t="shared" si="13"/>
        <v>5.6250000104773786E-5</v>
      </c>
      <c r="R153">
        <f t="shared" si="13"/>
        <v>1.9880999999997498E-4</v>
      </c>
      <c r="S153">
        <f t="shared" si="14"/>
        <v>9.8040999941961847E-4</v>
      </c>
      <c r="T153">
        <f t="shared" si="15"/>
        <v>3.1311499475745623E-2</v>
      </c>
    </row>
    <row r="154" spans="1:20" x14ac:dyDescent="0.3">
      <c r="A154" s="2" t="s">
        <v>1168</v>
      </c>
      <c r="B154" s="6" t="s">
        <v>660</v>
      </c>
      <c r="C154" s="2" t="s">
        <v>51</v>
      </c>
      <c r="D154" s="2" t="s">
        <v>52</v>
      </c>
      <c r="E154" s="3" t="s">
        <v>682</v>
      </c>
      <c r="F154" s="3" t="s">
        <v>683</v>
      </c>
      <c r="G154" s="3" t="s">
        <v>684</v>
      </c>
      <c r="J154" s="3">
        <v>358366.22029999999</v>
      </c>
      <c r="K154" s="3">
        <v>203018.79389999999</v>
      </c>
      <c r="L154" s="3">
        <v>65.672899999999998</v>
      </c>
      <c r="M154" s="3">
        <f t="shared" si="16"/>
        <v>-2.9199999989941716E-2</v>
      </c>
      <c r="N154" s="3">
        <f t="shared" si="16"/>
        <v>-1.4800000004470348E-2</v>
      </c>
      <c r="O154" s="3">
        <f t="shared" si="12"/>
        <v>1.1000000000080945E-3</v>
      </c>
      <c r="P154">
        <f t="shared" si="13"/>
        <v>8.5263999941259617E-4</v>
      </c>
      <c r="Q154">
        <f t="shared" si="13"/>
        <v>2.1904000013232231E-4</v>
      </c>
      <c r="R154">
        <f t="shared" si="13"/>
        <v>1.2100000000178079E-6</v>
      </c>
      <c r="S154">
        <f t="shared" si="14"/>
        <v>1.0716799995449185E-3</v>
      </c>
      <c r="T154">
        <f t="shared" si="15"/>
        <v>3.2736523938025529E-2</v>
      </c>
    </row>
    <row r="155" spans="1:20" x14ac:dyDescent="0.3">
      <c r="A155" s="2" t="s">
        <v>1168</v>
      </c>
      <c r="B155" s="6" t="s">
        <v>660</v>
      </c>
      <c r="C155" s="2" t="s">
        <v>422</v>
      </c>
      <c r="D155" s="2" t="s">
        <v>423</v>
      </c>
      <c r="E155" s="3" t="s">
        <v>664</v>
      </c>
      <c r="F155" s="3" t="s">
        <v>685</v>
      </c>
      <c r="G155" s="3" t="s">
        <v>686</v>
      </c>
      <c r="J155" s="3">
        <v>358366.22029999999</v>
      </c>
      <c r="K155" s="3">
        <v>203018.79389999999</v>
      </c>
      <c r="L155" s="3">
        <v>65.672899999999998</v>
      </c>
      <c r="M155" s="3">
        <f t="shared" si="16"/>
        <v>-3.460000001359731E-2</v>
      </c>
      <c r="N155" s="3">
        <f t="shared" si="16"/>
        <v>-1.8500000005587935E-2</v>
      </c>
      <c r="O155" s="3">
        <f t="shared" si="12"/>
        <v>9.010000000000673E-2</v>
      </c>
      <c r="P155">
        <f t="shared" si="13"/>
        <v>1.1971600009409338E-3</v>
      </c>
      <c r="Q155">
        <f t="shared" si="13"/>
        <v>3.4225000020675361E-4</v>
      </c>
      <c r="R155">
        <f t="shared" si="13"/>
        <v>8.1180100000012127E-3</v>
      </c>
      <c r="S155">
        <f t="shared" si="14"/>
        <v>1.5394100011476874E-3</v>
      </c>
      <c r="T155">
        <f t="shared" si="15"/>
        <v>3.9235315739110439E-2</v>
      </c>
    </row>
    <row r="156" spans="1:20" x14ac:dyDescent="0.3">
      <c r="A156" s="2" t="s">
        <v>1168</v>
      </c>
      <c r="B156" s="6" t="s">
        <v>687</v>
      </c>
      <c r="C156" s="2" t="s">
        <v>20</v>
      </c>
      <c r="D156" s="2" t="s">
        <v>30</v>
      </c>
      <c r="E156" s="3" t="s">
        <v>688</v>
      </c>
      <c r="F156" s="3" t="s">
        <v>689</v>
      </c>
      <c r="G156" s="3" t="s">
        <v>690</v>
      </c>
      <c r="J156" s="7">
        <v>377029.62939999998</v>
      </c>
      <c r="K156" s="7">
        <v>209181.60630000001</v>
      </c>
      <c r="L156" s="7">
        <v>69.233599999999996</v>
      </c>
      <c r="M156" s="3">
        <f t="shared" si="16"/>
        <v>1.720000000204891E-2</v>
      </c>
      <c r="N156" s="3">
        <f t="shared" si="16"/>
        <v>-2.4599999975180253E-2</v>
      </c>
      <c r="O156" s="3">
        <f t="shared" si="12"/>
        <v>1.1400000000008959E-2</v>
      </c>
      <c r="P156">
        <f t="shared" si="13"/>
        <v>2.9584000007048248E-4</v>
      </c>
      <c r="Q156">
        <f t="shared" si="13"/>
        <v>6.051599987788685E-4</v>
      </c>
      <c r="R156">
        <f t="shared" si="13"/>
        <v>1.2996000000020425E-4</v>
      </c>
      <c r="S156">
        <f t="shared" si="14"/>
        <v>9.0099999884935098E-4</v>
      </c>
      <c r="T156">
        <f t="shared" si="15"/>
        <v>3.001666202044043E-2</v>
      </c>
    </row>
    <row r="157" spans="1:20" x14ac:dyDescent="0.3">
      <c r="A157" s="2" t="s">
        <v>1168</v>
      </c>
      <c r="B157" s="6" t="s">
        <v>687</v>
      </c>
      <c r="C157" s="2" t="s">
        <v>20</v>
      </c>
      <c r="D157" s="2" t="s">
        <v>21</v>
      </c>
      <c r="E157" s="3" t="s">
        <v>691</v>
      </c>
      <c r="F157" s="3" t="s">
        <v>692</v>
      </c>
      <c r="G157" s="3" t="s">
        <v>693</v>
      </c>
      <c r="J157" s="7">
        <v>377029.62939999998</v>
      </c>
      <c r="K157" s="7">
        <v>209181.60630000001</v>
      </c>
      <c r="L157" s="7">
        <v>69.233599999999996</v>
      </c>
      <c r="M157" s="3">
        <f t="shared" si="16"/>
        <v>8.0999999772757292E-3</v>
      </c>
      <c r="N157" s="3">
        <f t="shared" si="16"/>
        <v>-1.6399999993154779E-2</v>
      </c>
      <c r="O157" s="3">
        <f t="shared" si="12"/>
        <v>4.0400000000005321E-2</v>
      </c>
      <c r="P157">
        <f t="shared" si="13"/>
        <v>6.5609999631866813E-5</v>
      </c>
      <c r="Q157">
        <f t="shared" si="13"/>
        <v>2.6895999977547675E-4</v>
      </c>
      <c r="R157">
        <f t="shared" si="13"/>
        <v>1.6321600000004299E-3</v>
      </c>
      <c r="S157">
        <f t="shared" si="14"/>
        <v>3.3456999940734356E-4</v>
      </c>
      <c r="T157">
        <f t="shared" si="15"/>
        <v>1.8291254724795224E-2</v>
      </c>
    </row>
    <row r="158" spans="1:20" x14ac:dyDescent="0.3">
      <c r="A158" s="2" t="s">
        <v>1168</v>
      </c>
      <c r="B158" s="6" t="s">
        <v>687</v>
      </c>
      <c r="C158" s="2" t="s">
        <v>20</v>
      </c>
      <c r="D158" s="2" t="s">
        <v>110</v>
      </c>
      <c r="E158" s="3" t="s">
        <v>694</v>
      </c>
      <c r="F158" s="3" t="s">
        <v>695</v>
      </c>
      <c r="G158" s="3" t="s">
        <v>696</v>
      </c>
      <c r="J158" s="7">
        <v>377029.62939999998</v>
      </c>
      <c r="K158" s="7">
        <v>209181.60630000001</v>
      </c>
      <c r="L158" s="7">
        <v>69.233599999999996</v>
      </c>
      <c r="M158" s="3">
        <f t="shared" si="16"/>
        <v>2.2899999981746078E-2</v>
      </c>
      <c r="N158" s="3">
        <f t="shared" si="16"/>
        <v>-2.8999999980442226E-2</v>
      </c>
      <c r="O158" s="3">
        <f t="shared" si="12"/>
        <v>3.4400000000005093E-2</v>
      </c>
      <c r="P158">
        <f t="shared" si="13"/>
        <v>5.244099991639703E-4</v>
      </c>
      <c r="Q158">
        <f t="shared" si="13"/>
        <v>8.4099999886564909E-4</v>
      </c>
      <c r="R158">
        <f t="shared" si="13"/>
        <v>1.1833600000003505E-3</v>
      </c>
      <c r="S158">
        <f t="shared" si="14"/>
        <v>1.3654099980296194E-3</v>
      </c>
      <c r="T158">
        <f t="shared" si="15"/>
        <v>3.6951454613176185E-2</v>
      </c>
    </row>
    <row r="159" spans="1:20" x14ac:dyDescent="0.3">
      <c r="A159" s="2" t="s">
        <v>1168</v>
      </c>
      <c r="B159" s="6" t="s">
        <v>687</v>
      </c>
      <c r="C159" s="2" t="s">
        <v>20</v>
      </c>
      <c r="D159" s="2" t="s">
        <v>37</v>
      </c>
      <c r="E159" s="3" t="s">
        <v>697</v>
      </c>
      <c r="F159" s="3" t="s">
        <v>698</v>
      </c>
      <c r="G159" s="3" t="s">
        <v>699</v>
      </c>
      <c r="J159" s="7">
        <v>377029.62939999998</v>
      </c>
      <c r="K159" s="7">
        <v>209181.60630000001</v>
      </c>
      <c r="L159" s="7">
        <v>69.233599999999996</v>
      </c>
      <c r="M159" s="3">
        <f t="shared" si="16"/>
        <v>2.7199999953154474E-2</v>
      </c>
      <c r="N159" s="3">
        <f t="shared" si="16"/>
        <v>-2.6599999982863665E-2</v>
      </c>
      <c r="O159" s="3">
        <f t="shared" si="12"/>
        <v>3.2400000000009754E-2</v>
      </c>
      <c r="P159">
        <f t="shared" si="13"/>
        <v>7.3983999745160347E-4</v>
      </c>
      <c r="Q159">
        <f t="shared" si="13"/>
        <v>7.0755999908834696E-4</v>
      </c>
      <c r="R159">
        <f t="shared" si="13"/>
        <v>1.0497600000006321E-3</v>
      </c>
      <c r="S159">
        <f t="shared" si="14"/>
        <v>1.4473999965399504E-3</v>
      </c>
      <c r="T159">
        <f t="shared" si="15"/>
        <v>3.804471049357519E-2</v>
      </c>
    </row>
    <row r="160" spans="1:20" x14ac:dyDescent="0.3">
      <c r="A160" s="2" t="s">
        <v>1168</v>
      </c>
      <c r="B160" s="6" t="s">
        <v>687</v>
      </c>
      <c r="C160" s="2" t="s">
        <v>20</v>
      </c>
      <c r="D160" s="2" t="s">
        <v>46</v>
      </c>
      <c r="E160" s="3" t="s">
        <v>700</v>
      </c>
      <c r="F160" s="3" t="s">
        <v>701</v>
      </c>
      <c r="G160" s="3" t="s">
        <v>702</v>
      </c>
      <c r="J160" s="7">
        <v>377029.62939999998</v>
      </c>
      <c r="K160" s="7">
        <v>209181.60630000001</v>
      </c>
      <c r="L160" s="7">
        <v>69.233599999999996</v>
      </c>
      <c r="M160" s="3">
        <f t="shared" si="16"/>
        <v>2.4899999960325658E-2</v>
      </c>
      <c r="N160" s="3">
        <f t="shared" si="16"/>
        <v>-2.1599999978207052E-2</v>
      </c>
      <c r="O160" s="3">
        <f t="shared" si="12"/>
        <v>2.6400000000009527E-2</v>
      </c>
      <c r="P160">
        <f t="shared" si="13"/>
        <v>6.2000999802421777E-4</v>
      </c>
      <c r="Q160">
        <f t="shared" si="13"/>
        <v>4.6655999905854462E-4</v>
      </c>
      <c r="R160">
        <f t="shared" si="13"/>
        <v>6.9696000000050301E-4</v>
      </c>
      <c r="S160">
        <f t="shared" si="14"/>
        <v>1.0865699970827624E-3</v>
      </c>
      <c r="T160">
        <f t="shared" si="15"/>
        <v>3.2963161211915983E-2</v>
      </c>
    </row>
    <row r="161" spans="1:20" x14ac:dyDescent="0.3">
      <c r="A161" s="2" t="s">
        <v>1168</v>
      </c>
      <c r="B161" s="6" t="s">
        <v>687</v>
      </c>
      <c r="C161" s="2" t="s">
        <v>51</v>
      </c>
      <c r="D161" s="2" t="s">
        <v>63</v>
      </c>
      <c r="E161" s="3" t="s">
        <v>703</v>
      </c>
      <c r="F161" s="3" t="s">
        <v>704</v>
      </c>
      <c r="G161" s="3" t="s">
        <v>705</v>
      </c>
      <c r="J161" s="7">
        <v>377029.62939999998</v>
      </c>
      <c r="K161" s="7">
        <v>209181.60630000001</v>
      </c>
      <c r="L161" s="7">
        <v>69.233599999999996</v>
      </c>
      <c r="M161" s="3">
        <f t="shared" si="16"/>
        <v>1.5099999960511923E-2</v>
      </c>
      <c r="N161" s="3">
        <f t="shared" si="16"/>
        <v>-2.5599999993573874E-2</v>
      </c>
      <c r="O161" s="3">
        <f t="shared" si="12"/>
        <v>3.7400000000005207E-2</v>
      </c>
      <c r="P161">
        <f t="shared" si="13"/>
        <v>2.2800999880746007E-4</v>
      </c>
      <c r="Q161">
        <f t="shared" si="13"/>
        <v>6.5535999967098238E-4</v>
      </c>
      <c r="R161">
        <f t="shared" si="13"/>
        <v>1.3987600000003894E-3</v>
      </c>
      <c r="S161">
        <f t="shared" si="14"/>
        <v>8.8336999847844246E-4</v>
      </c>
      <c r="T161">
        <f t="shared" si="15"/>
        <v>2.9721540984249832E-2</v>
      </c>
    </row>
    <row r="162" spans="1:20" x14ac:dyDescent="0.3">
      <c r="A162" s="2" t="s">
        <v>1168</v>
      </c>
      <c r="B162" s="6" t="s">
        <v>687</v>
      </c>
      <c r="C162" s="2" t="s">
        <v>51</v>
      </c>
      <c r="D162" s="2" t="s">
        <v>30</v>
      </c>
      <c r="E162" s="3" t="s">
        <v>706</v>
      </c>
      <c r="F162" s="3" t="s">
        <v>707</v>
      </c>
      <c r="G162" s="3" t="s">
        <v>708</v>
      </c>
      <c r="J162" s="7">
        <v>377029.62939999998</v>
      </c>
      <c r="K162" s="7">
        <v>209181.60630000001</v>
      </c>
      <c r="L162" s="7">
        <v>69.233599999999996</v>
      </c>
      <c r="M162" s="3">
        <f t="shared" si="16"/>
        <v>1.7499999958090484E-2</v>
      </c>
      <c r="N162" s="3">
        <f t="shared" si="16"/>
        <v>-2.0099999994272366E-2</v>
      </c>
      <c r="O162" s="3">
        <f t="shared" si="12"/>
        <v>5.2400000000005775E-2</v>
      </c>
      <c r="P162">
        <f t="shared" si="13"/>
        <v>3.0624999853316693E-4</v>
      </c>
      <c r="Q162">
        <f t="shared" si="13"/>
        <v>4.0400999976974913E-4</v>
      </c>
      <c r="R162">
        <f t="shared" si="13"/>
        <v>2.7457600000006053E-3</v>
      </c>
      <c r="S162">
        <f t="shared" si="14"/>
        <v>7.10259998302916E-4</v>
      </c>
      <c r="T162">
        <f t="shared" si="15"/>
        <v>2.6650703523601698E-2</v>
      </c>
    </row>
    <row r="163" spans="1:20" x14ac:dyDescent="0.3">
      <c r="A163" s="2" t="s">
        <v>1168</v>
      </c>
      <c r="B163" s="6" t="s">
        <v>687</v>
      </c>
      <c r="C163" s="2" t="s">
        <v>51</v>
      </c>
      <c r="D163" s="2" t="s">
        <v>52</v>
      </c>
      <c r="E163" s="3" t="s">
        <v>694</v>
      </c>
      <c r="F163" s="3" t="s">
        <v>709</v>
      </c>
      <c r="G163" s="3" t="s">
        <v>710</v>
      </c>
      <c r="J163" s="7">
        <v>377029.62939999998</v>
      </c>
      <c r="K163" s="7">
        <v>209181.60630000001</v>
      </c>
      <c r="L163" s="7">
        <v>69.233599999999996</v>
      </c>
      <c r="M163" s="3">
        <f t="shared" si="16"/>
        <v>2.2899999981746078E-2</v>
      </c>
      <c r="N163" s="3">
        <f t="shared" si="16"/>
        <v>-2.3999999975785613E-2</v>
      </c>
      <c r="O163" s="3">
        <f t="shared" si="12"/>
        <v>3.1400000000004979E-2</v>
      </c>
      <c r="P163">
        <f t="shared" si="13"/>
        <v>5.244099991639703E-4</v>
      </c>
      <c r="Q163">
        <f t="shared" si="13"/>
        <v>5.7599999883770937E-4</v>
      </c>
      <c r="R163">
        <f t="shared" si="13"/>
        <v>9.8596000000031282E-4</v>
      </c>
      <c r="S163">
        <f t="shared" si="14"/>
        <v>1.1004099980016797E-3</v>
      </c>
      <c r="T163">
        <f t="shared" si="15"/>
        <v>3.3172428280149761E-2</v>
      </c>
    </row>
    <row r="164" spans="1:20" x14ac:dyDescent="0.3">
      <c r="A164" s="2" t="s">
        <v>1168</v>
      </c>
      <c r="B164" s="6" t="s">
        <v>687</v>
      </c>
      <c r="C164" s="2" t="s">
        <v>422</v>
      </c>
      <c r="D164" s="2" t="s">
        <v>423</v>
      </c>
      <c r="E164" s="3" t="s">
        <v>711</v>
      </c>
      <c r="F164" s="3" t="s">
        <v>712</v>
      </c>
      <c r="G164" s="3" t="s">
        <v>713</v>
      </c>
      <c r="J164" s="7">
        <v>377029.62939999998</v>
      </c>
      <c r="K164" s="7">
        <v>209181.60630000001</v>
      </c>
      <c r="L164" s="7">
        <v>69.233599999999996</v>
      </c>
      <c r="M164" s="3">
        <f t="shared" si="16"/>
        <v>1.779999997233972E-2</v>
      </c>
      <c r="N164" s="3">
        <f t="shared" si="16"/>
        <v>-2.8699999995296821E-2</v>
      </c>
      <c r="O164" s="3">
        <f t="shared" si="12"/>
        <v>0.12239999999999895</v>
      </c>
      <c r="P164">
        <f t="shared" si="13"/>
        <v>3.1683999901529401E-4</v>
      </c>
      <c r="Q164">
        <f t="shared" si="13"/>
        <v>8.2368999973003753E-4</v>
      </c>
      <c r="R164">
        <f t="shared" si="13"/>
        <v>1.4981759999999743E-2</v>
      </c>
      <c r="S164">
        <f t="shared" si="14"/>
        <v>1.1405299987453316E-3</v>
      </c>
      <c r="T164">
        <f t="shared" si="15"/>
        <v>3.3771733724304587E-2</v>
      </c>
    </row>
    <row r="165" spans="1:20" x14ac:dyDescent="0.3">
      <c r="A165" s="2" t="s">
        <v>1168</v>
      </c>
      <c r="B165" s="6" t="s">
        <v>714</v>
      </c>
      <c r="C165" s="2" t="s">
        <v>20</v>
      </c>
      <c r="D165" s="2" t="s">
        <v>30</v>
      </c>
      <c r="E165" s="3" t="s">
        <v>715</v>
      </c>
      <c r="F165" s="3" t="s">
        <v>716</v>
      </c>
      <c r="G165" s="3" t="s">
        <v>717</v>
      </c>
      <c r="J165" s="7">
        <v>355521.61139999999</v>
      </c>
      <c r="K165" s="7">
        <v>216079.61929999999</v>
      </c>
      <c r="L165" s="7">
        <v>89.840999999999994</v>
      </c>
      <c r="M165" s="3">
        <f t="shared" si="16"/>
        <v>5.5600000021513551E-2</v>
      </c>
      <c r="N165" s="3">
        <f t="shared" si="16"/>
        <v>3.8199999980861321E-2</v>
      </c>
      <c r="O165" s="3">
        <f t="shared" si="12"/>
        <v>2.4999999999991473E-2</v>
      </c>
      <c r="P165">
        <f t="shared" si="13"/>
        <v>3.0913600023923069E-3</v>
      </c>
      <c r="Q165">
        <f t="shared" si="13"/>
        <v>1.4592399985378049E-3</v>
      </c>
      <c r="R165">
        <f t="shared" si="13"/>
        <v>6.249999999995737E-4</v>
      </c>
      <c r="S165">
        <f t="shared" si="14"/>
        <v>4.550600000930112E-3</v>
      </c>
      <c r="T165">
        <f t="shared" si="15"/>
        <v>6.7458135172343087E-2</v>
      </c>
    </row>
    <row r="166" spans="1:20" x14ac:dyDescent="0.3">
      <c r="A166" s="2" t="s">
        <v>1168</v>
      </c>
      <c r="B166" s="6" t="s">
        <v>714</v>
      </c>
      <c r="C166" s="2" t="s">
        <v>20</v>
      </c>
      <c r="D166" s="2" t="s">
        <v>21</v>
      </c>
      <c r="E166" s="3" t="s">
        <v>718</v>
      </c>
      <c r="F166" s="3" t="s">
        <v>719</v>
      </c>
      <c r="G166" s="3" t="s">
        <v>720</v>
      </c>
      <c r="J166" s="7">
        <v>355521.61139999999</v>
      </c>
      <c r="K166" s="7">
        <v>216079.61929999999</v>
      </c>
      <c r="L166" s="7">
        <v>89.840999999999994</v>
      </c>
      <c r="M166" s="3">
        <f t="shared" si="16"/>
        <v>5.6500000006053597E-2</v>
      </c>
      <c r="N166" s="3">
        <f t="shared" si="16"/>
        <v>3.6499999987427145E-2</v>
      </c>
      <c r="O166" s="3">
        <f t="shared" si="12"/>
        <v>1.2000000000000455E-2</v>
      </c>
      <c r="P166">
        <f t="shared" si="13"/>
        <v>3.1922500006840563E-3</v>
      </c>
      <c r="Q166">
        <f t="shared" si="13"/>
        <v>1.3322499990821815E-3</v>
      </c>
      <c r="R166">
        <f t="shared" si="13"/>
        <v>1.4400000000001093E-4</v>
      </c>
      <c r="S166">
        <f t="shared" si="14"/>
        <v>4.5244999997662381E-3</v>
      </c>
      <c r="T166">
        <f t="shared" si="15"/>
        <v>6.7264403660229066E-2</v>
      </c>
    </row>
    <row r="167" spans="1:20" x14ac:dyDescent="0.3">
      <c r="A167" s="2" t="s">
        <v>1168</v>
      </c>
      <c r="B167" s="6" t="s">
        <v>714</v>
      </c>
      <c r="C167" s="2" t="s">
        <v>20</v>
      </c>
      <c r="D167" s="2" t="s">
        <v>110</v>
      </c>
      <c r="E167" s="3" t="s">
        <v>721</v>
      </c>
      <c r="F167" s="3" t="s">
        <v>722</v>
      </c>
      <c r="G167" s="3" t="s">
        <v>723</v>
      </c>
      <c r="J167" s="7">
        <v>355521.61139999999</v>
      </c>
      <c r="K167" s="7">
        <v>216079.61929999999</v>
      </c>
      <c r="L167" s="7">
        <v>89.840999999999994</v>
      </c>
      <c r="M167" s="3">
        <f t="shared" si="16"/>
        <v>5.6899999966844916E-2</v>
      </c>
      <c r="N167" s="3">
        <f t="shared" si="16"/>
        <v>3.2299999991664663E-2</v>
      </c>
      <c r="O167" s="3">
        <f t="shared" si="12"/>
        <v>4.6999999999997044E-2</v>
      </c>
      <c r="P167">
        <f t="shared" si="13"/>
        <v>3.2376099962269514E-3</v>
      </c>
      <c r="Q167">
        <f t="shared" si="13"/>
        <v>1.0432899994615372E-3</v>
      </c>
      <c r="R167">
        <f t="shared" si="13"/>
        <v>2.208999999999722E-3</v>
      </c>
      <c r="S167">
        <f t="shared" si="14"/>
        <v>4.2808999956884886E-3</v>
      </c>
      <c r="T167">
        <f t="shared" si="15"/>
        <v>6.5428586991379295E-2</v>
      </c>
    </row>
    <row r="168" spans="1:20" x14ac:dyDescent="0.3">
      <c r="A168" s="2" t="s">
        <v>1168</v>
      </c>
      <c r="B168" s="6" t="s">
        <v>714</v>
      </c>
      <c r="C168" s="2" t="s">
        <v>20</v>
      </c>
      <c r="D168" s="2" t="s">
        <v>37</v>
      </c>
      <c r="E168" s="3" t="s">
        <v>724</v>
      </c>
      <c r="F168" s="3" t="s">
        <v>725</v>
      </c>
      <c r="G168" s="3" t="s">
        <v>726</v>
      </c>
      <c r="J168" s="7">
        <v>355521.61139999999</v>
      </c>
      <c r="K168" s="7">
        <v>216079.61929999999</v>
      </c>
      <c r="L168" s="7">
        <v>89.840999999999994</v>
      </c>
      <c r="M168" s="3">
        <f t="shared" si="16"/>
        <v>7.7500000013969839E-2</v>
      </c>
      <c r="N168" s="3">
        <f t="shared" si="16"/>
        <v>6.6699999995762482E-2</v>
      </c>
      <c r="O168" s="3">
        <f t="shared" si="12"/>
        <v>6.1999999999997613E-2</v>
      </c>
      <c r="P168">
        <f t="shared" si="13"/>
        <v>6.0062500021653246E-3</v>
      </c>
      <c r="Q168">
        <f t="shared" si="13"/>
        <v>4.4488899994347148E-3</v>
      </c>
      <c r="R168">
        <f t="shared" si="13"/>
        <v>3.843999999999704E-3</v>
      </c>
      <c r="S168">
        <f t="shared" si="14"/>
        <v>1.0455140001600039E-2</v>
      </c>
      <c r="T168">
        <f t="shared" si="15"/>
        <v>0.10225037898022696</v>
      </c>
    </row>
    <row r="169" spans="1:20" x14ac:dyDescent="0.3">
      <c r="A169" s="2" t="s">
        <v>1168</v>
      </c>
      <c r="B169" s="6" t="s">
        <v>714</v>
      </c>
      <c r="C169" s="2" t="s">
        <v>20</v>
      </c>
      <c r="D169" s="2" t="s">
        <v>46</v>
      </c>
      <c r="E169" s="3" t="s">
        <v>727</v>
      </c>
      <c r="F169" s="3" t="s">
        <v>728</v>
      </c>
      <c r="G169" s="3" t="s">
        <v>729</v>
      </c>
      <c r="J169" s="7">
        <v>355521.61139999999</v>
      </c>
      <c r="K169" s="7">
        <v>216079.61929999999</v>
      </c>
      <c r="L169" s="7">
        <v>89.840999999999994</v>
      </c>
      <c r="M169" s="3">
        <f t="shared" si="16"/>
        <v>8.0199999967589974E-2</v>
      </c>
      <c r="N169" s="3">
        <f t="shared" si="16"/>
        <v>6.6800000000512227E-2</v>
      </c>
      <c r="O169" s="3">
        <f t="shared" si="12"/>
        <v>5.7999999999992724E-2</v>
      </c>
      <c r="P169">
        <f t="shared" si="13"/>
        <v>6.4320399948014318E-3</v>
      </c>
      <c r="Q169">
        <f t="shared" si="13"/>
        <v>4.4622400000684332E-3</v>
      </c>
      <c r="R169">
        <f t="shared" si="13"/>
        <v>3.3639999999991559E-3</v>
      </c>
      <c r="S169">
        <f t="shared" si="14"/>
        <v>1.0894279994869865E-2</v>
      </c>
      <c r="T169">
        <f t="shared" si="15"/>
        <v>0.10437566763795988</v>
      </c>
    </row>
    <row r="170" spans="1:20" x14ac:dyDescent="0.3">
      <c r="A170" s="2" t="s">
        <v>1168</v>
      </c>
      <c r="B170" s="6" t="s">
        <v>714</v>
      </c>
      <c r="C170" s="2" t="s">
        <v>51</v>
      </c>
      <c r="D170" s="2" t="s">
        <v>63</v>
      </c>
      <c r="E170" s="3" t="s">
        <v>730</v>
      </c>
      <c r="F170" s="3" t="s">
        <v>731</v>
      </c>
      <c r="G170" s="3" t="s">
        <v>732</v>
      </c>
      <c r="J170" s="7">
        <v>355521.61139999999</v>
      </c>
      <c r="K170" s="7">
        <v>216079.61929999999</v>
      </c>
      <c r="L170" s="7">
        <v>89.840999999999994</v>
      </c>
      <c r="M170" s="3">
        <f t="shared" si="16"/>
        <v>7.9599999997299165E-2</v>
      </c>
      <c r="N170" s="3">
        <f t="shared" si="16"/>
        <v>6.0299999982817098E-2</v>
      </c>
      <c r="O170" s="3">
        <f t="shared" si="12"/>
        <v>6.799999999999784E-2</v>
      </c>
      <c r="P170">
        <f t="shared" si="13"/>
        <v>6.3361599995700266E-3</v>
      </c>
      <c r="Q170">
        <f t="shared" si="13"/>
        <v>3.6360899979277421E-3</v>
      </c>
      <c r="R170">
        <f t="shared" si="13"/>
        <v>4.6239999999997065E-3</v>
      </c>
      <c r="S170">
        <f t="shared" si="14"/>
        <v>9.9722499974977692E-3</v>
      </c>
      <c r="T170">
        <f t="shared" si="15"/>
        <v>9.986115359586914E-2</v>
      </c>
    </row>
    <row r="171" spans="1:20" x14ac:dyDescent="0.3">
      <c r="A171" s="2" t="s">
        <v>1168</v>
      </c>
      <c r="B171" s="6" t="s">
        <v>714</v>
      </c>
      <c r="C171" s="2" t="s">
        <v>51</v>
      </c>
      <c r="D171" s="2" t="s">
        <v>30</v>
      </c>
      <c r="E171" s="3" t="s">
        <v>733</v>
      </c>
      <c r="F171" s="3" t="s">
        <v>734</v>
      </c>
      <c r="G171" s="3" t="s">
        <v>735</v>
      </c>
      <c r="J171" s="7">
        <v>355521.61139999999</v>
      </c>
      <c r="K171" s="7">
        <v>216079.61929999999</v>
      </c>
      <c r="L171" s="7">
        <v>89.840999999999994</v>
      </c>
      <c r="M171" s="3">
        <f t="shared" si="16"/>
        <v>8.4600000001955777E-2</v>
      </c>
      <c r="N171" s="3">
        <f t="shared" si="16"/>
        <v>5.6899999995948747E-2</v>
      </c>
      <c r="O171" s="3">
        <f t="shared" si="12"/>
        <v>4.0999999999996817E-2</v>
      </c>
      <c r="P171">
        <f t="shared" si="13"/>
        <v>7.1571600003309177E-3</v>
      </c>
      <c r="Q171">
        <f t="shared" si="13"/>
        <v>3.2376099995389675E-3</v>
      </c>
      <c r="R171">
        <f t="shared" si="13"/>
        <v>1.6809999999997389E-3</v>
      </c>
      <c r="S171">
        <f t="shared" si="14"/>
        <v>1.0394769999869885E-2</v>
      </c>
      <c r="T171">
        <f t="shared" si="15"/>
        <v>0.10195474486197238</v>
      </c>
    </row>
    <row r="172" spans="1:20" x14ac:dyDescent="0.3">
      <c r="A172" s="2" t="s">
        <v>1168</v>
      </c>
      <c r="B172" s="6" t="s">
        <v>714</v>
      </c>
      <c r="C172" s="2" t="s">
        <v>51</v>
      </c>
      <c r="D172" s="2" t="s">
        <v>52</v>
      </c>
      <c r="E172" s="3" t="s">
        <v>736</v>
      </c>
      <c r="F172" s="3" t="s">
        <v>737</v>
      </c>
      <c r="G172" s="3" t="s">
        <v>738</v>
      </c>
      <c r="J172" s="7">
        <v>355521.61139999999</v>
      </c>
      <c r="K172" s="7">
        <v>216079.61929999999</v>
      </c>
      <c r="L172" s="7">
        <v>89.840999999999994</v>
      </c>
      <c r="M172" s="3">
        <f t="shared" si="16"/>
        <v>8.1599999975878745E-2</v>
      </c>
      <c r="N172" s="3">
        <f t="shared" si="16"/>
        <v>5.8499999984633178E-2</v>
      </c>
      <c r="O172" s="3">
        <f t="shared" si="12"/>
        <v>3.299999999998704E-2</v>
      </c>
      <c r="P172">
        <f t="shared" si="13"/>
        <v>6.6585599960634111E-3</v>
      </c>
      <c r="Q172">
        <f t="shared" si="13"/>
        <v>3.4222499982020818E-3</v>
      </c>
      <c r="R172">
        <f t="shared" si="13"/>
        <v>1.0889999999991447E-3</v>
      </c>
      <c r="S172">
        <f t="shared" si="14"/>
        <v>1.0080809994265492E-2</v>
      </c>
      <c r="T172">
        <f t="shared" si="15"/>
        <v>0.10040323697105334</v>
      </c>
    </row>
    <row r="173" spans="1:20" x14ac:dyDescent="0.3">
      <c r="A173" s="2" t="s">
        <v>1168</v>
      </c>
      <c r="B173" s="6" t="s">
        <v>714</v>
      </c>
      <c r="C173" s="2" t="s">
        <v>422</v>
      </c>
      <c r="D173" s="2" t="s">
        <v>423</v>
      </c>
      <c r="E173" s="3" t="s">
        <v>739</v>
      </c>
      <c r="F173" s="3" t="s">
        <v>740</v>
      </c>
      <c r="G173" s="3" t="s">
        <v>741</v>
      </c>
      <c r="J173" s="7">
        <v>355521.61139999999</v>
      </c>
      <c r="K173" s="7">
        <v>216079.61929999999</v>
      </c>
      <c r="L173" s="7">
        <v>89.840999999999994</v>
      </c>
      <c r="M173" s="3">
        <f t="shared" si="16"/>
        <v>7.3800000012852252E-2</v>
      </c>
      <c r="N173" s="3">
        <f t="shared" si="16"/>
        <v>6.2000000005355105E-2</v>
      </c>
      <c r="O173" s="3">
        <f t="shared" si="12"/>
        <v>6.6000000000002501E-2</v>
      </c>
      <c r="P173">
        <f t="shared" si="13"/>
        <v>5.4464400018969924E-3</v>
      </c>
      <c r="Q173">
        <f t="shared" si="13"/>
        <v>3.8440000006640328E-3</v>
      </c>
      <c r="R173">
        <f t="shared" si="13"/>
        <v>4.3560000000003301E-3</v>
      </c>
      <c r="S173">
        <f t="shared" si="14"/>
        <v>9.2904400025610248E-3</v>
      </c>
      <c r="T173">
        <f t="shared" si="15"/>
        <v>9.638692858765148E-2</v>
      </c>
    </row>
    <row r="174" spans="1:20" x14ac:dyDescent="0.3">
      <c r="A174" s="2" t="s">
        <v>1168</v>
      </c>
      <c r="B174" s="6" t="s">
        <v>742</v>
      </c>
      <c r="C174" s="2" t="s">
        <v>20</v>
      </c>
      <c r="D174" s="2" t="s">
        <v>30</v>
      </c>
      <c r="E174" s="3" t="s">
        <v>743</v>
      </c>
      <c r="F174" s="3" t="s">
        <v>744</v>
      </c>
      <c r="G174" s="3" t="s">
        <v>745</v>
      </c>
      <c r="J174" s="5" t="s">
        <v>746</v>
      </c>
      <c r="K174" s="5" t="s">
        <v>747</v>
      </c>
      <c r="L174" s="5" t="s">
        <v>748</v>
      </c>
      <c r="M174" s="3">
        <f t="shared" si="16"/>
        <v>5.9800000046379864E-2</v>
      </c>
      <c r="N174" s="3">
        <f t="shared" si="16"/>
        <v>3.579999998328276E-2</v>
      </c>
      <c r="O174" s="3">
        <f t="shared" si="12"/>
        <v>1.0000000000331966E-4</v>
      </c>
      <c r="P174">
        <f t="shared" si="13"/>
        <v>3.576040005547032E-3</v>
      </c>
      <c r="Q174">
        <f t="shared" si="13"/>
        <v>1.2816399988030457E-3</v>
      </c>
      <c r="R174">
        <f t="shared" si="13"/>
        <v>1.0000000000663932E-8</v>
      </c>
      <c r="S174">
        <f t="shared" si="14"/>
        <v>4.8576800043500772E-3</v>
      </c>
      <c r="T174">
        <f t="shared" si="15"/>
        <v>6.9697058792678457E-2</v>
      </c>
    </row>
    <row r="175" spans="1:20" x14ac:dyDescent="0.3">
      <c r="A175" s="2" t="s">
        <v>1168</v>
      </c>
      <c r="B175" s="6" t="s">
        <v>742</v>
      </c>
      <c r="C175" s="2" t="s">
        <v>20</v>
      </c>
      <c r="D175" s="2" t="s">
        <v>21</v>
      </c>
      <c r="E175" s="3" t="s">
        <v>749</v>
      </c>
      <c r="F175" s="3" t="s">
        <v>750</v>
      </c>
      <c r="G175" s="3" t="s">
        <v>751</v>
      </c>
      <c r="J175" s="5" t="s">
        <v>746</v>
      </c>
      <c r="K175" s="5" t="s">
        <v>747</v>
      </c>
      <c r="L175" s="5" t="s">
        <v>748</v>
      </c>
      <c r="M175" s="3">
        <f t="shared" si="16"/>
        <v>6.4200000022538006E-2</v>
      </c>
      <c r="N175" s="3">
        <f t="shared" si="16"/>
        <v>3.6499999987427145E-2</v>
      </c>
      <c r="O175" s="3">
        <f t="shared" si="12"/>
        <v>1.089999999999236E-2</v>
      </c>
      <c r="P175">
        <f t="shared" si="13"/>
        <v>4.1216400028938798E-3</v>
      </c>
      <c r="Q175">
        <f t="shared" si="13"/>
        <v>1.3322499990821815E-3</v>
      </c>
      <c r="R175">
        <f t="shared" si="13"/>
        <v>1.1880999999983345E-4</v>
      </c>
      <c r="S175">
        <f t="shared" si="14"/>
        <v>5.4538900019760611E-3</v>
      </c>
      <c r="T175">
        <f t="shared" si="15"/>
        <v>7.3850457019412286E-2</v>
      </c>
    </row>
    <row r="176" spans="1:20" x14ac:dyDescent="0.3">
      <c r="A176" s="2" t="s">
        <v>1168</v>
      </c>
      <c r="B176" s="6" t="s">
        <v>752</v>
      </c>
      <c r="C176" s="2" t="s">
        <v>20</v>
      </c>
      <c r="D176" s="2" t="s">
        <v>110</v>
      </c>
      <c r="E176" s="3" t="s">
        <v>753</v>
      </c>
      <c r="F176" s="3" t="s">
        <v>754</v>
      </c>
      <c r="G176" s="3" t="s">
        <v>755</v>
      </c>
      <c r="J176" s="5" t="s">
        <v>756</v>
      </c>
      <c r="K176" s="5" t="s">
        <v>757</v>
      </c>
      <c r="L176" s="5" t="s">
        <v>748</v>
      </c>
      <c r="M176" s="3">
        <f t="shared" si="16"/>
        <v>5.4999999993015081E-2</v>
      </c>
      <c r="N176" s="3">
        <f t="shared" si="16"/>
        <v>2.4499999999534339E-2</v>
      </c>
      <c r="O176" s="3">
        <f t="shared" si="12"/>
        <v>2.7899999999988268E-2</v>
      </c>
      <c r="P176">
        <f t="shared" si="13"/>
        <v>3.0249999992316588E-3</v>
      </c>
      <c r="Q176">
        <f t="shared" si="13"/>
        <v>6.0024999997718262E-4</v>
      </c>
      <c r="R176">
        <f t="shared" si="13"/>
        <v>7.7840999999934535E-4</v>
      </c>
      <c r="S176">
        <f t="shared" si="14"/>
        <v>3.6252499992088412E-3</v>
      </c>
      <c r="T176">
        <f t="shared" si="15"/>
        <v>6.0210048988593598E-2</v>
      </c>
    </row>
    <row r="177" spans="1:20" x14ac:dyDescent="0.3">
      <c r="A177" s="2" t="s">
        <v>1168</v>
      </c>
      <c r="B177" s="6" t="s">
        <v>752</v>
      </c>
      <c r="C177" s="2" t="s">
        <v>20</v>
      </c>
      <c r="D177" s="2" t="s">
        <v>37</v>
      </c>
      <c r="E177" s="3" t="s">
        <v>758</v>
      </c>
      <c r="F177" s="3" t="s">
        <v>759</v>
      </c>
      <c r="G177" s="3" t="s">
        <v>760</v>
      </c>
      <c r="J177" s="5" t="s">
        <v>756</v>
      </c>
      <c r="K177" s="5" t="s">
        <v>757</v>
      </c>
      <c r="L177" s="5" t="s">
        <v>748</v>
      </c>
      <c r="M177" s="3">
        <f t="shared" si="16"/>
        <v>4.470000002766028E-2</v>
      </c>
      <c r="N177" s="3">
        <f t="shared" si="16"/>
        <v>2.9199999989941716E-2</v>
      </c>
      <c r="O177" s="3">
        <f t="shared" si="12"/>
        <v>6.9000000000016826E-3</v>
      </c>
      <c r="P177">
        <f t="shared" si="13"/>
        <v>1.9980900024728289E-3</v>
      </c>
      <c r="Q177">
        <f t="shared" si="13"/>
        <v>8.5263999941259617E-4</v>
      </c>
      <c r="R177">
        <f t="shared" si="13"/>
        <v>4.7610000000023222E-5</v>
      </c>
      <c r="S177">
        <f t="shared" si="14"/>
        <v>2.8507300018854251E-3</v>
      </c>
      <c r="T177">
        <f t="shared" si="15"/>
        <v>5.3392227916480739E-2</v>
      </c>
    </row>
    <row r="178" spans="1:20" x14ac:dyDescent="0.3">
      <c r="A178" s="2" t="s">
        <v>1168</v>
      </c>
      <c r="B178" s="6" t="s">
        <v>752</v>
      </c>
      <c r="C178" s="2" t="s">
        <v>20</v>
      </c>
      <c r="D178" s="2" t="s">
        <v>46</v>
      </c>
      <c r="E178" s="3" t="s">
        <v>761</v>
      </c>
      <c r="F178" s="3" t="s">
        <v>762</v>
      </c>
      <c r="G178" s="3" t="s">
        <v>763</v>
      </c>
      <c r="J178" s="5" t="s">
        <v>756</v>
      </c>
      <c r="K178" s="5" t="s">
        <v>757</v>
      </c>
      <c r="L178" s="5" t="s">
        <v>748</v>
      </c>
      <c r="M178" s="3">
        <f t="shared" si="16"/>
        <v>4.390000004786998E-2</v>
      </c>
      <c r="N178" s="3">
        <f t="shared" si="16"/>
        <v>2.5399999984074384E-2</v>
      </c>
      <c r="O178" s="3">
        <f t="shared" si="12"/>
        <v>2.189999999998804E-2</v>
      </c>
      <c r="P178">
        <f t="shared" si="13"/>
        <v>1.9272100042029843E-3</v>
      </c>
      <c r="Q178">
        <f t="shared" si="13"/>
        <v>6.4515999919097873E-4</v>
      </c>
      <c r="R178">
        <f t="shared" si="13"/>
        <v>4.7960999999947616E-4</v>
      </c>
      <c r="S178">
        <f t="shared" si="14"/>
        <v>2.5723700033939631E-3</v>
      </c>
      <c r="T178">
        <f t="shared" si="15"/>
        <v>5.071853707860631E-2</v>
      </c>
    </row>
    <row r="179" spans="1:20" x14ac:dyDescent="0.3">
      <c r="A179" s="2" t="s">
        <v>1168</v>
      </c>
      <c r="B179" s="6" t="s">
        <v>752</v>
      </c>
      <c r="C179" s="2" t="s">
        <v>51</v>
      </c>
      <c r="D179" s="2" t="s">
        <v>63</v>
      </c>
      <c r="E179" s="3" t="s">
        <v>764</v>
      </c>
      <c r="F179" s="3" t="s">
        <v>765</v>
      </c>
      <c r="G179" s="3" t="s">
        <v>766</v>
      </c>
      <c r="J179" s="5" t="s">
        <v>756</v>
      </c>
      <c r="K179" s="5" t="s">
        <v>757</v>
      </c>
      <c r="L179" s="5" t="s">
        <v>748</v>
      </c>
      <c r="M179" s="3">
        <f t="shared" si="16"/>
        <v>7.2600000014062971E-2</v>
      </c>
      <c r="N179" s="3">
        <f t="shared" si="16"/>
        <v>2.2399999987101182E-2</v>
      </c>
      <c r="O179" s="3">
        <f t="shared" si="12"/>
        <v>6.100000000003547E-3</v>
      </c>
      <c r="P179">
        <f t="shared" si="13"/>
        <v>5.2707600020419432E-3</v>
      </c>
      <c r="Q179">
        <f t="shared" si="13"/>
        <v>5.01759999422133E-4</v>
      </c>
      <c r="R179">
        <f t="shared" si="13"/>
        <v>3.7210000000043271E-5</v>
      </c>
      <c r="S179">
        <f t="shared" si="14"/>
        <v>5.772520001464076E-3</v>
      </c>
      <c r="T179">
        <f t="shared" si="15"/>
        <v>7.5977101823273538E-2</v>
      </c>
    </row>
    <row r="180" spans="1:20" x14ac:dyDescent="0.3">
      <c r="A180" s="2" t="s">
        <v>1168</v>
      </c>
      <c r="B180" s="6" t="s">
        <v>752</v>
      </c>
      <c r="C180" s="2" t="s">
        <v>51</v>
      </c>
      <c r="D180" s="2" t="s">
        <v>30</v>
      </c>
      <c r="E180" s="3" t="s">
        <v>767</v>
      </c>
      <c r="F180" s="3" t="s">
        <v>768</v>
      </c>
      <c r="G180" s="3" t="s">
        <v>769</v>
      </c>
      <c r="J180" s="5" t="s">
        <v>756</v>
      </c>
      <c r="K180" s="5" t="s">
        <v>757</v>
      </c>
      <c r="L180" s="5" t="s">
        <v>748</v>
      </c>
      <c r="M180" s="3">
        <f t="shared" si="16"/>
        <v>7.3300000047311187E-2</v>
      </c>
      <c r="N180" s="3">
        <f t="shared" si="16"/>
        <v>2.3199999995995313E-2</v>
      </c>
      <c r="O180" s="3">
        <f t="shared" si="12"/>
        <v>3.6900000000002819E-2</v>
      </c>
      <c r="P180">
        <f t="shared" si="13"/>
        <v>5.3728900069358199E-3</v>
      </c>
      <c r="Q180">
        <f t="shared" si="13"/>
        <v>5.3823999981418254E-4</v>
      </c>
      <c r="R180">
        <f t="shared" si="13"/>
        <v>1.361610000000208E-3</v>
      </c>
      <c r="S180">
        <f t="shared" si="14"/>
        <v>5.9111300067500021E-3</v>
      </c>
      <c r="T180">
        <f t="shared" si="15"/>
        <v>7.6883873515516912E-2</v>
      </c>
    </row>
    <row r="181" spans="1:20" x14ac:dyDescent="0.3">
      <c r="A181" s="2" t="s">
        <v>1168</v>
      </c>
      <c r="B181" s="6" t="s">
        <v>752</v>
      </c>
      <c r="C181" s="2" t="s">
        <v>51</v>
      </c>
      <c r="D181" s="2" t="s">
        <v>52</v>
      </c>
      <c r="E181" s="3" t="s">
        <v>770</v>
      </c>
      <c r="F181" s="3" t="s">
        <v>771</v>
      </c>
      <c r="G181" s="3" t="s">
        <v>772</v>
      </c>
      <c r="J181" s="5" t="s">
        <v>756</v>
      </c>
      <c r="K181" s="5" t="s">
        <v>757</v>
      </c>
      <c r="L181" s="5" t="s">
        <v>748</v>
      </c>
      <c r="M181" s="3">
        <f t="shared" si="16"/>
        <v>6.8599999998696148E-2</v>
      </c>
      <c r="N181" s="3">
        <f t="shared" si="16"/>
        <v>3.539999999338761E-2</v>
      </c>
      <c r="O181" s="3">
        <f t="shared" si="12"/>
        <v>5.3899999999998727E-2</v>
      </c>
      <c r="P181">
        <f t="shared" si="13"/>
        <v>4.7059599998211113E-3</v>
      </c>
      <c r="Q181">
        <f t="shared" si="13"/>
        <v>1.2531599995318427E-3</v>
      </c>
      <c r="R181">
        <f t="shared" si="13"/>
        <v>2.9052099999998626E-3</v>
      </c>
      <c r="S181">
        <f t="shared" si="14"/>
        <v>5.9591199993529543E-3</v>
      </c>
      <c r="T181">
        <f t="shared" si="15"/>
        <v>7.7195336642526244E-2</v>
      </c>
    </row>
    <row r="182" spans="1:20" x14ac:dyDescent="0.3">
      <c r="A182" s="2" t="s">
        <v>1168</v>
      </c>
      <c r="B182" s="6" t="s">
        <v>773</v>
      </c>
      <c r="C182" s="2" t="s">
        <v>20</v>
      </c>
      <c r="D182" s="2" t="s">
        <v>30</v>
      </c>
      <c r="E182" s="3" t="s">
        <v>774</v>
      </c>
      <c r="F182" s="3" t="s">
        <v>775</v>
      </c>
      <c r="G182" s="3" t="s">
        <v>776</v>
      </c>
      <c r="J182" s="5" t="s">
        <v>777</v>
      </c>
      <c r="K182" s="5" t="s">
        <v>778</v>
      </c>
      <c r="L182" s="5" t="s">
        <v>779</v>
      </c>
      <c r="M182" s="3">
        <f t="shared" si="16"/>
        <v>1.7000000225380063E-3</v>
      </c>
      <c r="N182" s="3">
        <f t="shared" si="16"/>
        <v>-0.14500000001862645</v>
      </c>
      <c r="O182" s="3">
        <f t="shared" si="12"/>
        <v>2.9799999999994498E-2</v>
      </c>
      <c r="P182">
        <f t="shared" si="13"/>
        <v>2.8900000766292219E-6</v>
      </c>
      <c r="Q182">
        <f t="shared" si="13"/>
        <v>2.1025000005401671E-2</v>
      </c>
      <c r="R182">
        <f t="shared" si="13"/>
        <v>8.8803999999967202E-4</v>
      </c>
      <c r="S182">
        <f t="shared" si="14"/>
        <v>2.1027890005478299E-2</v>
      </c>
      <c r="T182">
        <f t="shared" si="15"/>
        <v>0.14500996519370074</v>
      </c>
    </row>
    <row r="183" spans="1:20" x14ac:dyDescent="0.3">
      <c r="A183" s="2" t="s">
        <v>1168</v>
      </c>
      <c r="B183" s="6" t="s">
        <v>773</v>
      </c>
      <c r="C183" s="2" t="s">
        <v>20</v>
      </c>
      <c r="D183" s="2" t="s">
        <v>21</v>
      </c>
      <c r="E183" s="3" t="s">
        <v>780</v>
      </c>
      <c r="F183" s="3" t="s">
        <v>781</v>
      </c>
      <c r="G183" s="3" t="s">
        <v>782</v>
      </c>
      <c r="J183" s="5" t="s">
        <v>777</v>
      </c>
      <c r="K183" s="5" t="s">
        <v>778</v>
      </c>
      <c r="L183" s="5" t="s">
        <v>779</v>
      </c>
      <c r="M183" s="3">
        <f t="shared" si="16"/>
        <v>3.1999999773688614E-3</v>
      </c>
      <c r="N183" s="3">
        <f t="shared" si="16"/>
        <v>-0.14430000001448207</v>
      </c>
      <c r="O183" s="3">
        <f t="shared" si="12"/>
        <v>2.5799999999975398E-2</v>
      </c>
      <c r="P183">
        <f t="shared" si="13"/>
        <v>1.0239999855160714E-5</v>
      </c>
      <c r="Q183">
        <f t="shared" si="13"/>
        <v>2.0822490004179524E-2</v>
      </c>
      <c r="R183">
        <f t="shared" si="13"/>
        <v>6.6563999999873051E-4</v>
      </c>
      <c r="S183">
        <f t="shared" si="14"/>
        <v>2.0832730004034683E-2</v>
      </c>
      <c r="T183">
        <f t="shared" si="15"/>
        <v>0.14433547728827686</v>
      </c>
    </row>
    <row r="184" spans="1:20" x14ac:dyDescent="0.3">
      <c r="A184" s="2" t="s">
        <v>1168</v>
      </c>
      <c r="B184" s="6" t="s">
        <v>783</v>
      </c>
      <c r="C184" s="2" t="s">
        <v>20</v>
      </c>
      <c r="D184" s="2" t="s">
        <v>110</v>
      </c>
      <c r="E184" s="3" t="s">
        <v>784</v>
      </c>
      <c r="F184" s="3" t="s">
        <v>785</v>
      </c>
      <c r="G184" s="3" t="s">
        <v>786</v>
      </c>
      <c r="J184" s="5" t="s">
        <v>787</v>
      </c>
      <c r="K184" s="5" t="s">
        <v>788</v>
      </c>
      <c r="L184" s="5" t="s">
        <v>779</v>
      </c>
      <c r="M184" s="3">
        <f t="shared" si="16"/>
        <v>8.6000000010244548E-3</v>
      </c>
      <c r="N184" s="3">
        <f t="shared" si="16"/>
        <v>-0.14440000001923181</v>
      </c>
      <c r="O184" s="3">
        <f t="shared" si="12"/>
        <v>1.5799999999984493E-2</v>
      </c>
      <c r="P184">
        <f t="shared" si="13"/>
        <v>7.396000001762062E-5</v>
      </c>
      <c r="Q184">
        <f t="shared" si="13"/>
        <v>2.0851360005554147E-2</v>
      </c>
      <c r="R184">
        <f t="shared" si="13"/>
        <v>2.4963999999950997E-4</v>
      </c>
      <c r="S184">
        <f t="shared" si="14"/>
        <v>2.0925320005571766E-2</v>
      </c>
      <c r="T184">
        <f t="shared" si="15"/>
        <v>0.14465586751173201</v>
      </c>
    </row>
    <row r="185" spans="1:20" x14ac:dyDescent="0.3">
      <c r="A185" s="2" t="s">
        <v>1168</v>
      </c>
      <c r="B185" s="6" t="s">
        <v>783</v>
      </c>
      <c r="C185" s="2" t="s">
        <v>20</v>
      </c>
      <c r="D185" s="2" t="s">
        <v>37</v>
      </c>
      <c r="E185" s="3" t="s">
        <v>789</v>
      </c>
      <c r="F185" s="3" t="s">
        <v>790</v>
      </c>
      <c r="G185" s="3" t="s">
        <v>791</v>
      </c>
      <c r="J185" s="5" t="s">
        <v>787</v>
      </c>
      <c r="K185" s="5" t="s">
        <v>788</v>
      </c>
      <c r="L185" s="5" t="s">
        <v>779</v>
      </c>
      <c r="M185" s="3">
        <f t="shared" si="16"/>
        <v>2.1999999997206032E-2</v>
      </c>
      <c r="N185" s="3">
        <f t="shared" si="16"/>
        <v>-0.14610000001266599</v>
      </c>
      <c r="O185" s="3">
        <f t="shared" si="12"/>
        <v>1.279999999999859E-2</v>
      </c>
      <c r="P185">
        <f t="shared" si="13"/>
        <v>4.8399999987706541E-4</v>
      </c>
      <c r="Q185">
        <f t="shared" si="13"/>
        <v>2.1345210003701001E-2</v>
      </c>
      <c r="R185">
        <f t="shared" si="13"/>
        <v>1.638399999999639E-4</v>
      </c>
      <c r="S185">
        <f t="shared" si="14"/>
        <v>2.1829210003578067E-2</v>
      </c>
      <c r="T185">
        <f t="shared" si="15"/>
        <v>0.14774711504316443</v>
      </c>
    </row>
    <row r="186" spans="1:20" x14ac:dyDescent="0.3">
      <c r="A186" s="2" t="s">
        <v>1168</v>
      </c>
      <c r="B186" s="6" t="s">
        <v>783</v>
      </c>
      <c r="C186" s="2" t="s">
        <v>20</v>
      </c>
      <c r="D186" s="2" t="s">
        <v>46</v>
      </c>
      <c r="E186" s="3" t="s">
        <v>792</v>
      </c>
      <c r="F186" s="3" t="s">
        <v>775</v>
      </c>
      <c r="G186" s="3" t="s">
        <v>793</v>
      </c>
      <c r="J186" s="5" t="s">
        <v>787</v>
      </c>
      <c r="K186" s="5" t="s">
        <v>788</v>
      </c>
      <c r="L186" s="5" t="s">
        <v>779</v>
      </c>
      <c r="M186" s="3">
        <f t="shared" si="16"/>
        <v>8.9000000152736902E-3</v>
      </c>
      <c r="N186" s="3">
        <f t="shared" si="16"/>
        <v>-0.14500000001862645</v>
      </c>
      <c r="O186" s="3">
        <f t="shared" si="12"/>
        <v>1.1799999999993815E-2</v>
      </c>
      <c r="P186">
        <f t="shared" si="13"/>
        <v>7.9210000271871686E-5</v>
      </c>
      <c r="Q186">
        <f t="shared" si="13"/>
        <v>2.1025000005401671E-2</v>
      </c>
      <c r="R186">
        <f t="shared" si="13"/>
        <v>1.3923999999985404E-4</v>
      </c>
      <c r="S186">
        <f t="shared" si="14"/>
        <v>2.1104210005673543E-2</v>
      </c>
      <c r="T186">
        <f t="shared" si="15"/>
        <v>0.1452728811777117</v>
      </c>
    </row>
    <row r="187" spans="1:20" x14ac:dyDescent="0.3">
      <c r="A187" s="2" t="s">
        <v>1168</v>
      </c>
      <c r="B187" s="6" t="s">
        <v>783</v>
      </c>
      <c r="C187" s="2" t="s">
        <v>51</v>
      </c>
      <c r="D187" s="2" t="s">
        <v>63</v>
      </c>
      <c r="E187" s="3" t="s">
        <v>794</v>
      </c>
      <c r="F187" s="3" t="s">
        <v>795</v>
      </c>
      <c r="G187" s="3" t="s">
        <v>796</v>
      </c>
      <c r="J187" s="5" t="s">
        <v>787</v>
      </c>
      <c r="K187" s="5" t="s">
        <v>788</v>
      </c>
      <c r="L187" s="5" t="s">
        <v>779</v>
      </c>
      <c r="M187" s="3">
        <f t="shared" si="16"/>
        <v>7.7000000164844096E-3</v>
      </c>
      <c r="N187" s="3">
        <f t="shared" si="16"/>
        <v>-0.13750000001164153</v>
      </c>
      <c r="O187" s="3">
        <f t="shared" si="12"/>
        <v>9.5799999999996999E-2</v>
      </c>
      <c r="P187">
        <f t="shared" si="13"/>
        <v>5.9290000253859904E-5</v>
      </c>
      <c r="Q187">
        <f t="shared" si="13"/>
        <v>1.8906250003201421E-2</v>
      </c>
      <c r="R187">
        <f t="shared" si="13"/>
        <v>9.1776399999994249E-3</v>
      </c>
      <c r="S187">
        <f t="shared" si="14"/>
        <v>1.8965540003455281E-2</v>
      </c>
      <c r="T187">
        <f t="shared" si="15"/>
        <v>0.13771543124666633</v>
      </c>
    </row>
    <row r="188" spans="1:20" x14ac:dyDescent="0.3">
      <c r="A188" s="2" t="s">
        <v>1168</v>
      </c>
      <c r="B188" s="6" t="s">
        <v>783</v>
      </c>
      <c r="C188" s="2" t="s">
        <v>51</v>
      </c>
      <c r="D188" s="2" t="s">
        <v>30</v>
      </c>
      <c r="E188" s="3" t="s">
        <v>797</v>
      </c>
      <c r="F188" s="3" t="s">
        <v>798</v>
      </c>
      <c r="G188" s="3" t="s">
        <v>793</v>
      </c>
      <c r="J188" s="5" t="s">
        <v>787</v>
      </c>
      <c r="K188" s="5" t="s">
        <v>788</v>
      </c>
      <c r="L188" s="5" t="s">
        <v>779</v>
      </c>
      <c r="M188" s="3">
        <f t="shared" si="16"/>
        <v>3.9000000106170774E-3</v>
      </c>
      <c r="N188" s="3">
        <f t="shared" si="16"/>
        <v>-0.13330000001587905</v>
      </c>
      <c r="O188" s="3">
        <f t="shared" si="12"/>
        <v>1.1799999999993815E-2</v>
      </c>
      <c r="P188">
        <f t="shared" si="13"/>
        <v>1.5210000082813203E-5</v>
      </c>
      <c r="Q188">
        <f t="shared" si="13"/>
        <v>1.7768890004233356E-2</v>
      </c>
      <c r="R188">
        <f t="shared" si="13"/>
        <v>1.3923999999985404E-4</v>
      </c>
      <c r="S188">
        <f t="shared" si="14"/>
        <v>1.778410000431617E-2</v>
      </c>
      <c r="T188">
        <f t="shared" si="15"/>
        <v>0.13335703957540512</v>
      </c>
    </row>
    <row r="189" spans="1:20" x14ac:dyDescent="0.3">
      <c r="A189" s="2" t="s">
        <v>1168</v>
      </c>
      <c r="B189" s="6" t="s">
        <v>783</v>
      </c>
      <c r="C189" s="2" t="s">
        <v>51</v>
      </c>
      <c r="D189" s="2" t="s">
        <v>52</v>
      </c>
      <c r="E189" s="3" t="s">
        <v>799</v>
      </c>
      <c r="F189" s="3" t="s">
        <v>800</v>
      </c>
      <c r="G189" s="3" t="s">
        <v>801</v>
      </c>
      <c r="J189" s="5" t="s">
        <v>787</v>
      </c>
      <c r="K189" s="5" t="s">
        <v>788</v>
      </c>
      <c r="L189" s="5" t="s">
        <v>779</v>
      </c>
      <c r="M189" s="3">
        <f t="shared" si="16"/>
        <v>1.049999997485429E-2</v>
      </c>
      <c r="N189" s="3">
        <f t="shared" si="16"/>
        <v>-0.13830000002053566</v>
      </c>
      <c r="O189" s="3">
        <f t="shared" si="12"/>
        <v>1.7799999999994043E-2</v>
      </c>
      <c r="P189">
        <f t="shared" si="13"/>
        <v>1.102499994719401E-4</v>
      </c>
      <c r="Q189">
        <f t="shared" si="13"/>
        <v>1.9126890005680165E-2</v>
      </c>
      <c r="R189">
        <f t="shared" si="13"/>
        <v>3.1683999999978791E-4</v>
      </c>
      <c r="S189">
        <f t="shared" si="14"/>
        <v>1.9237140005152104E-2</v>
      </c>
      <c r="T189">
        <f t="shared" si="15"/>
        <v>0.13869801730793452</v>
      </c>
    </row>
    <row r="190" spans="1:20" x14ac:dyDescent="0.3">
      <c r="A190" s="2" t="s">
        <v>1168</v>
      </c>
      <c r="B190" s="6" t="s">
        <v>783</v>
      </c>
      <c r="C190" s="2" t="s">
        <v>422</v>
      </c>
      <c r="D190" s="2" t="s">
        <v>423</v>
      </c>
      <c r="E190" s="3" t="s">
        <v>802</v>
      </c>
      <c r="F190" s="3" t="s">
        <v>803</v>
      </c>
      <c r="G190" s="3" t="s">
        <v>804</v>
      </c>
      <c r="J190" s="5" t="s">
        <v>787</v>
      </c>
      <c r="K190" s="5" t="s">
        <v>788</v>
      </c>
      <c r="L190" s="5" t="s">
        <v>779</v>
      </c>
      <c r="M190" s="3">
        <f t="shared" si="16"/>
        <v>5.5000000284053385E-3</v>
      </c>
      <c r="N190" s="3">
        <f t="shared" si="16"/>
        <v>-0.12520000000949949</v>
      </c>
      <c r="O190" s="3">
        <f t="shared" si="12"/>
        <v>0.17119999999999891</v>
      </c>
      <c r="P190">
        <f t="shared" si="13"/>
        <v>3.0250000312458725E-5</v>
      </c>
      <c r="Q190">
        <f t="shared" si="13"/>
        <v>1.5675040002378671E-2</v>
      </c>
      <c r="R190">
        <f t="shared" si="13"/>
        <v>2.9309439999999628E-2</v>
      </c>
      <c r="S190">
        <f t="shared" si="14"/>
        <v>1.5705290002691129E-2</v>
      </c>
      <c r="T190">
        <f t="shared" si="15"/>
        <v>0.12532074849238306</v>
      </c>
    </row>
    <row r="191" spans="1:20" x14ac:dyDescent="0.3">
      <c r="A191" s="2" t="s">
        <v>1168</v>
      </c>
      <c r="B191" s="6" t="s">
        <v>805</v>
      </c>
      <c r="C191" s="2" t="s">
        <v>20</v>
      </c>
      <c r="D191" s="2" t="s">
        <v>30</v>
      </c>
      <c r="E191" s="3" t="s">
        <v>806</v>
      </c>
      <c r="F191" s="3" t="s">
        <v>807</v>
      </c>
      <c r="G191" s="3" t="s">
        <v>808</v>
      </c>
      <c r="J191" s="5">
        <v>312765.5956</v>
      </c>
      <c r="K191" s="5">
        <v>229031.7292</v>
      </c>
      <c r="L191" s="5">
        <v>131.845</v>
      </c>
      <c r="M191" s="3">
        <f t="shared" si="16"/>
        <v>0.11080000002402812</v>
      </c>
      <c r="N191" s="3">
        <f t="shared" si="16"/>
        <v>-1.9000000029336661E-3</v>
      </c>
      <c r="O191" s="3">
        <f t="shared" si="12"/>
        <v>5.4000000000002046E-2</v>
      </c>
      <c r="P191">
        <f t="shared" si="13"/>
        <v>1.2276640005324631E-2</v>
      </c>
      <c r="Q191">
        <f t="shared" si="13"/>
        <v>3.6100000111479312E-6</v>
      </c>
      <c r="R191">
        <f t="shared" si="13"/>
        <v>2.9160000000002209E-3</v>
      </c>
      <c r="S191">
        <f t="shared" si="14"/>
        <v>1.228025000533578E-2</v>
      </c>
      <c r="T191">
        <f t="shared" si="15"/>
        <v>0.11081628944038768</v>
      </c>
    </row>
    <row r="192" spans="1:20" x14ac:dyDescent="0.3">
      <c r="A192" s="2" t="s">
        <v>1168</v>
      </c>
      <c r="B192" s="6" t="s">
        <v>805</v>
      </c>
      <c r="C192" s="2" t="s">
        <v>20</v>
      </c>
      <c r="D192" s="2" t="s">
        <v>21</v>
      </c>
      <c r="E192" s="3" t="s">
        <v>809</v>
      </c>
      <c r="F192" s="3" t="s">
        <v>810</v>
      </c>
      <c r="G192" s="3" t="s">
        <v>811</v>
      </c>
      <c r="J192" s="5">
        <v>312765.5956</v>
      </c>
      <c r="K192" s="5">
        <v>229031.7292</v>
      </c>
      <c r="L192" s="5">
        <v>131.845</v>
      </c>
      <c r="M192" s="3">
        <f t="shared" si="16"/>
        <v>0.11400000000139698</v>
      </c>
      <c r="N192" s="3">
        <f t="shared" si="16"/>
        <v>-8.4999999962747097E-3</v>
      </c>
      <c r="O192" s="3">
        <f t="shared" si="12"/>
        <v>6.2999999999988177E-2</v>
      </c>
      <c r="P192">
        <f t="shared" si="13"/>
        <v>1.2996000000318513E-2</v>
      </c>
      <c r="Q192">
        <f t="shared" si="13"/>
        <v>7.2249999936670065E-5</v>
      </c>
      <c r="R192">
        <f t="shared" si="13"/>
        <v>3.9689999999985102E-3</v>
      </c>
      <c r="S192">
        <f t="shared" si="14"/>
        <v>1.3068250000255183E-2</v>
      </c>
      <c r="T192">
        <f t="shared" si="15"/>
        <v>0.11431644676185131</v>
      </c>
    </row>
    <row r="193" spans="1:20" x14ac:dyDescent="0.3">
      <c r="A193" s="2" t="s">
        <v>1168</v>
      </c>
      <c r="B193" s="6" t="s">
        <v>812</v>
      </c>
      <c r="C193" s="2" t="s">
        <v>20</v>
      </c>
      <c r="D193" s="2" t="s">
        <v>110</v>
      </c>
      <c r="E193" s="3" t="s">
        <v>813</v>
      </c>
      <c r="F193" s="3" t="s">
        <v>814</v>
      </c>
      <c r="G193" s="3" t="s">
        <v>815</v>
      </c>
      <c r="J193" s="5">
        <v>312765.5956</v>
      </c>
      <c r="K193" s="5">
        <v>229031.7292</v>
      </c>
      <c r="L193" s="5">
        <v>131.845</v>
      </c>
      <c r="M193" s="3">
        <f t="shared" si="16"/>
        <v>0.11650000000372529</v>
      </c>
      <c r="N193" s="3">
        <f t="shared" si="16"/>
        <v>-1.3000000035390258E-3</v>
      </c>
      <c r="O193" s="3">
        <f t="shared" si="12"/>
        <v>6.3999999999992951E-2</v>
      </c>
      <c r="P193">
        <f t="shared" si="13"/>
        <v>1.3572250000867992E-2</v>
      </c>
      <c r="Q193">
        <f t="shared" si="13"/>
        <v>1.690000009201467E-6</v>
      </c>
      <c r="R193">
        <f t="shared" si="13"/>
        <v>4.0959999999990978E-3</v>
      </c>
      <c r="S193">
        <f t="shared" si="14"/>
        <v>1.3573940000877194E-2</v>
      </c>
      <c r="T193">
        <f t="shared" si="15"/>
        <v>0.11650725299687223</v>
      </c>
    </row>
    <row r="194" spans="1:20" x14ac:dyDescent="0.3">
      <c r="A194" s="2" t="s">
        <v>1168</v>
      </c>
      <c r="B194" s="6" t="s">
        <v>812</v>
      </c>
      <c r="C194" s="2" t="s">
        <v>20</v>
      </c>
      <c r="D194" s="2" t="s">
        <v>37</v>
      </c>
      <c r="E194" s="3" t="s">
        <v>816</v>
      </c>
      <c r="F194" s="3" t="s">
        <v>817</v>
      </c>
      <c r="G194" s="3" t="s">
        <v>818</v>
      </c>
      <c r="J194" s="5">
        <v>312765.5956</v>
      </c>
      <c r="K194" s="5">
        <v>229031.7292</v>
      </c>
      <c r="L194" s="5">
        <v>131.845</v>
      </c>
      <c r="M194" s="3">
        <f t="shared" si="16"/>
        <v>0.11849999998230487</v>
      </c>
      <c r="N194" s="3">
        <f t="shared" si="16"/>
        <v>-1.5899999998509884E-2</v>
      </c>
      <c r="O194" s="3">
        <f t="shared" si="12"/>
        <v>3.9999999999992042E-2</v>
      </c>
      <c r="P194">
        <f t="shared" si="13"/>
        <v>1.4042249995806255E-2</v>
      </c>
      <c r="Q194">
        <f t="shared" si="13"/>
        <v>2.5280999995261431E-4</v>
      </c>
      <c r="R194">
        <f t="shared" si="13"/>
        <v>1.5999999999993634E-3</v>
      </c>
      <c r="S194">
        <f t="shared" si="14"/>
        <v>1.429505999575887E-2</v>
      </c>
      <c r="T194">
        <f t="shared" si="15"/>
        <v>0.11956195045146625</v>
      </c>
    </row>
    <row r="195" spans="1:20" x14ac:dyDescent="0.3">
      <c r="A195" s="2" t="s">
        <v>1168</v>
      </c>
      <c r="B195" s="6" t="s">
        <v>812</v>
      </c>
      <c r="C195" s="2" t="s">
        <v>20</v>
      </c>
      <c r="D195" s="2" t="s">
        <v>46</v>
      </c>
      <c r="E195" s="3" t="s">
        <v>819</v>
      </c>
      <c r="F195" s="3" t="s">
        <v>820</v>
      </c>
      <c r="G195" s="3" t="s">
        <v>821</v>
      </c>
      <c r="J195" s="5">
        <v>312765.5956</v>
      </c>
      <c r="K195" s="5">
        <v>229031.7292</v>
      </c>
      <c r="L195" s="5">
        <v>131.845</v>
      </c>
      <c r="M195" s="3">
        <f t="shared" si="16"/>
        <v>0.11440000002039596</v>
      </c>
      <c r="N195" s="3">
        <f t="shared" si="16"/>
        <v>-7.299999997485429E-3</v>
      </c>
      <c r="O195" s="3">
        <f t="shared" ref="O195:O258" si="17">ABS(L195-G195)</f>
        <v>5.0999999999987722E-2</v>
      </c>
      <c r="P195">
        <f t="shared" ref="P195:R258" si="18">POWER(M195,2)</f>
        <v>1.3087360004666596E-2</v>
      </c>
      <c r="Q195">
        <f t="shared" si="18"/>
        <v>5.3289999963287261E-5</v>
      </c>
      <c r="R195">
        <f t="shared" si="18"/>
        <v>2.6009999999987475E-3</v>
      </c>
      <c r="S195">
        <f t="shared" ref="S195:S258" si="19">P195+Q195</f>
        <v>1.3140650004629884E-2</v>
      </c>
      <c r="T195">
        <f t="shared" ref="T195:T258" si="20">SQRT(S195)</f>
        <v>0.11463267424530357</v>
      </c>
    </row>
    <row r="196" spans="1:20" x14ac:dyDescent="0.3">
      <c r="A196" s="2" t="s">
        <v>1168</v>
      </c>
      <c r="B196" s="6" t="s">
        <v>812</v>
      </c>
      <c r="C196" s="2" t="s">
        <v>51</v>
      </c>
      <c r="D196" s="2" t="s">
        <v>63</v>
      </c>
      <c r="E196" s="3" t="s">
        <v>822</v>
      </c>
      <c r="F196" s="3" t="s">
        <v>823</v>
      </c>
      <c r="G196" s="3" t="s">
        <v>824</v>
      </c>
      <c r="J196" s="5">
        <v>312765.5956</v>
      </c>
      <c r="K196" s="5">
        <v>229031.7292</v>
      </c>
      <c r="L196" s="5">
        <v>131.845</v>
      </c>
      <c r="M196" s="3">
        <f t="shared" si="16"/>
        <v>0.11450000002514571</v>
      </c>
      <c r="N196" s="3">
        <f t="shared" si="16"/>
        <v>-8.0000000016298145E-3</v>
      </c>
      <c r="O196" s="3">
        <f t="shared" si="17"/>
        <v>1.300000000000523E-2</v>
      </c>
      <c r="P196">
        <f t="shared" si="18"/>
        <v>1.3110250005758368E-2</v>
      </c>
      <c r="Q196">
        <f t="shared" si="18"/>
        <v>6.4000000026077038E-5</v>
      </c>
      <c r="R196">
        <f t="shared" si="18"/>
        <v>1.6900000000013597E-4</v>
      </c>
      <c r="S196">
        <f t="shared" si="19"/>
        <v>1.3174250005784444E-2</v>
      </c>
      <c r="T196">
        <f t="shared" si="20"/>
        <v>0.11477913575987773</v>
      </c>
    </row>
    <row r="197" spans="1:20" x14ac:dyDescent="0.3">
      <c r="A197" s="2" t="s">
        <v>1168</v>
      </c>
      <c r="B197" s="6" t="s">
        <v>812</v>
      </c>
      <c r="C197" s="2" t="s">
        <v>51</v>
      </c>
      <c r="D197" s="2" t="s">
        <v>30</v>
      </c>
      <c r="E197" s="3" t="s">
        <v>825</v>
      </c>
      <c r="F197" s="3" t="s">
        <v>826</v>
      </c>
      <c r="G197" s="3" t="s">
        <v>827</v>
      </c>
      <c r="J197" s="5">
        <v>312765.5956</v>
      </c>
      <c r="K197" s="5">
        <v>229031.7292</v>
      </c>
      <c r="L197" s="5">
        <v>131.845</v>
      </c>
      <c r="M197" s="3">
        <f t="shared" si="16"/>
        <v>0.10149999998975545</v>
      </c>
      <c r="N197" s="3">
        <f t="shared" si="16"/>
        <v>2.0000000076834112E-3</v>
      </c>
      <c r="O197" s="3">
        <f t="shared" si="17"/>
        <v>3.9999999999906777E-3</v>
      </c>
      <c r="P197">
        <f t="shared" si="18"/>
        <v>1.0302249997920357E-2</v>
      </c>
      <c r="Q197">
        <f t="shared" si="18"/>
        <v>4.000000030733645E-6</v>
      </c>
      <c r="R197">
        <f t="shared" si="18"/>
        <v>1.5999999999925423E-5</v>
      </c>
      <c r="S197">
        <f t="shared" si="19"/>
        <v>1.030624999795109E-2</v>
      </c>
      <c r="T197">
        <f t="shared" si="20"/>
        <v>0.10151970251114358</v>
      </c>
    </row>
    <row r="198" spans="1:20" x14ac:dyDescent="0.3">
      <c r="A198" s="2" t="s">
        <v>1168</v>
      </c>
      <c r="B198" s="6" t="s">
        <v>812</v>
      </c>
      <c r="C198" s="2" t="s">
        <v>51</v>
      </c>
      <c r="D198" s="2" t="s">
        <v>52</v>
      </c>
      <c r="E198" s="3" t="s">
        <v>828</v>
      </c>
      <c r="F198" s="3" t="s">
        <v>829</v>
      </c>
      <c r="G198" s="3" t="s">
        <v>827</v>
      </c>
      <c r="J198" s="5">
        <v>312765.5956</v>
      </c>
      <c r="K198" s="5">
        <v>229031.7292</v>
      </c>
      <c r="L198" s="5">
        <v>131.845</v>
      </c>
      <c r="M198" s="3">
        <f t="shared" si="16"/>
        <v>0.11040000000502914</v>
      </c>
      <c r="N198" s="3">
        <f t="shared" si="16"/>
        <v>-2.9999999969732016E-3</v>
      </c>
      <c r="O198" s="3">
        <f t="shared" si="17"/>
        <v>3.9999999999906777E-3</v>
      </c>
      <c r="P198">
        <f t="shared" si="18"/>
        <v>1.2188160001110435E-2</v>
      </c>
      <c r="Q198">
        <f t="shared" si="18"/>
        <v>8.999999981839209E-6</v>
      </c>
      <c r="R198">
        <f t="shared" si="18"/>
        <v>1.5999999999925423E-5</v>
      </c>
      <c r="S198">
        <f t="shared" si="19"/>
        <v>1.2197160001092274E-2</v>
      </c>
      <c r="T198">
        <f t="shared" si="20"/>
        <v>0.11044075335261107</v>
      </c>
    </row>
    <row r="199" spans="1:20" x14ac:dyDescent="0.3">
      <c r="A199" s="2" t="s">
        <v>1168</v>
      </c>
      <c r="B199" s="6" t="s">
        <v>812</v>
      </c>
      <c r="C199" s="2" t="s">
        <v>422</v>
      </c>
      <c r="D199" s="2" t="s">
        <v>423</v>
      </c>
      <c r="E199" s="3" t="s">
        <v>830</v>
      </c>
      <c r="F199" s="3" t="s">
        <v>831</v>
      </c>
      <c r="G199" s="3" t="s">
        <v>832</v>
      </c>
      <c r="J199" s="5">
        <v>312765.5956</v>
      </c>
      <c r="K199" s="5">
        <v>229031.7292</v>
      </c>
      <c r="L199" s="5">
        <v>131.845</v>
      </c>
      <c r="M199" s="3">
        <f t="shared" si="16"/>
        <v>0.11780000000726432</v>
      </c>
      <c r="N199" s="3">
        <f t="shared" si="16"/>
        <v>-1.4200000005075708E-2</v>
      </c>
      <c r="O199" s="3">
        <f t="shared" si="17"/>
        <v>0.16800000000000637</v>
      </c>
      <c r="P199">
        <f t="shared" si="18"/>
        <v>1.3876840001711473E-2</v>
      </c>
      <c r="Q199">
        <f t="shared" si="18"/>
        <v>2.016400001441501E-4</v>
      </c>
      <c r="R199">
        <f t="shared" si="18"/>
        <v>2.822400000000214E-2</v>
      </c>
      <c r="S199">
        <f t="shared" si="19"/>
        <v>1.4078480001855622E-2</v>
      </c>
      <c r="T199">
        <f t="shared" si="20"/>
        <v>0.11865277072978794</v>
      </c>
    </row>
    <row r="200" spans="1:20" x14ac:dyDescent="0.3">
      <c r="A200" s="2" t="s">
        <v>1168</v>
      </c>
      <c r="B200" s="6" t="s">
        <v>833</v>
      </c>
      <c r="C200" s="2" t="s">
        <v>20</v>
      </c>
      <c r="D200" s="2" t="s">
        <v>30</v>
      </c>
      <c r="E200" s="3" t="s">
        <v>834</v>
      </c>
      <c r="F200" s="3" t="s">
        <v>835</v>
      </c>
      <c r="G200" s="3" t="s">
        <v>836</v>
      </c>
      <c r="J200" s="8" t="s">
        <v>837</v>
      </c>
      <c r="K200" s="8" t="s">
        <v>838</v>
      </c>
      <c r="L200" s="8" t="s">
        <v>839</v>
      </c>
      <c r="M200" s="3">
        <f t="shared" si="16"/>
        <v>-7.7699999965261668E-2</v>
      </c>
      <c r="N200" s="3">
        <f t="shared" si="16"/>
        <v>8.009999999194406E-2</v>
      </c>
      <c r="O200" s="3">
        <f t="shared" si="17"/>
        <v>7.2100000000006048E-2</v>
      </c>
      <c r="P200">
        <f t="shared" si="18"/>
        <v>6.0372899946016636E-3</v>
      </c>
      <c r="Q200">
        <f t="shared" si="18"/>
        <v>6.4160099987094384E-3</v>
      </c>
      <c r="R200">
        <f t="shared" si="18"/>
        <v>5.1984100000008722E-3</v>
      </c>
      <c r="S200">
        <f t="shared" si="19"/>
        <v>1.2453299993311101E-2</v>
      </c>
      <c r="T200">
        <f t="shared" si="20"/>
        <v>0.11159435466595567</v>
      </c>
    </row>
    <row r="201" spans="1:20" x14ac:dyDescent="0.3">
      <c r="A201" s="2" t="s">
        <v>1168</v>
      </c>
      <c r="B201" s="6" t="s">
        <v>833</v>
      </c>
      <c r="C201" s="2" t="s">
        <v>20</v>
      </c>
      <c r="D201" s="2" t="s">
        <v>21</v>
      </c>
      <c r="E201" s="3" t="s">
        <v>840</v>
      </c>
      <c r="F201" s="3" t="s">
        <v>841</v>
      </c>
      <c r="G201" s="3" t="s">
        <v>842</v>
      </c>
      <c r="J201" s="8" t="s">
        <v>837</v>
      </c>
      <c r="K201" s="8" t="s">
        <v>838</v>
      </c>
      <c r="L201" s="8" t="s">
        <v>839</v>
      </c>
      <c r="M201" s="3">
        <f t="shared" si="16"/>
        <v>-8.1100000010337681E-2</v>
      </c>
      <c r="N201" s="3">
        <f t="shared" si="16"/>
        <v>7.6300000015180558E-2</v>
      </c>
      <c r="O201" s="3">
        <f t="shared" si="17"/>
        <v>5.1100000000005252E-2</v>
      </c>
      <c r="P201">
        <f t="shared" si="18"/>
        <v>6.5772100016767716E-3</v>
      </c>
      <c r="Q201">
        <f t="shared" si="18"/>
        <v>5.8216900023165532E-3</v>
      </c>
      <c r="R201">
        <f t="shared" si="18"/>
        <v>2.611210000000537E-3</v>
      </c>
      <c r="S201">
        <f t="shared" si="19"/>
        <v>1.2398900003993324E-2</v>
      </c>
      <c r="T201">
        <f t="shared" si="20"/>
        <v>0.11135034801918368</v>
      </c>
    </row>
    <row r="202" spans="1:20" x14ac:dyDescent="0.3">
      <c r="A202" s="2" t="s">
        <v>1168</v>
      </c>
      <c r="B202" s="6" t="s">
        <v>833</v>
      </c>
      <c r="C202" s="2" t="s">
        <v>20</v>
      </c>
      <c r="D202" s="2" t="s">
        <v>110</v>
      </c>
      <c r="E202" s="3" t="s">
        <v>843</v>
      </c>
      <c r="F202" s="3" t="s">
        <v>844</v>
      </c>
      <c r="G202" s="3" t="s">
        <v>845</v>
      </c>
      <c r="J202" s="8" t="s">
        <v>837</v>
      </c>
      <c r="K202" s="8" t="s">
        <v>838</v>
      </c>
      <c r="L202" s="8" t="s">
        <v>839</v>
      </c>
      <c r="M202" s="3">
        <f t="shared" si="16"/>
        <v>-7.4199999973643571E-2</v>
      </c>
      <c r="N202" s="3">
        <f t="shared" si="16"/>
        <v>8.3400000003166497E-2</v>
      </c>
      <c r="O202" s="3">
        <f t="shared" si="17"/>
        <v>7.5100000000006162E-2</v>
      </c>
      <c r="P202">
        <f t="shared" si="18"/>
        <v>5.505639996088706E-3</v>
      </c>
      <c r="Q202">
        <f t="shared" si="18"/>
        <v>6.9555600005281716E-3</v>
      </c>
      <c r="R202">
        <f t="shared" si="18"/>
        <v>5.6400100000009255E-3</v>
      </c>
      <c r="S202">
        <f t="shared" si="19"/>
        <v>1.2461199996616878E-2</v>
      </c>
      <c r="T202">
        <f t="shared" si="20"/>
        <v>0.11162974512475105</v>
      </c>
    </row>
    <row r="203" spans="1:20" x14ac:dyDescent="0.3">
      <c r="A203" s="2" t="s">
        <v>1168</v>
      </c>
      <c r="B203" s="6" t="s">
        <v>833</v>
      </c>
      <c r="C203" s="2" t="s">
        <v>20</v>
      </c>
      <c r="D203" s="2" t="s">
        <v>37</v>
      </c>
      <c r="E203" s="3" t="s">
        <v>834</v>
      </c>
      <c r="F203" s="3" t="s">
        <v>846</v>
      </c>
      <c r="G203" s="3" t="s">
        <v>847</v>
      </c>
      <c r="J203" s="8" t="s">
        <v>837</v>
      </c>
      <c r="K203" s="8" t="s">
        <v>838</v>
      </c>
      <c r="L203" s="8" t="s">
        <v>839</v>
      </c>
      <c r="M203" s="3">
        <f t="shared" si="16"/>
        <v>-7.7699999965261668E-2</v>
      </c>
      <c r="N203" s="3">
        <f t="shared" si="16"/>
        <v>6.1199999996460974E-2</v>
      </c>
      <c r="O203" s="3">
        <f t="shared" si="17"/>
        <v>3.4099999999995134E-2</v>
      </c>
      <c r="P203">
        <f t="shared" si="18"/>
        <v>6.0372899946016636E-3</v>
      </c>
      <c r="Q203">
        <f t="shared" si="18"/>
        <v>3.7454399995668231E-3</v>
      </c>
      <c r="R203">
        <f t="shared" si="18"/>
        <v>1.1628099999996682E-3</v>
      </c>
      <c r="S203">
        <f t="shared" si="19"/>
        <v>9.7827299941684875E-3</v>
      </c>
      <c r="T203">
        <f t="shared" si="20"/>
        <v>9.8907684201827759E-2</v>
      </c>
    </row>
    <row r="204" spans="1:20" x14ac:dyDescent="0.3">
      <c r="A204" s="2" t="s">
        <v>1168</v>
      </c>
      <c r="B204" s="6" t="s">
        <v>833</v>
      </c>
      <c r="C204" s="2" t="s">
        <v>20</v>
      </c>
      <c r="D204" s="2" t="s">
        <v>46</v>
      </c>
      <c r="E204" s="3" t="s">
        <v>848</v>
      </c>
      <c r="F204" s="3" t="s">
        <v>849</v>
      </c>
      <c r="G204" s="3" t="s">
        <v>850</v>
      </c>
      <c r="J204" s="8" t="s">
        <v>837</v>
      </c>
      <c r="K204" s="8" t="s">
        <v>838</v>
      </c>
      <c r="L204" s="8" t="s">
        <v>839</v>
      </c>
      <c r="M204" s="3">
        <f t="shared" si="16"/>
        <v>-6.7800000018905848E-2</v>
      </c>
      <c r="N204" s="3">
        <f t="shared" si="16"/>
        <v>7.9100000002654269E-2</v>
      </c>
      <c r="O204" s="3">
        <f t="shared" si="17"/>
        <v>4.9099999999995703E-2</v>
      </c>
      <c r="P204">
        <f t="shared" si="18"/>
        <v>4.5968400025636329E-3</v>
      </c>
      <c r="Q204">
        <f t="shared" si="18"/>
        <v>6.2568100004199052E-3</v>
      </c>
      <c r="R204">
        <f t="shared" si="18"/>
        <v>2.4108099999995778E-3</v>
      </c>
      <c r="S204">
        <f t="shared" si="19"/>
        <v>1.0853650002983538E-2</v>
      </c>
      <c r="T204">
        <f t="shared" si="20"/>
        <v>0.10418085238172865</v>
      </c>
    </row>
    <row r="205" spans="1:20" x14ac:dyDescent="0.3">
      <c r="A205" s="2" t="s">
        <v>1168</v>
      </c>
      <c r="B205" s="6" t="s">
        <v>833</v>
      </c>
      <c r="C205" s="2" t="s">
        <v>51</v>
      </c>
      <c r="D205" s="2" t="s">
        <v>63</v>
      </c>
      <c r="E205" s="3" t="s">
        <v>851</v>
      </c>
      <c r="F205" s="3" t="s">
        <v>852</v>
      </c>
      <c r="G205" s="3" t="s">
        <v>853</v>
      </c>
      <c r="J205" s="8" t="s">
        <v>837</v>
      </c>
      <c r="K205" s="8" t="s">
        <v>838</v>
      </c>
      <c r="L205" s="8" t="s">
        <v>839</v>
      </c>
      <c r="M205" s="3">
        <f t="shared" si="16"/>
        <v>-0.11300000001210719</v>
      </c>
      <c r="N205" s="3">
        <f t="shared" si="16"/>
        <v>0.15210000000661239</v>
      </c>
      <c r="O205" s="3">
        <f t="shared" si="17"/>
        <v>0.21110000000000184</v>
      </c>
      <c r="P205">
        <f t="shared" si="18"/>
        <v>1.2769000002736225E-2</v>
      </c>
      <c r="Q205">
        <f t="shared" si="18"/>
        <v>2.3134410002011489E-2</v>
      </c>
      <c r="R205">
        <f t="shared" si="18"/>
        <v>4.4563210000000776E-2</v>
      </c>
      <c r="S205">
        <f t="shared" si="19"/>
        <v>3.5903410004747713E-2</v>
      </c>
      <c r="T205">
        <f t="shared" si="20"/>
        <v>0.18948195165964413</v>
      </c>
    </row>
    <row r="206" spans="1:20" x14ac:dyDescent="0.3">
      <c r="A206" s="2" t="s">
        <v>1168</v>
      </c>
      <c r="B206" s="6" t="s">
        <v>833</v>
      </c>
      <c r="C206" s="2" t="s">
        <v>51</v>
      </c>
      <c r="D206" s="2" t="s">
        <v>30</v>
      </c>
      <c r="E206" s="3" t="s">
        <v>854</v>
      </c>
      <c r="F206" s="3" t="s">
        <v>855</v>
      </c>
      <c r="G206" s="3" t="s">
        <v>856</v>
      </c>
      <c r="J206" s="8" t="s">
        <v>837</v>
      </c>
      <c r="K206" s="8" t="s">
        <v>838</v>
      </c>
      <c r="L206" s="8" t="s">
        <v>839</v>
      </c>
      <c r="M206" s="3">
        <f t="shared" si="16"/>
        <v>-7.7199999999720603E-2</v>
      </c>
      <c r="N206" s="3">
        <f t="shared" si="16"/>
        <v>8.7399999989429489E-2</v>
      </c>
      <c r="O206" s="3">
        <f t="shared" si="17"/>
        <v>1.9099999999994566E-2</v>
      </c>
      <c r="P206">
        <f t="shared" si="18"/>
        <v>5.959839999956861E-3</v>
      </c>
      <c r="Q206">
        <f t="shared" si="18"/>
        <v>7.6387599981522745E-3</v>
      </c>
      <c r="R206">
        <f t="shared" si="18"/>
        <v>3.648099999997924E-4</v>
      </c>
      <c r="S206">
        <f t="shared" si="19"/>
        <v>1.3598599998109136E-2</v>
      </c>
      <c r="T206">
        <f t="shared" si="20"/>
        <v>0.11661303528383582</v>
      </c>
    </row>
    <row r="207" spans="1:20" x14ac:dyDescent="0.3">
      <c r="A207" s="2" t="s">
        <v>1168</v>
      </c>
      <c r="B207" s="6" t="s">
        <v>833</v>
      </c>
      <c r="C207" s="2" t="s">
        <v>51</v>
      </c>
      <c r="D207" s="2" t="s">
        <v>52</v>
      </c>
      <c r="E207" s="3" t="s">
        <v>857</v>
      </c>
      <c r="F207" s="3" t="s">
        <v>858</v>
      </c>
      <c r="G207" s="3" t="s">
        <v>859</v>
      </c>
      <c r="J207" s="8" t="s">
        <v>837</v>
      </c>
      <c r="K207" s="8" t="s">
        <v>838</v>
      </c>
      <c r="L207" s="8" t="s">
        <v>839</v>
      </c>
      <c r="M207" s="3">
        <f t="shared" si="16"/>
        <v>-8.2200000004377216E-2</v>
      </c>
      <c r="N207" s="3">
        <f t="shared" si="16"/>
        <v>7.4800000002142042E-2</v>
      </c>
      <c r="O207" s="3">
        <f t="shared" si="17"/>
        <v>2.1100000000004115E-2</v>
      </c>
      <c r="P207">
        <f t="shared" si="18"/>
        <v>6.7568400007196145E-3</v>
      </c>
      <c r="Q207">
        <f t="shared" si="18"/>
        <v>5.5950400003204493E-3</v>
      </c>
      <c r="R207">
        <f t="shared" si="18"/>
        <v>4.4521000000017366E-4</v>
      </c>
      <c r="S207">
        <f t="shared" si="19"/>
        <v>1.2351880001040063E-2</v>
      </c>
      <c r="T207">
        <f t="shared" si="20"/>
        <v>0.11113901205715328</v>
      </c>
    </row>
    <row r="208" spans="1:20" x14ac:dyDescent="0.3">
      <c r="A208" s="2" t="s">
        <v>1168</v>
      </c>
      <c r="B208" s="6" t="s">
        <v>833</v>
      </c>
      <c r="C208" s="2" t="s">
        <v>422</v>
      </c>
      <c r="D208" s="2" t="s">
        <v>423</v>
      </c>
      <c r="E208" s="3" t="s">
        <v>860</v>
      </c>
      <c r="F208" s="3" t="s">
        <v>861</v>
      </c>
      <c r="G208" s="3" t="s">
        <v>862</v>
      </c>
      <c r="J208" s="8" t="s">
        <v>837</v>
      </c>
      <c r="K208" s="8" t="s">
        <v>838</v>
      </c>
      <c r="L208" s="8" t="s">
        <v>839</v>
      </c>
      <c r="M208" s="3">
        <f t="shared" si="16"/>
        <v>-7.9099999973550439E-2</v>
      </c>
      <c r="N208" s="3">
        <f t="shared" si="16"/>
        <v>6.210000001010485E-2</v>
      </c>
      <c r="O208" s="3">
        <f t="shared" si="17"/>
        <v>0.18810000000000571</v>
      </c>
      <c r="P208">
        <f t="shared" si="18"/>
        <v>6.2568099958156794E-3</v>
      </c>
      <c r="Q208">
        <f t="shared" si="18"/>
        <v>3.8564100012550223E-3</v>
      </c>
      <c r="R208">
        <f t="shared" si="18"/>
        <v>3.5381610000002145E-2</v>
      </c>
      <c r="S208">
        <f t="shared" si="19"/>
        <v>1.0113219997070702E-2</v>
      </c>
      <c r="T208">
        <f t="shared" si="20"/>
        <v>0.10056450664658333</v>
      </c>
    </row>
    <row r="209" spans="1:20" x14ac:dyDescent="0.3">
      <c r="A209" s="2" t="s">
        <v>1168</v>
      </c>
      <c r="B209" s="6" t="s">
        <v>863</v>
      </c>
      <c r="C209" s="2" t="s">
        <v>20</v>
      </c>
      <c r="D209" s="2" t="s">
        <v>30</v>
      </c>
      <c r="E209" s="3" t="s">
        <v>864</v>
      </c>
      <c r="F209" s="3" t="s">
        <v>865</v>
      </c>
      <c r="G209" s="3" t="s">
        <v>866</v>
      </c>
      <c r="J209" s="5" t="s">
        <v>867</v>
      </c>
      <c r="K209" s="5" t="s">
        <v>868</v>
      </c>
      <c r="L209" s="5" t="s">
        <v>869</v>
      </c>
      <c r="M209" s="3">
        <f t="shared" si="16"/>
        <v>5.7000000029802322E-2</v>
      </c>
      <c r="N209" s="3">
        <f t="shared" si="16"/>
        <v>-2.6400000002468005E-2</v>
      </c>
      <c r="O209" s="3">
        <f t="shared" si="17"/>
        <v>2.4799999999999045E-2</v>
      </c>
      <c r="P209">
        <f t="shared" si="18"/>
        <v>3.2490000033974648E-3</v>
      </c>
      <c r="Q209">
        <f t="shared" si="18"/>
        <v>6.9696000013031063E-4</v>
      </c>
      <c r="R209">
        <f t="shared" si="18"/>
        <v>6.1503999999995259E-4</v>
      </c>
      <c r="S209">
        <f t="shared" si="19"/>
        <v>3.9459600035277754E-3</v>
      </c>
      <c r="T209">
        <f t="shared" si="20"/>
        <v>6.2816876741268943E-2</v>
      </c>
    </row>
    <row r="210" spans="1:20" x14ac:dyDescent="0.3">
      <c r="A210" s="2" t="s">
        <v>1168</v>
      </c>
      <c r="B210" s="6" t="s">
        <v>863</v>
      </c>
      <c r="C210" s="2" t="s">
        <v>20</v>
      </c>
      <c r="D210" s="2" t="s">
        <v>21</v>
      </c>
      <c r="E210" s="3" t="s">
        <v>870</v>
      </c>
      <c r="F210" s="3" t="s">
        <v>871</v>
      </c>
      <c r="G210" s="3" t="s">
        <v>872</v>
      </c>
      <c r="J210" s="5" t="s">
        <v>867</v>
      </c>
      <c r="K210" s="5" t="s">
        <v>868</v>
      </c>
      <c r="L210" s="5" t="s">
        <v>869</v>
      </c>
      <c r="M210" s="3">
        <f t="shared" ref="M210:N273" si="21">J210-E210</f>
        <v>4.5500000007450581E-2</v>
      </c>
      <c r="N210" s="3">
        <f t="shared" si="21"/>
        <v>-2.1299999993061647E-2</v>
      </c>
      <c r="O210" s="3">
        <f t="shared" si="17"/>
        <v>9.1999999999927695E-3</v>
      </c>
      <c r="P210">
        <f t="shared" si="18"/>
        <v>2.0702500006780028E-3</v>
      </c>
      <c r="Q210">
        <f t="shared" si="18"/>
        <v>4.5368999970442613E-4</v>
      </c>
      <c r="R210">
        <f t="shared" si="18"/>
        <v>8.4639999999866958E-5</v>
      </c>
      <c r="S210">
        <f t="shared" si="19"/>
        <v>2.523940000382429E-3</v>
      </c>
      <c r="T210">
        <f t="shared" si="20"/>
        <v>5.0238829608007678E-2</v>
      </c>
    </row>
    <row r="211" spans="1:20" x14ac:dyDescent="0.3">
      <c r="A211" s="2" t="s">
        <v>1168</v>
      </c>
      <c r="B211" s="6" t="s">
        <v>873</v>
      </c>
      <c r="C211" s="2" t="s">
        <v>20</v>
      </c>
      <c r="D211" s="2" t="s">
        <v>110</v>
      </c>
      <c r="E211" s="3" t="s">
        <v>874</v>
      </c>
      <c r="F211" s="3" t="s">
        <v>875</v>
      </c>
      <c r="G211" s="3" t="s">
        <v>876</v>
      </c>
      <c r="J211" s="5" t="s">
        <v>877</v>
      </c>
      <c r="K211" s="5" t="s">
        <v>878</v>
      </c>
      <c r="L211" s="5" t="s">
        <v>869</v>
      </c>
      <c r="M211" s="3">
        <f t="shared" si="21"/>
        <v>4.6399999991990626E-2</v>
      </c>
      <c r="N211" s="3">
        <f t="shared" si="21"/>
        <v>-2.1899999992456287E-2</v>
      </c>
      <c r="O211" s="3">
        <f t="shared" si="17"/>
        <v>5.1999999999736701E-3</v>
      </c>
      <c r="P211">
        <f t="shared" si="18"/>
        <v>2.1529599992567302E-3</v>
      </c>
      <c r="Q211">
        <f t="shared" si="18"/>
        <v>4.7960999966958537E-4</v>
      </c>
      <c r="R211">
        <f t="shared" si="18"/>
        <v>2.703999999972617E-5</v>
      </c>
      <c r="S211">
        <f t="shared" si="19"/>
        <v>2.6325699989263153E-3</v>
      </c>
      <c r="T211">
        <f t="shared" si="20"/>
        <v>5.1308576270700741E-2</v>
      </c>
    </row>
    <row r="212" spans="1:20" x14ac:dyDescent="0.3">
      <c r="A212" s="2" t="s">
        <v>1168</v>
      </c>
      <c r="B212" s="6" t="s">
        <v>873</v>
      </c>
      <c r="C212" s="2" t="s">
        <v>20</v>
      </c>
      <c r="D212" s="2" t="s">
        <v>37</v>
      </c>
      <c r="E212" s="3" t="s">
        <v>879</v>
      </c>
      <c r="F212" s="3" t="s">
        <v>880</v>
      </c>
      <c r="G212" s="3" t="s">
        <v>881</v>
      </c>
      <c r="J212" s="5" t="s">
        <v>877</v>
      </c>
      <c r="K212" s="5" t="s">
        <v>878</v>
      </c>
      <c r="L212" s="5" t="s">
        <v>869</v>
      </c>
      <c r="M212" s="3">
        <f t="shared" si="21"/>
        <v>4.9500000022817403E-2</v>
      </c>
      <c r="N212" s="3">
        <f t="shared" si="21"/>
        <v>-2.5400000013178214E-2</v>
      </c>
      <c r="O212" s="3">
        <f t="shared" si="17"/>
        <v>1.9800000000003593E-2</v>
      </c>
      <c r="P212">
        <f t="shared" si="18"/>
        <v>2.4502500022589228E-3</v>
      </c>
      <c r="Q212">
        <f t="shared" si="18"/>
        <v>6.451600006694533E-4</v>
      </c>
      <c r="R212">
        <f t="shared" si="18"/>
        <v>3.9204000000014227E-4</v>
      </c>
      <c r="S212">
        <f t="shared" si="19"/>
        <v>3.0954100029283761E-3</v>
      </c>
      <c r="T212">
        <f t="shared" si="20"/>
        <v>5.563640896866346E-2</v>
      </c>
    </row>
    <row r="213" spans="1:20" x14ac:dyDescent="0.3">
      <c r="A213" s="2" t="s">
        <v>1168</v>
      </c>
      <c r="B213" s="6" t="s">
        <v>873</v>
      </c>
      <c r="C213" s="2" t="s">
        <v>20</v>
      </c>
      <c r="D213" s="2" t="s">
        <v>46</v>
      </c>
      <c r="E213" s="3" t="s">
        <v>882</v>
      </c>
      <c r="F213" s="3" t="s">
        <v>883</v>
      </c>
      <c r="G213" s="3" t="s">
        <v>884</v>
      </c>
      <c r="J213" s="5" t="s">
        <v>877</v>
      </c>
      <c r="K213" s="5" t="s">
        <v>878</v>
      </c>
      <c r="L213" s="5" t="s">
        <v>869</v>
      </c>
      <c r="M213" s="3">
        <f t="shared" si="21"/>
        <v>4.6299999987240881E-2</v>
      </c>
      <c r="N213" s="3">
        <f t="shared" si="21"/>
        <v>-2.590000000782311E-2</v>
      </c>
      <c r="O213" s="3">
        <f t="shared" si="17"/>
        <v>1.8000000000029104E-3</v>
      </c>
      <c r="P213">
        <f t="shared" si="18"/>
        <v>2.1436899988185056E-3</v>
      </c>
      <c r="Q213">
        <f t="shared" si="18"/>
        <v>6.7081000040523702E-4</v>
      </c>
      <c r="R213">
        <f t="shared" si="18"/>
        <v>3.2400000000104773E-6</v>
      </c>
      <c r="S213">
        <f t="shared" si="19"/>
        <v>2.8144999992237426E-3</v>
      </c>
      <c r="T213">
        <f t="shared" si="20"/>
        <v>5.305186141148812E-2</v>
      </c>
    </row>
    <row r="214" spans="1:20" x14ac:dyDescent="0.3">
      <c r="A214" s="2" t="s">
        <v>1168</v>
      </c>
      <c r="B214" s="6" t="s">
        <v>873</v>
      </c>
      <c r="C214" s="2" t="s">
        <v>51</v>
      </c>
      <c r="D214" s="2" t="s">
        <v>63</v>
      </c>
      <c r="E214" s="3" t="s">
        <v>885</v>
      </c>
      <c r="F214" s="3" t="s">
        <v>886</v>
      </c>
      <c r="G214" s="3" t="s">
        <v>887</v>
      </c>
      <c r="J214" s="5" t="s">
        <v>877</v>
      </c>
      <c r="K214" s="5" t="s">
        <v>878</v>
      </c>
      <c r="L214" s="5" t="s">
        <v>869</v>
      </c>
      <c r="M214" s="3">
        <f t="shared" si="21"/>
        <v>5.2599999995436519E-2</v>
      </c>
      <c r="N214" s="3">
        <f t="shared" si="21"/>
        <v>-2.68999999971129E-2</v>
      </c>
      <c r="O214" s="3">
        <f t="shared" si="17"/>
        <v>7.8000000000031378E-3</v>
      </c>
      <c r="P214">
        <f t="shared" si="18"/>
        <v>2.7667599995199218E-3</v>
      </c>
      <c r="Q214">
        <f t="shared" si="18"/>
        <v>7.2360999984467402E-4</v>
      </c>
      <c r="R214">
        <f t="shared" si="18"/>
        <v>6.0840000000048952E-5</v>
      </c>
      <c r="S214">
        <f t="shared" si="19"/>
        <v>3.490369999364596E-3</v>
      </c>
      <c r="T214">
        <f t="shared" si="20"/>
        <v>5.9079353410177025E-2</v>
      </c>
    </row>
    <row r="215" spans="1:20" x14ac:dyDescent="0.3">
      <c r="A215" s="2" t="s">
        <v>1168</v>
      </c>
      <c r="B215" s="6" t="s">
        <v>873</v>
      </c>
      <c r="C215" s="2" t="s">
        <v>51</v>
      </c>
      <c r="D215" s="2" t="s">
        <v>30</v>
      </c>
      <c r="E215" s="3" t="s">
        <v>888</v>
      </c>
      <c r="F215" s="3" t="s">
        <v>889</v>
      </c>
      <c r="G215" s="3" t="s">
        <v>890</v>
      </c>
      <c r="J215" s="5" t="s">
        <v>877</v>
      </c>
      <c r="K215" s="5" t="s">
        <v>878</v>
      </c>
      <c r="L215" s="5" t="s">
        <v>869</v>
      </c>
      <c r="M215" s="3">
        <f t="shared" si="21"/>
        <v>5.7399999990593642E-2</v>
      </c>
      <c r="N215" s="3">
        <f t="shared" si="21"/>
        <v>-2.2300000011455268E-2</v>
      </c>
      <c r="O215" s="3">
        <f t="shared" si="17"/>
        <v>1.480000000000814E-2</v>
      </c>
      <c r="P215">
        <f t="shared" si="18"/>
        <v>3.2947599989201501E-3</v>
      </c>
      <c r="Q215">
        <f t="shared" si="18"/>
        <v>4.9729000051090496E-4</v>
      </c>
      <c r="R215">
        <f t="shared" si="18"/>
        <v>2.1904000000024095E-4</v>
      </c>
      <c r="S215">
        <f t="shared" si="19"/>
        <v>3.7920499994310549E-3</v>
      </c>
      <c r="T215">
        <f t="shared" si="20"/>
        <v>6.1579623248531286E-2</v>
      </c>
    </row>
    <row r="216" spans="1:20" x14ac:dyDescent="0.3">
      <c r="A216" s="2" t="s">
        <v>1168</v>
      </c>
      <c r="B216" s="6" t="s">
        <v>873</v>
      </c>
      <c r="C216" s="2" t="s">
        <v>51</v>
      </c>
      <c r="D216" s="2" t="s">
        <v>52</v>
      </c>
      <c r="E216" s="3" t="s">
        <v>891</v>
      </c>
      <c r="F216" s="3" t="s">
        <v>892</v>
      </c>
      <c r="G216" s="3" t="s">
        <v>881</v>
      </c>
      <c r="J216" s="5" t="s">
        <v>877</v>
      </c>
      <c r="K216" s="5" t="s">
        <v>878</v>
      </c>
      <c r="L216" s="5" t="s">
        <v>869</v>
      </c>
      <c r="M216" s="3">
        <f t="shared" si="21"/>
        <v>5.5099999997764826E-2</v>
      </c>
      <c r="N216" s="3">
        <f t="shared" si="21"/>
        <v>-2.5599999993573874E-2</v>
      </c>
      <c r="O216" s="3">
        <f t="shared" si="17"/>
        <v>1.9800000000003593E-2</v>
      </c>
      <c r="P216">
        <f t="shared" si="18"/>
        <v>3.0360099997536836E-3</v>
      </c>
      <c r="Q216">
        <f t="shared" si="18"/>
        <v>6.5535999967098238E-4</v>
      </c>
      <c r="R216">
        <f t="shared" si="18"/>
        <v>3.9204000000014227E-4</v>
      </c>
      <c r="S216">
        <f t="shared" si="19"/>
        <v>3.6913699994246662E-3</v>
      </c>
      <c r="T216">
        <f t="shared" si="20"/>
        <v>6.0756645722296637E-2</v>
      </c>
    </row>
    <row r="217" spans="1:20" x14ac:dyDescent="0.3">
      <c r="A217" s="2" t="s">
        <v>1168</v>
      </c>
      <c r="B217" s="6" t="s">
        <v>873</v>
      </c>
      <c r="C217" s="2" t="s">
        <v>422</v>
      </c>
      <c r="D217" s="2" t="s">
        <v>423</v>
      </c>
      <c r="E217" s="3" t="s">
        <v>893</v>
      </c>
      <c r="F217" s="3" t="s">
        <v>894</v>
      </c>
      <c r="G217" s="3" t="s">
        <v>895</v>
      </c>
      <c r="J217" s="5" t="s">
        <v>877</v>
      </c>
      <c r="K217" s="5" t="s">
        <v>878</v>
      </c>
      <c r="L217" s="5" t="s">
        <v>869</v>
      </c>
      <c r="M217" s="3">
        <f t="shared" si="21"/>
        <v>5.2499999990686774E-2</v>
      </c>
      <c r="N217" s="3">
        <f t="shared" si="21"/>
        <v>-3.0100000003585592E-2</v>
      </c>
      <c r="O217" s="3">
        <f t="shared" si="17"/>
        <v>0.17480000000000473</v>
      </c>
      <c r="P217">
        <f t="shared" si="18"/>
        <v>2.7562499990221112E-3</v>
      </c>
      <c r="Q217">
        <f t="shared" si="18"/>
        <v>9.0601000021585268E-4</v>
      </c>
      <c r="R217">
        <f t="shared" si="18"/>
        <v>3.0555040000001654E-2</v>
      </c>
      <c r="S217">
        <f t="shared" si="19"/>
        <v>3.6622599992379638E-3</v>
      </c>
      <c r="T217">
        <f t="shared" si="20"/>
        <v>6.0516609284046674E-2</v>
      </c>
    </row>
    <row r="218" spans="1:20" x14ac:dyDescent="0.3">
      <c r="A218" s="2" t="s">
        <v>1168</v>
      </c>
      <c r="B218" s="6" t="s">
        <v>896</v>
      </c>
      <c r="C218" s="2" t="s">
        <v>20</v>
      </c>
      <c r="D218" s="2" t="s">
        <v>30</v>
      </c>
      <c r="E218" s="3" t="s">
        <v>897</v>
      </c>
      <c r="F218" s="3" t="s">
        <v>898</v>
      </c>
      <c r="G218" s="3" t="s">
        <v>899</v>
      </c>
      <c r="J218" s="8" t="s">
        <v>900</v>
      </c>
      <c r="K218" s="8" t="s">
        <v>901</v>
      </c>
      <c r="L218" s="8" t="s">
        <v>902</v>
      </c>
      <c r="M218" s="3">
        <f t="shared" si="21"/>
        <v>8.9099999982863665E-2</v>
      </c>
      <c r="N218" s="3">
        <f t="shared" si="21"/>
        <v>-5.479999998351559E-2</v>
      </c>
      <c r="O218" s="3">
        <f t="shared" si="17"/>
        <v>6.4999999999997726E-2</v>
      </c>
      <c r="P218">
        <f t="shared" si="18"/>
        <v>7.9388099969463048E-3</v>
      </c>
      <c r="Q218">
        <f t="shared" si="18"/>
        <v>3.0030399981933087E-3</v>
      </c>
      <c r="R218">
        <f t="shared" si="18"/>
        <v>4.2249999999997047E-3</v>
      </c>
      <c r="S218">
        <f t="shared" si="19"/>
        <v>1.0941849995139613E-2</v>
      </c>
      <c r="T218">
        <f t="shared" si="20"/>
        <v>0.10460329820392669</v>
      </c>
    </row>
    <row r="219" spans="1:20" x14ac:dyDescent="0.3">
      <c r="A219" s="2" t="s">
        <v>1168</v>
      </c>
      <c r="B219" s="6" t="s">
        <v>896</v>
      </c>
      <c r="C219" s="2" t="s">
        <v>20</v>
      </c>
      <c r="D219" s="2" t="s">
        <v>21</v>
      </c>
      <c r="E219" s="3" t="s">
        <v>903</v>
      </c>
      <c r="F219" s="3" t="s">
        <v>904</v>
      </c>
      <c r="G219" s="3" t="s">
        <v>905</v>
      </c>
      <c r="J219" s="8" t="s">
        <v>900</v>
      </c>
      <c r="K219" s="8" t="s">
        <v>901</v>
      </c>
      <c r="L219" s="8" t="s">
        <v>902</v>
      </c>
      <c r="M219" s="3">
        <f t="shared" si="21"/>
        <v>8.9299999992363155E-2</v>
      </c>
      <c r="N219" s="3">
        <f t="shared" si="21"/>
        <v>-5.4100000008475035E-2</v>
      </c>
      <c r="O219" s="3">
        <f t="shared" si="17"/>
        <v>6.8999999999959982E-2</v>
      </c>
      <c r="P219">
        <f t="shared" si="18"/>
        <v>7.9744899986360588E-3</v>
      </c>
      <c r="Q219">
        <f t="shared" si="18"/>
        <v>2.9268100009169989E-3</v>
      </c>
      <c r="R219">
        <f t="shared" si="18"/>
        <v>4.7609999999944771E-3</v>
      </c>
      <c r="S219">
        <f t="shared" si="19"/>
        <v>1.0901299999553058E-2</v>
      </c>
      <c r="T219">
        <f t="shared" si="20"/>
        <v>0.10440929077219641</v>
      </c>
    </row>
    <row r="220" spans="1:20" x14ac:dyDescent="0.3">
      <c r="A220" s="2" t="s">
        <v>1168</v>
      </c>
      <c r="B220" s="6" t="s">
        <v>896</v>
      </c>
      <c r="C220" s="2" t="s">
        <v>20</v>
      </c>
      <c r="D220" s="2" t="s">
        <v>110</v>
      </c>
      <c r="E220" s="3" t="s">
        <v>906</v>
      </c>
      <c r="F220" s="3" t="s">
        <v>907</v>
      </c>
      <c r="G220" s="3" t="s">
        <v>908</v>
      </c>
      <c r="J220" s="8" t="s">
        <v>900</v>
      </c>
      <c r="K220" s="8" t="s">
        <v>901</v>
      </c>
      <c r="L220" s="8" t="s">
        <v>902</v>
      </c>
      <c r="M220" s="3">
        <f t="shared" si="21"/>
        <v>8.2600000023376197E-2</v>
      </c>
      <c r="N220" s="3">
        <f t="shared" si="21"/>
        <v>-5.1099999982398003E-2</v>
      </c>
      <c r="O220" s="3">
        <f t="shared" si="17"/>
        <v>6.9999999999481588E-3</v>
      </c>
      <c r="P220">
        <f t="shared" si="18"/>
        <v>6.8227600038617475E-3</v>
      </c>
      <c r="Q220">
        <f t="shared" si="18"/>
        <v>2.6112099982010758E-3</v>
      </c>
      <c r="R220">
        <f t="shared" si="18"/>
        <v>4.899999999927422E-5</v>
      </c>
      <c r="S220">
        <f t="shared" si="19"/>
        <v>9.4339700020628237E-3</v>
      </c>
      <c r="T220">
        <f t="shared" si="20"/>
        <v>9.7128626069057644E-2</v>
      </c>
    </row>
    <row r="221" spans="1:20" x14ac:dyDescent="0.3">
      <c r="A221" s="2" t="s">
        <v>1168</v>
      </c>
      <c r="B221" s="6" t="s">
        <v>896</v>
      </c>
      <c r="C221" s="2" t="s">
        <v>20</v>
      </c>
      <c r="D221" s="2" t="s">
        <v>37</v>
      </c>
      <c r="E221" s="3" t="s">
        <v>909</v>
      </c>
      <c r="F221" s="3" t="s">
        <v>910</v>
      </c>
      <c r="G221" s="3" t="s">
        <v>902</v>
      </c>
      <c r="J221" s="8" t="s">
        <v>900</v>
      </c>
      <c r="K221" s="8" t="s">
        <v>901</v>
      </c>
      <c r="L221" s="8" t="s">
        <v>902</v>
      </c>
      <c r="M221" s="3">
        <f t="shared" si="21"/>
        <v>8.2799999974668026E-2</v>
      </c>
      <c r="N221" s="3">
        <f t="shared" si="21"/>
        <v>-5.4899999988265336E-2</v>
      </c>
      <c r="O221" s="3">
        <f t="shared" si="17"/>
        <v>0</v>
      </c>
      <c r="P221">
        <f t="shared" si="18"/>
        <v>6.8558399958050251E-3</v>
      </c>
      <c r="Q221">
        <f t="shared" si="18"/>
        <v>3.0140099987115338E-3</v>
      </c>
      <c r="R221">
        <f t="shared" si="18"/>
        <v>0</v>
      </c>
      <c r="S221">
        <f t="shared" si="19"/>
        <v>9.8698499945165594E-3</v>
      </c>
      <c r="T221">
        <f t="shared" si="20"/>
        <v>9.9347118702640583E-2</v>
      </c>
    </row>
    <row r="222" spans="1:20" x14ac:dyDescent="0.3">
      <c r="A222" s="2" t="s">
        <v>1168</v>
      </c>
      <c r="B222" s="6" t="s">
        <v>896</v>
      </c>
      <c r="C222" s="2" t="s">
        <v>51</v>
      </c>
      <c r="D222" s="2" t="s">
        <v>52</v>
      </c>
      <c r="E222" s="3" t="s">
        <v>911</v>
      </c>
      <c r="F222" s="3" t="s">
        <v>912</v>
      </c>
      <c r="G222" s="3" t="s">
        <v>913</v>
      </c>
      <c r="J222" s="8" t="s">
        <v>900</v>
      </c>
      <c r="K222" s="8" t="s">
        <v>901</v>
      </c>
      <c r="L222" s="8" t="s">
        <v>902</v>
      </c>
      <c r="M222" s="3">
        <f t="shared" si="21"/>
        <v>9.4900000025518239E-2</v>
      </c>
      <c r="N222" s="3">
        <f t="shared" si="21"/>
        <v>-4.7299999976530671E-2</v>
      </c>
      <c r="O222" s="3">
        <f t="shared" si="17"/>
        <v>1.4000000000010004E-2</v>
      </c>
      <c r="P222">
        <f t="shared" si="18"/>
        <v>9.0060100048433619E-3</v>
      </c>
      <c r="Q222">
        <f t="shared" si="18"/>
        <v>2.2372899977798014E-3</v>
      </c>
      <c r="R222">
        <f t="shared" si="18"/>
        <v>1.9600000000028012E-4</v>
      </c>
      <c r="S222">
        <f t="shared" si="19"/>
        <v>1.1243300002623163E-2</v>
      </c>
      <c r="T222">
        <f t="shared" si="20"/>
        <v>0.1060344283835357</v>
      </c>
    </row>
    <row r="223" spans="1:20" x14ac:dyDescent="0.3">
      <c r="A223" s="2" t="s">
        <v>1168</v>
      </c>
      <c r="B223" s="6" t="s">
        <v>896</v>
      </c>
      <c r="C223" s="2" t="s">
        <v>51</v>
      </c>
      <c r="D223" s="2" t="s">
        <v>63</v>
      </c>
      <c r="E223" s="3" t="s">
        <v>914</v>
      </c>
      <c r="F223" s="3" t="s">
        <v>915</v>
      </c>
      <c r="G223" s="3" t="s">
        <v>916</v>
      </c>
      <c r="J223" s="8" t="s">
        <v>900</v>
      </c>
      <c r="K223" s="8" t="s">
        <v>901</v>
      </c>
      <c r="L223" s="8" t="s">
        <v>902</v>
      </c>
      <c r="M223" s="3">
        <f t="shared" si="21"/>
        <v>9.9199999996926636E-2</v>
      </c>
      <c r="N223" s="3">
        <f t="shared" si="21"/>
        <v>-6.1600000015459955E-2</v>
      </c>
      <c r="O223" s="3">
        <f t="shared" si="17"/>
        <v>5.2999999999997272E-2</v>
      </c>
      <c r="P223">
        <f t="shared" si="18"/>
        <v>9.8406399993902442E-3</v>
      </c>
      <c r="Q223">
        <f t="shared" si="18"/>
        <v>3.7945600019046663E-3</v>
      </c>
      <c r="R223">
        <f t="shared" si="18"/>
        <v>2.8089999999997106E-3</v>
      </c>
      <c r="S223">
        <f t="shared" si="19"/>
        <v>1.363520000129491E-2</v>
      </c>
      <c r="T223">
        <f t="shared" si="20"/>
        <v>0.11676985913023494</v>
      </c>
    </row>
    <row r="224" spans="1:20" x14ac:dyDescent="0.3">
      <c r="A224" s="2" t="s">
        <v>1168</v>
      </c>
      <c r="B224" s="6" t="s">
        <v>896</v>
      </c>
      <c r="C224" s="2" t="s">
        <v>51</v>
      </c>
      <c r="D224" s="2" t="s">
        <v>30</v>
      </c>
      <c r="E224" s="3" t="s">
        <v>917</v>
      </c>
      <c r="F224" s="3" t="s">
        <v>918</v>
      </c>
      <c r="G224" s="3" t="s">
        <v>919</v>
      </c>
      <c r="J224" s="8" t="s">
        <v>900</v>
      </c>
      <c r="K224" s="8" t="s">
        <v>901</v>
      </c>
      <c r="L224" s="8" t="s">
        <v>902</v>
      </c>
      <c r="M224" s="3">
        <f t="shared" si="21"/>
        <v>8.6599999980535358E-2</v>
      </c>
      <c r="N224" s="3">
        <f t="shared" si="21"/>
        <v>-6.1400000005960464E-2</v>
      </c>
      <c r="O224" s="3">
        <f t="shared" si="17"/>
        <v>1.0999999999967258E-2</v>
      </c>
      <c r="P224">
        <f t="shared" si="18"/>
        <v>7.4995599966287243E-3</v>
      </c>
      <c r="Q224">
        <f t="shared" si="18"/>
        <v>3.769960000731945E-3</v>
      </c>
      <c r="R224">
        <f t="shared" si="18"/>
        <v>1.2099999999927968E-4</v>
      </c>
      <c r="S224">
        <f t="shared" si="19"/>
        <v>1.1269519997360668E-2</v>
      </c>
      <c r="T224">
        <f t="shared" si="20"/>
        <v>0.10615799544716671</v>
      </c>
    </row>
    <row r="225" spans="1:20" x14ac:dyDescent="0.3">
      <c r="A225" s="2" t="s">
        <v>1168</v>
      </c>
      <c r="B225" s="6" t="s">
        <v>896</v>
      </c>
      <c r="C225" s="2" t="s">
        <v>20</v>
      </c>
      <c r="D225" s="2" t="s">
        <v>52</v>
      </c>
      <c r="E225" s="3" t="s">
        <v>920</v>
      </c>
      <c r="F225" s="3" t="s">
        <v>921</v>
      </c>
      <c r="G225" s="3" t="s">
        <v>922</v>
      </c>
      <c r="J225" s="8" t="s">
        <v>900</v>
      </c>
      <c r="K225" s="8" t="s">
        <v>901</v>
      </c>
      <c r="L225" s="8" t="s">
        <v>902</v>
      </c>
      <c r="M225" s="3">
        <f t="shared" si="21"/>
        <v>7.5100000016391277E-2</v>
      </c>
      <c r="N225" s="3">
        <f t="shared" si="21"/>
        <v>-5.0400000007357448E-2</v>
      </c>
      <c r="O225" s="3">
        <f t="shared" si="17"/>
        <v>5.3999999999973625E-2</v>
      </c>
      <c r="P225">
        <f t="shared" si="18"/>
        <v>5.6400100024619699E-3</v>
      </c>
      <c r="Q225">
        <f t="shared" si="18"/>
        <v>2.5401600007416308E-3</v>
      </c>
      <c r="R225">
        <f t="shared" si="18"/>
        <v>2.9159999999971513E-3</v>
      </c>
      <c r="S225">
        <f t="shared" si="19"/>
        <v>8.1801700032036011E-3</v>
      </c>
      <c r="T225">
        <f t="shared" si="20"/>
        <v>9.0444292264374546E-2</v>
      </c>
    </row>
    <row r="226" spans="1:20" x14ac:dyDescent="0.3">
      <c r="A226" s="2" t="s">
        <v>1168</v>
      </c>
      <c r="B226" s="6" t="s">
        <v>896</v>
      </c>
      <c r="C226" s="2" t="s">
        <v>422</v>
      </c>
      <c r="D226" s="2" t="s">
        <v>423</v>
      </c>
      <c r="E226" s="3" t="s">
        <v>923</v>
      </c>
      <c r="F226" s="3" t="s">
        <v>924</v>
      </c>
      <c r="G226" s="3" t="s">
        <v>925</v>
      </c>
      <c r="J226" s="8" t="s">
        <v>900</v>
      </c>
      <c r="K226" s="8" t="s">
        <v>901</v>
      </c>
      <c r="L226" s="8" t="s">
        <v>902</v>
      </c>
      <c r="M226" s="3">
        <f t="shared" si="21"/>
        <v>7.4699999997392297E-2</v>
      </c>
      <c r="N226" s="3">
        <f t="shared" si="21"/>
        <v>-7.8800000017508864E-2</v>
      </c>
      <c r="O226" s="3">
        <f t="shared" si="17"/>
        <v>0.12400000000002365</v>
      </c>
      <c r="P226">
        <f t="shared" si="18"/>
        <v>5.5800899996104091E-3</v>
      </c>
      <c r="Q226">
        <f t="shared" si="18"/>
        <v>6.209440002759397E-3</v>
      </c>
      <c r="R226">
        <f t="shared" si="18"/>
        <v>1.5376000000005864E-2</v>
      </c>
      <c r="S226">
        <f t="shared" si="19"/>
        <v>1.1789530002369805E-2</v>
      </c>
      <c r="T226">
        <f t="shared" si="20"/>
        <v>0.10857960214685725</v>
      </c>
    </row>
    <row r="227" spans="1:20" x14ac:dyDescent="0.3">
      <c r="A227" s="2" t="s">
        <v>1168</v>
      </c>
      <c r="B227" s="6" t="s">
        <v>926</v>
      </c>
      <c r="C227" s="2" t="s">
        <v>20</v>
      </c>
      <c r="D227" s="2" t="s">
        <v>30</v>
      </c>
      <c r="E227" s="3" t="s">
        <v>927</v>
      </c>
      <c r="F227" s="3" t="s">
        <v>928</v>
      </c>
      <c r="G227" s="3" t="s">
        <v>929</v>
      </c>
      <c r="J227" s="8" t="s">
        <v>930</v>
      </c>
      <c r="K227" s="8" t="s">
        <v>931</v>
      </c>
      <c r="L227" s="8" t="s">
        <v>932</v>
      </c>
      <c r="M227" s="3">
        <f t="shared" si="21"/>
        <v>0.11400000000139698</v>
      </c>
      <c r="N227" s="3">
        <f t="shared" si="21"/>
        <v>4.0500000002793968E-2</v>
      </c>
      <c r="O227" s="3">
        <f t="shared" si="17"/>
        <v>3.8499999999999091E-2</v>
      </c>
      <c r="P227">
        <f t="shared" si="18"/>
        <v>1.2996000000318513E-2</v>
      </c>
      <c r="Q227">
        <f t="shared" si="18"/>
        <v>1.6402500002263114E-3</v>
      </c>
      <c r="R227">
        <f t="shared" si="18"/>
        <v>1.48224999999993E-3</v>
      </c>
      <c r="S227">
        <f t="shared" si="19"/>
        <v>1.4636250000544825E-2</v>
      </c>
      <c r="T227">
        <f t="shared" si="20"/>
        <v>0.12098037031082698</v>
      </c>
    </row>
    <row r="228" spans="1:20" x14ac:dyDescent="0.3">
      <c r="A228" s="2" t="s">
        <v>1168</v>
      </c>
      <c r="B228" s="6" t="s">
        <v>926</v>
      </c>
      <c r="C228" s="2" t="s">
        <v>20</v>
      </c>
      <c r="D228" s="2" t="s">
        <v>21</v>
      </c>
      <c r="E228" s="3" t="s">
        <v>933</v>
      </c>
      <c r="F228" s="3" t="s">
        <v>934</v>
      </c>
      <c r="G228" s="3" t="s">
        <v>935</v>
      </c>
      <c r="J228" s="8" t="s">
        <v>930</v>
      </c>
      <c r="K228" s="8" t="s">
        <v>931</v>
      </c>
      <c r="L228" s="8" t="s">
        <v>932</v>
      </c>
      <c r="M228" s="3">
        <f t="shared" si="21"/>
        <v>0.11190000001806766</v>
      </c>
      <c r="N228" s="3">
        <f t="shared" si="21"/>
        <v>4.7400000039488077E-2</v>
      </c>
      <c r="O228" s="3">
        <f t="shared" si="17"/>
        <v>4.4499999999999318E-2</v>
      </c>
      <c r="P228">
        <f t="shared" si="18"/>
        <v>1.2521610004043542E-2</v>
      </c>
      <c r="Q228">
        <f t="shared" si="18"/>
        <v>2.2467600037434695E-3</v>
      </c>
      <c r="R228">
        <f t="shared" si="18"/>
        <v>1.9802499999999391E-3</v>
      </c>
      <c r="S228">
        <f t="shared" si="19"/>
        <v>1.4768370007787012E-2</v>
      </c>
      <c r="T228">
        <f t="shared" si="20"/>
        <v>0.12152518260750325</v>
      </c>
    </row>
    <row r="229" spans="1:20" x14ac:dyDescent="0.3">
      <c r="A229" s="2" t="s">
        <v>1168</v>
      </c>
      <c r="B229" s="6" t="s">
        <v>926</v>
      </c>
      <c r="C229" s="2" t="s">
        <v>20</v>
      </c>
      <c r="D229" s="2" t="s">
        <v>110</v>
      </c>
      <c r="E229" s="3" t="s">
        <v>936</v>
      </c>
      <c r="F229" s="3" t="s">
        <v>937</v>
      </c>
      <c r="G229" s="3" t="s">
        <v>938</v>
      </c>
      <c r="J229" s="8" t="s">
        <v>930</v>
      </c>
      <c r="K229" s="8" t="s">
        <v>931</v>
      </c>
      <c r="L229" s="8" t="s">
        <v>932</v>
      </c>
      <c r="M229" s="3">
        <f t="shared" si="21"/>
        <v>0.11110000003827736</v>
      </c>
      <c r="N229" s="3">
        <f t="shared" si="21"/>
        <v>5.30000000144355E-2</v>
      </c>
      <c r="O229" s="3">
        <f t="shared" si="17"/>
        <v>7.550000000000523E-2</v>
      </c>
      <c r="P229">
        <f t="shared" si="18"/>
        <v>1.2343210008505228E-2</v>
      </c>
      <c r="Q229">
        <f t="shared" si="18"/>
        <v>2.809000001530163E-3</v>
      </c>
      <c r="R229">
        <f t="shared" si="18"/>
        <v>5.7002500000007898E-3</v>
      </c>
      <c r="S229">
        <f t="shared" si="19"/>
        <v>1.5152210010035392E-2</v>
      </c>
      <c r="T229">
        <f t="shared" si="20"/>
        <v>0.12309431347562483</v>
      </c>
    </row>
    <row r="230" spans="1:20" x14ac:dyDescent="0.3">
      <c r="A230" s="2" t="s">
        <v>1168</v>
      </c>
      <c r="B230" s="6" t="s">
        <v>926</v>
      </c>
      <c r="C230" s="2" t="s">
        <v>20</v>
      </c>
      <c r="D230" s="2" t="s">
        <v>37</v>
      </c>
      <c r="E230" s="3" t="s">
        <v>939</v>
      </c>
      <c r="F230" s="3" t="s">
        <v>934</v>
      </c>
      <c r="G230" s="3" t="s">
        <v>940</v>
      </c>
      <c r="J230" s="8" t="s">
        <v>930</v>
      </c>
      <c r="K230" s="8" t="s">
        <v>931</v>
      </c>
      <c r="L230" s="8" t="s">
        <v>932</v>
      </c>
      <c r="M230" s="3">
        <f t="shared" si="21"/>
        <v>0.1103000000002794</v>
      </c>
      <c r="N230" s="3">
        <f t="shared" si="21"/>
        <v>4.7400000039488077E-2</v>
      </c>
      <c r="O230" s="3">
        <f t="shared" si="17"/>
        <v>4.949999999999477E-2</v>
      </c>
      <c r="P230">
        <f t="shared" si="18"/>
        <v>1.2166090000061636E-2</v>
      </c>
      <c r="Q230">
        <f t="shared" si="18"/>
        <v>2.2467600037434695E-3</v>
      </c>
      <c r="R230">
        <f t="shared" si="18"/>
        <v>2.4502499999994824E-3</v>
      </c>
      <c r="S230">
        <f t="shared" si="19"/>
        <v>1.4412850003805105E-2</v>
      </c>
      <c r="T230">
        <f t="shared" si="20"/>
        <v>0.1200535297432154</v>
      </c>
    </row>
    <row r="231" spans="1:20" x14ac:dyDescent="0.3">
      <c r="A231" s="2" t="s">
        <v>1168</v>
      </c>
      <c r="B231" s="6" t="s">
        <v>926</v>
      </c>
      <c r="C231" s="2" t="s">
        <v>20</v>
      </c>
      <c r="D231" s="2" t="s">
        <v>46</v>
      </c>
      <c r="E231" s="3" t="s">
        <v>941</v>
      </c>
      <c r="F231" s="3" t="s">
        <v>942</v>
      </c>
      <c r="G231" s="3" t="s">
        <v>943</v>
      </c>
      <c r="J231" s="8" t="s">
        <v>930</v>
      </c>
      <c r="K231" s="8" t="s">
        <v>931</v>
      </c>
      <c r="L231" s="8" t="s">
        <v>932</v>
      </c>
      <c r="M231" s="3">
        <f t="shared" si="21"/>
        <v>0.11160000000381842</v>
      </c>
      <c r="N231" s="3">
        <f t="shared" si="21"/>
        <v>5.0000000046566129E-2</v>
      </c>
      <c r="O231" s="3">
        <f t="shared" si="17"/>
        <v>3.0499999999989313E-2</v>
      </c>
      <c r="P231">
        <f t="shared" si="18"/>
        <v>1.2454560000852271E-2</v>
      </c>
      <c r="Q231">
        <f t="shared" si="18"/>
        <v>2.5000000046566128E-3</v>
      </c>
      <c r="R231">
        <f t="shared" si="18"/>
        <v>9.3024999999934816E-4</v>
      </c>
      <c r="S231">
        <f t="shared" si="19"/>
        <v>1.4954560005508884E-2</v>
      </c>
      <c r="T231">
        <f t="shared" si="20"/>
        <v>0.12228883843388522</v>
      </c>
    </row>
    <row r="232" spans="1:20" x14ac:dyDescent="0.3">
      <c r="A232" s="2" t="s">
        <v>1168</v>
      </c>
      <c r="B232" s="6" t="s">
        <v>926</v>
      </c>
      <c r="C232" s="2" t="s">
        <v>51</v>
      </c>
      <c r="D232" s="2" t="s">
        <v>63</v>
      </c>
      <c r="E232" s="3" t="s">
        <v>944</v>
      </c>
      <c r="F232" s="3" t="s">
        <v>945</v>
      </c>
      <c r="G232" s="3" t="s">
        <v>946</v>
      </c>
      <c r="J232" s="8" t="s">
        <v>930</v>
      </c>
      <c r="K232" s="8" t="s">
        <v>931</v>
      </c>
      <c r="L232" s="8" t="s">
        <v>932</v>
      </c>
      <c r="M232" s="3">
        <f t="shared" si="21"/>
        <v>8.4400000050663948E-2</v>
      </c>
      <c r="N232" s="3">
        <f t="shared" si="21"/>
        <v>4.8799999989569187E-2</v>
      </c>
      <c r="O232" s="3">
        <f t="shared" si="17"/>
        <v>8.5499999999996135E-2</v>
      </c>
      <c r="P232">
        <f t="shared" si="18"/>
        <v>7.1233600085520744E-3</v>
      </c>
      <c r="Q232">
        <f t="shared" si="18"/>
        <v>2.3814399989819527E-3</v>
      </c>
      <c r="R232">
        <f t="shared" si="18"/>
        <v>7.310249999999339E-3</v>
      </c>
      <c r="S232">
        <f t="shared" si="19"/>
        <v>9.5048000075340262E-3</v>
      </c>
      <c r="T232">
        <f t="shared" si="20"/>
        <v>9.7492563857629805E-2</v>
      </c>
    </row>
    <row r="233" spans="1:20" x14ac:dyDescent="0.3">
      <c r="A233" s="2" t="s">
        <v>1168</v>
      </c>
      <c r="B233" s="6" t="s">
        <v>926</v>
      </c>
      <c r="C233" s="2" t="s">
        <v>51</v>
      </c>
      <c r="D233" s="2" t="s">
        <v>30</v>
      </c>
      <c r="E233" s="3" t="s">
        <v>947</v>
      </c>
      <c r="F233" s="3" t="s">
        <v>948</v>
      </c>
      <c r="G233" s="3" t="s">
        <v>949</v>
      </c>
      <c r="J233" s="8" t="s">
        <v>930</v>
      </c>
      <c r="K233" s="8" t="s">
        <v>931</v>
      </c>
      <c r="L233" s="8" t="s">
        <v>932</v>
      </c>
      <c r="M233" s="3">
        <f t="shared" si="21"/>
        <v>8.4500000055413693E-2</v>
      </c>
      <c r="N233" s="3">
        <f t="shared" si="21"/>
        <v>4.8600000038277358E-2</v>
      </c>
      <c r="O233" s="3">
        <f t="shared" si="17"/>
        <v>7.6500000000010004E-2</v>
      </c>
      <c r="P233">
        <f t="shared" si="18"/>
        <v>7.1402500093649141E-3</v>
      </c>
      <c r="Q233">
        <f t="shared" si="18"/>
        <v>2.3619600037205592E-3</v>
      </c>
      <c r="R233">
        <f t="shared" si="18"/>
        <v>5.8522500000015307E-3</v>
      </c>
      <c r="S233">
        <f t="shared" si="19"/>
        <v>9.5022100130854742E-3</v>
      </c>
      <c r="T233">
        <f t="shared" si="20"/>
        <v>9.7479279916736536E-2</v>
      </c>
    </row>
    <row r="234" spans="1:20" x14ac:dyDescent="0.3">
      <c r="A234" s="2" t="s">
        <v>1168</v>
      </c>
      <c r="B234" s="6" t="s">
        <v>926</v>
      </c>
      <c r="C234" s="2" t="s">
        <v>51</v>
      </c>
      <c r="D234" s="2" t="s">
        <v>52</v>
      </c>
      <c r="E234" s="3" t="s">
        <v>950</v>
      </c>
      <c r="F234" s="3" t="s">
        <v>951</v>
      </c>
      <c r="G234" s="3" t="s">
        <v>952</v>
      </c>
      <c r="J234" s="8" t="s">
        <v>930</v>
      </c>
      <c r="K234" s="8" t="s">
        <v>931</v>
      </c>
      <c r="L234" s="8" t="s">
        <v>932</v>
      </c>
      <c r="M234" s="3">
        <f t="shared" si="21"/>
        <v>9.3200000002980232E-2</v>
      </c>
      <c r="N234" s="3">
        <f t="shared" si="21"/>
        <v>4.6200000040698797E-2</v>
      </c>
      <c r="O234" s="3">
        <f t="shared" si="17"/>
        <v>8.7500000000005684E-2</v>
      </c>
      <c r="P234">
        <f t="shared" si="18"/>
        <v>8.6862400005555153E-3</v>
      </c>
      <c r="Q234">
        <f t="shared" si="18"/>
        <v>2.1344400037605687E-3</v>
      </c>
      <c r="R234">
        <f t="shared" si="18"/>
        <v>7.6562500000009947E-3</v>
      </c>
      <c r="S234">
        <f t="shared" si="19"/>
        <v>1.0820680004316085E-2</v>
      </c>
      <c r="T234">
        <f t="shared" si="20"/>
        <v>0.10402249758737811</v>
      </c>
    </row>
    <row r="235" spans="1:20" x14ac:dyDescent="0.3">
      <c r="A235" s="2" t="s">
        <v>1168</v>
      </c>
      <c r="B235" s="6" t="s">
        <v>926</v>
      </c>
      <c r="C235" s="2" t="s">
        <v>422</v>
      </c>
      <c r="D235" s="2" t="s">
        <v>423</v>
      </c>
      <c r="E235" s="3" t="s">
        <v>953</v>
      </c>
      <c r="F235" s="3" t="s">
        <v>954</v>
      </c>
      <c r="G235" s="3" t="s">
        <v>955</v>
      </c>
      <c r="J235" s="8" t="s">
        <v>930</v>
      </c>
      <c r="K235" s="8" t="s">
        <v>931</v>
      </c>
      <c r="L235" s="8" t="s">
        <v>932</v>
      </c>
      <c r="M235" s="3">
        <f t="shared" si="21"/>
        <v>8.9100000041071326E-2</v>
      </c>
      <c r="N235" s="3">
        <f t="shared" si="21"/>
        <v>3.539999999338761E-2</v>
      </c>
      <c r="O235" s="3">
        <f t="shared" si="17"/>
        <v>0.1185000000000116</v>
      </c>
      <c r="P235">
        <f t="shared" si="18"/>
        <v>7.9388100073189104E-3</v>
      </c>
      <c r="Q235">
        <f t="shared" si="18"/>
        <v>1.2531599995318427E-3</v>
      </c>
      <c r="R235">
        <f t="shared" si="18"/>
        <v>1.4042250000002749E-2</v>
      </c>
      <c r="S235">
        <f t="shared" si="19"/>
        <v>9.1919700068507533E-3</v>
      </c>
      <c r="T235">
        <f t="shared" si="20"/>
        <v>9.5874762095406282E-2</v>
      </c>
    </row>
    <row r="236" spans="1:20" x14ac:dyDescent="0.3">
      <c r="A236" s="2" t="s">
        <v>1168</v>
      </c>
      <c r="B236" s="6" t="s">
        <v>956</v>
      </c>
      <c r="C236" s="2" t="s">
        <v>20</v>
      </c>
      <c r="D236" s="2" t="s">
        <v>30</v>
      </c>
      <c r="E236" s="3" t="s">
        <v>957</v>
      </c>
      <c r="F236" s="3" t="s">
        <v>958</v>
      </c>
      <c r="G236" s="3" t="s">
        <v>959</v>
      </c>
      <c r="J236" s="5" t="s">
        <v>960</v>
      </c>
      <c r="K236" s="5" t="s">
        <v>961</v>
      </c>
      <c r="L236" s="5" t="s">
        <v>962</v>
      </c>
      <c r="M236" s="3">
        <f t="shared" si="21"/>
        <v>0.14589999994495884</v>
      </c>
      <c r="N236" s="3">
        <f t="shared" si="21"/>
        <v>4.7900000005029142E-2</v>
      </c>
      <c r="O236" s="3">
        <f t="shared" si="17"/>
        <v>5.5999999999983174E-2</v>
      </c>
      <c r="P236">
        <f t="shared" si="18"/>
        <v>2.128680998393899E-2</v>
      </c>
      <c r="Q236">
        <f t="shared" si="18"/>
        <v>2.2944100004817919E-3</v>
      </c>
      <c r="R236">
        <f t="shared" si="18"/>
        <v>3.1359999999981156E-3</v>
      </c>
      <c r="S236">
        <f t="shared" si="19"/>
        <v>2.3581219984420781E-2</v>
      </c>
      <c r="T236">
        <f t="shared" si="20"/>
        <v>0.15356177904811075</v>
      </c>
    </row>
    <row r="237" spans="1:20" x14ac:dyDescent="0.3">
      <c r="A237" s="2" t="s">
        <v>1168</v>
      </c>
      <c r="B237" s="6" t="s">
        <v>956</v>
      </c>
      <c r="C237" s="2" t="s">
        <v>20</v>
      </c>
      <c r="D237" s="2" t="s">
        <v>21</v>
      </c>
      <c r="E237" s="3" t="s">
        <v>963</v>
      </c>
      <c r="F237" s="3" t="s">
        <v>964</v>
      </c>
      <c r="G237" s="3" t="s">
        <v>965</v>
      </c>
      <c r="J237" s="5" t="s">
        <v>960</v>
      </c>
      <c r="K237" s="5" t="s">
        <v>961</v>
      </c>
      <c r="L237" s="5" t="s">
        <v>962</v>
      </c>
      <c r="M237" s="3">
        <f t="shared" si="21"/>
        <v>0.14299999998183921</v>
      </c>
      <c r="N237" s="3">
        <f t="shared" si="21"/>
        <v>4.5199999993201345E-2</v>
      </c>
      <c r="O237" s="3">
        <f t="shared" si="17"/>
        <v>4.4999999999987494E-2</v>
      </c>
      <c r="P237">
        <f t="shared" si="18"/>
        <v>2.0448999994806014E-2</v>
      </c>
      <c r="Q237">
        <f t="shared" si="18"/>
        <v>2.0430399993854017E-3</v>
      </c>
      <c r="R237">
        <f t="shared" si="18"/>
        <v>2.0249999999988745E-3</v>
      </c>
      <c r="S237">
        <f t="shared" si="19"/>
        <v>2.2492039994191415E-2</v>
      </c>
      <c r="T237">
        <f t="shared" si="20"/>
        <v>0.14997346430016018</v>
      </c>
    </row>
    <row r="238" spans="1:20" x14ac:dyDescent="0.3">
      <c r="A238" s="2" t="s">
        <v>1168</v>
      </c>
      <c r="B238" s="6" t="s">
        <v>966</v>
      </c>
      <c r="C238" s="2" t="s">
        <v>20</v>
      </c>
      <c r="D238" s="2" t="s">
        <v>110</v>
      </c>
      <c r="E238" s="3" t="s">
        <v>967</v>
      </c>
      <c r="F238" s="3" t="s">
        <v>968</v>
      </c>
      <c r="G238" s="3" t="s">
        <v>969</v>
      </c>
      <c r="J238" s="5" t="s">
        <v>970</v>
      </c>
      <c r="K238" s="5" t="s">
        <v>971</v>
      </c>
      <c r="L238" s="5" t="s">
        <v>962</v>
      </c>
      <c r="M238" s="3">
        <f t="shared" si="21"/>
        <v>0.1387999999569729</v>
      </c>
      <c r="N238" s="3">
        <f t="shared" si="21"/>
        <v>5.0800000026356429E-2</v>
      </c>
      <c r="O238" s="3">
        <f t="shared" si="17"/>
        <v>5.2999999999997272E-2</v>
      </c>
      <c r="P238">
        <f t="shared" si="18"/>
        <v>1.9265439988055678E-2</v>
      </c>
      <c r="Q238">
        <f t="shared" si="18"/>
        <v>2.5806400026778132E-3</v>
      </c>
      <c r="R238">
        <f t="shared" si="18"/>
        <v>2.8089999999997106E-3</v>
      </c>
      <c r="S238">
        <f t="shared" si="19"/>
        <v>2.1846079990733493E-2</v>
      </c>
      <c r="T238">
        <f t="shared" si="20"/>
        <v>0.14780419476704135</v>
      </c>
    </row>
    <row r="239" spans="1:20" x14ac:dyDescent="0.3">
      <c r="A239" s="2" t="s">
        <v>1168</v>
      </c>
      <c r="B239" s="6" t="s">
        <v>966</v>
      </c>
      <c r="C239" s="2" t="s">
        <v>20</v>
      </c>
      <c r="D239" s="2" t="s">
        <v>37</v>
      </c>
      <c r="E239" s="3" t="s">
        <v>972</v>
      </c>
      <c r="F239" s="3" t="s">
        <v>973</v>
      </c>
      <c r="G239" s="3" t="s">
        <v>965</v>
      </c>
      <c r="J239" s="5" t="s">
        <v>970</v>
      </c>
      <c r="K239" s="5" t="s">
        <v>971</v>
      </c>
      <c r="L239" s="5" t="s">
        <v>962</v>
      </c>
      <c r="M239" s="3">
        <f t="shared" si="21"/>
        <v>0.13819999998668209</v>
      </c>
      <c r="N239" s="3">
        <f t="shared" si="21"/>
        <v>4.2400000034831464E-2</v>
      </c>
      <c r="O239" s="3">
        <f t="shared" si="17"/>
        <v>4.4999999999987494E-2</v>
      </c>
      <c r="P239">
        <f t="shared" si="18"/>
        <v>1.9099239996318931E-2</v>
      </c>
      <c r="Q239">
        <f t="shared" si="18"/>
        <v>1.7977600029537083E-3</v>
      </c>
      <c r="R239">
        <f t="shared" si="18"/>
        <v>2.0249999999988745E-3</v>
      </c>
      <c r="S239">
        <f t="shared" si="19"/>
        <v>2.089699999927264E-2</v>
      </c>
      <c r="T239">
        <f t="shared" si="20"/>
        <v>0.14455794685617473</v>
      </c>
    </row>
    <row r="240" spans="1:20" x14ac:dyDescent="0.3">
      <c r="A240" s="2" t="s">
        <v>1168</v>
      </c>
      <c r="B240" s="6" t="s">
        <v>966</v>
      </c>
      <c r="C240" s="2" t="s">
        <v>20</v>
      </c>
      <c r="D240" s="2" t="s">
        <v>46</v>
      </c>
      <c r="E240" s="3" t="s">
        <v>974</v>
      </c>
      <c r="F240" s="3" t="s">
        <v>975</v>
      </c>
      <c r="G240" s="3" t="s">
        <v>976</v>
      </c>
      <c r="J240" s="5" t="s">
        <v>970</v>
      </c>
      <c r="K240" s="5" t="s">
        <v>971</v>
      </c>
      <c r="L240" s="5" t="s">
        <v>962</v>
      </c>
      <c r="M240" s="3">
        <f t="shared" si="21"/>
        <v>0.13589999999385327</v>
      </c>
      <c r="N240" s="3">
        <f t="shared" si="21"/>
        <v>4.6399999991990626E-2</v>
      </c>
      <c r="O240" s="3">
        <f t="shared" si="17"/>
        <v>3.8999999999987267E-2</v>
      </c>
      <c r="P240">
        <f t="shared" si="18"/>
        <v>1.8468809998329318E-2</v>
      </c>
      <c r="Q240">
        <f t="shared" si="18"/>
        <v>2.1529599992567302E-3</v>
      </c>
      <c r="R240">
        <f t="shared" si="18"/>
        <v>1.5209999999990069E-3</v>
      </c>
      <c r="S240">
        <f t="shared" si="19"/>
        <v>2.0621769997586047E-2</v>
      </c>
      <c r="T240">
        <f t="shared" si="20"/>
        <v>0.14360282029816143</v>
      </c>
    </row>
    <row r="241" spans="1:20" x14ac:dyDescent="0.3">
      <c r="A241" s="2" t="s">
        <v>1168</v>
      </c>
      <c r="B241" s="6" t="s">
        <v>966</v>
      </c>
      <c r="C241" s="2" t="s">
        <v>51</v>
      </c>
      <c r="D241" s="2" t="s">
        <v>63</v>
      </c>
      <c r="E241" s="3" t="s">
        <v>977</v>
      </c>
      <c r="F241" s="3" t="s">
        <v>958</v>
      </c>
      <c r="G241" s="3" t="s">
        <v>978</v>
      </c>
      <c r="J241" s="5" t="s">
        <v>970</v>
      </c>
      <c r="K241" s="5" t="s">
        <v>971</v>
      </c>
      <c r="L241" s="5" t="s">
        <v>962</v>
      </c>
      <c r="M241" s="3">
        <f t="shared" si="21"/>
        <v>0.17699999996693805</v>
      </c>
      <c r="N241" s="3">
        <f t="shared" si="21"/>
        <v>4.7900000005029142E-2</v>
      </c>
      <c r="O241" s="3">
        <f t="shared" si="17"/>
        <v>8.7000000000017508E-2</v>
      </c>
      <c r="P241">
        <f t="shared" si="18"/>
        <v>3.1328999988296066E-2</v>
      </c>
      <c r="Q241">
        <f t="shared" si="18"/>
        <v>2.2944100004817919E-3</v>
      </c>
      <c r="R241">
        <f t="shared" si="18"/>
        <v>7.5690000000030464E-3</v>
      </c>
      <c r="S241">
        <f t="shared" si="19"/>
        <v>3.3623409988777858E-2</v>
      </c>
      <c r="T241">
        <f t="shared" si="20"/>
        <v>0.18336687265909798</v>
      </c>
    </row>
    <row r="242" spans="1:20" x14ac:dyDescent="0.3">
      <c r="A242" s="2" t="s">
        <v>1168</v>
      </c>
      <c r="B242" s="6" t="s">
        <v>966</v>
      </c>
      <c r="C242" s="2" t="s">
        <v>51</v>
      </c>
      <c r="D242" s="2" t="s">
        <v>30</v>
      </c>
      <c r="E242" s="3" t="s">
        <v>979</v>
      </c>
      <c r="F242" s="3" t="s">
        <v>980</v>
      </c>
      <c r="G242" s="3" t="s">
        <v>981</v>
      </c>
      <c r="J242" s="5" t="s">
        <v>970</v>
      </c>
      <c r="K242" s="5" t="s">
        <v>971</v>
      </c>
      <c r="L242" s="5" t="s">
        <v>962</v>
      </c>
      <c r="M242" s="3">
        <f t="shared" si="21"/>
        <v>0.14059999998426065</v>
      </c>
      <c r="N242" s="3">
        <f t="shared" si="21"/>
        <v>5.280000000493601E-2</v>
      </c>
      <c r="O242" s="3">
        <f t="shared" si="17"/>
        <v>0.12800000000001432</v>
      </c>
      <c r="P242">
        <f t="shared" si="18"/>
        <v>1.9768359995574095E-2</v>
      </c>
      <c r="Q242">
        <f t="shared" si="18"/>
        <v>2.7878400005212425E-3</v>
      </c>
      <c r="R242">
        <f t="shared" si="18"/>
        <v>1.6384000000003666E-2</v>
      </c>
      <c r="S242">
        <f t="shared" si="19"/>
        <v>2.2556199996095337E-2</v>
      </c>
      <c r="T242">
        <f t="shared" si="20"/>
        <v>0.15018721648694119</v>
      </c>
    </row>
    <row r="243" spans="1:20" x14ac:dyDescent="0.3">
      <c r="A243" s="2" t="s">
        <v>1168</v>
      </c>
      <c r="B243" s="6" t="s">
        <v>966</v>
      </c>
      <c r="C243" s="2" t="s">
        <v>51</v>
      </c>
      <c r="D243" s="2" t="s">
        <v>52</v>
      </c>
      <c r="E243" s="3" t="s">
        <v>982</v>
      </c>
      <c r="F243" s="3" t="s">
        <v>983</v>
      </c>
      <c r="G243" s="3" t="s">
        <v>984</v>
      </c>
      <c r="J243" s="5" t="s">
        <v>970</v>
      </c>
      <c r="K243" s="5" t="s">
        <v>971</v>
      </c>
      <c r="L243" s="5" t="s">
        <v>962</v>
      </c>
      <c r="M243" s="3">
        <f t="shared" si="21"/>
        <v>0.14679999998770654</v>
      </c>
      <c r="N243" s="3">
        <f t="shared" si="21"/>
        <v>4.9600000027567148E-2</v>
      </c>
      <c r="O243" s="3">
        <f t="shared" si="17"/>
        <v>0.10699999999999932</v>
      </c>
      <c r="P243">
        <f t="shared" si="18"/>
        <v>2.1550239996390642E-2</v>
      </c>
      <c r="Q243">
        <f t="shared" si="18"/>
        <v>2.4601600027346609E-3</v>
      </c>
      <c r="R243">
        <f t="shared" si="18"/>
        <v>1.1448999999999853E-2</v>
      </c>
      <c r="S243">
        <f t="shared" si="19"/>
        <v>2.4010399999125305E-2</v>
      </c>
      <c r="T243">
        <f t="shared" si="20"/>
        <v>0.15495289606562798</v>
      </c>
    </row>
    <row r="244" spans="1:20" x14ac:dyDescent="0.3">
      <c r="A244" s="2" t="s">
        <v>1168</v>
      </c>
      <c r="B244" s="6" t="s">
        <v>966</v>
      </c>
      <c r="C244" s="2" t="s">
        <v>51</v>
      </c>
      <c r="D244" s="2" t="s">
        <v>52</v>
      </c>
      <c r="E244" s="3" t="s">
        <v>985</v>
      </c>
      <c r="F244" s="3" t="s">
        <v>986</v>
      </c>
      <c r="G244" s="3" t="s">
        <v>987</v>
      </c>
      <c r="J244" s="5" t="s">
        <v>970</v>
      </c>
      <c r="K244" s="5" t="s">
        <v>971</v>
      </c>
      <c r="L244" s="5" t="s">
        <v>962</v>
      </c>
      <c r="M244" s="3">
        <f t="shared" si="21"/>
        <v>0.14889999997103587</v>
      </c>
      <c r="N244" s="3">
        <f t="shared" si="21"/>
        <v>4.7699999995529652E-2</v>
      </c>
      <c r="O244" s="3">
        <f t="shared" si="17"/>
        <v>0.10800000000000409</v>
      </c>
      <c r="P244">
        <f t="shared" si="18"/>
        <v>2.217120999137448E-2</v>
      </c>
      <c r="Q244">
        <f t="shared" si="18"/>
        <v>2.2752899995735288E-3</v>
      </c>
      <c r="R244">
        <f t="shared" si="18"/>
        <v>1.1664000000000884E-2</v>
      </c>
      <c r="S244">
        <f t="shared" si="19"/>
        <v>2.4446499990948008E-2</v>
      </c>
      <c r="T244">
        <f t="shared" si="20"/>
        <v>0.15635376551573041</v>
      </c>
    </row>
    <row r="245" spans="1:20" x14ac:dyDescent="0.3">
      <c r="A245" s="2" t="s">
        <v>1168</v>
      </c>
      <c r="B245" s="6" t="s">
        <v>966</v>
      </c>
      <c r="C245" s="2" t="s">
        <v>422</v>
      </c>
      <c r="D245" s="2" t="s">
        <v>423</v>
      </c>
      <c r="E245" s="3" t="s">
        <v>988</v>
      </c>
      <c r="F245" s="3" t="s">
        <v>989</v>
      </c>
      <c r="G245" s="3" t="s">
        <v>990</v>
      </c>
      <c r="J245" s="5" t="s">
        <v>970</v>
      </c>
      <c r="K245" s="5" t="s">
        <v>971</v>
      </c>
      <c r="L245" s="5" t="s">
        <v>962</v>
      </c>
      <c r="M245" s="3">
        <f t="shared" si="21"/>
        <v>0.15259999997215346</v>
      </c>
      <c r="N245" s="3">
        <f t="shared" si="21"/>
        <v>7.3900000017601997E-2</v>
      </c>
      <c r="O245" s="3">
        <f t="shared" si="17"/>
        <v>7.6999999999998181E-2</v>
      </c>
      <c r="P245">
        <f t="shared" si="18"/>
        <v>2.3286759991501236E-2</v>
      </c>
      <c r="Q245">
        <f t="shared" si="18"/>
        <v>5.4612100026015754E-3</v>
      </c>
      <c r="R245">
        <f t="shared" si="18"/>
        <v>5.9289999999997201E-3</v>
      </c>
      <c r="S245">
        <f t="shared" si="19"/>
        <v>2.8747969994102812E-2</v>
      </c>
      <c r="T245">
        <f t="shared" si="20"/>
        <v>0.16955226331164916</v>
      </c>
    </row>
    <row r="246" spans="1:20" x14ac:dyDescent="0.3">
      <c r="A246" s="2" t="s">
        <v>1168</v>
      </c>
      <c r="B246" s="6" t="s">
        <v>991</v>
      </c>
      <c r="C246" s="2" t="s">
        <v>20</v>
      </c>
      <c r="D246" s="2" t="s">
        <v>30</v>
      </c>
      <c r="E246" s="3" t="s">
        <v>992</v>
      </c>
      <c r="F246" s="3" t="s">
        <v>993</v>
      </c>
      <c r="G246" s="3" t="s">
        <v>994</v>
      </c>
      <c r="J246" s="8" t="s">
        <v>995</v>
      </c>
      <c r="K246" s="8" t="s">
        <v>996</v>
      </c>
      <c r="L246" s="8" t="s">
        <v>997</v>
      </c>
      <c r="M246" s="3">
        <f t="shared" si="21"/>
        <v>0.15200000000186265</v>
      </c>
      <c r="N246" s="3">
        <f t="shared" si="21"/>
        <v>-7.7099999994970858E-2</v>
      </c>
      <c r="O246" s="3">
        <f t="shared" si="17"/>
        <v>1.5300000000024738E-2</v>
      </c>
      <c r="P246">
        <f t="shared" si="18"/>
        <v>2.3104000000566245E-2</v>
      </c>
      <c r="Q246">
        <f t="shared" si="18"/>
        <v>5.9444099992245064E-3</v>
      </c>
      <c r="R246">
        <f t="shared" si="18"/>
        <v>2.3409000000075699E-4</v>
      </c>
      <c r="S246">
        <f t="shared" si="19"/>
        <v>2.9048409999790751E-2</v>
      </c>
      <c r="T246">
        <f t="shared" si="20"/>
        <v>0.17043594104469501</v>
      </c>
    </row>
    <row r="247" spans="1:20" x14ac:dyDescent="0.3">
      <c r="A247" s="2" t="s">
        <v>1168</v>
      </c>
      <c r="B247" s="6" t="s">
        <v>991</v>
      </c>
      <c r="C247" s="2" t="s">
        <v>20</v>
      </c>
      <c r="D247" s="2" t="s">
        <v>21</v>
      </c>
      <c r="E247" s="3" t="s">
        <v>998</v>
      </c>
      <c r="F247" s="3" t="s">
        <v>999</v>
      </c>
      <c r="G247" s="3" t="s">
        <v>994</v>
      </c>
      <c r="J247" s="8" t="s">
        <v>995</v>
      </c>
      <c r="K247" s="8" t="s">
        <v>996</v>
      </c>
      <c r="L247" s="8" t="s">
        <v>997</v>
      </c>
      <c r="M247" s="3">
        <f t="shared" si="21"/>
        <v>0.15600000001722947</v>
      </c>
      <c r="N247" s="3">
        <f t="shared" si="21"/>
        <v>-9.0800000005401671E-2</v>
      </c>
      <c r="O247" s="3">
        <f t="shared" si="17"/>
        <v>1.5300000000024738E-2</v>
      </c>
      <c r="P247">
        <f t="shared" si="18"/>
        <v>2.4336000005375592E-2</v>
      </c>
      <c r="Q247">
        <f t="shared" si="18"/>
        <v>8.2446400009809438E-3</v>
      </c>
      <c r="R247">
        <f t="shared" si="18"/>
        <v>2.3409000000075699E-4</v>
      </c>
      <c r="S247">
        <f t="shared" si="19"/>
        <v>3.2580640006356534E-2</v>
      </c>
      <c r="T247">
        <f t="shared" si="20"/>
        <v>0.180501080346785</v>
      </c>
    </row>
    <row r="248" spans="1:20" x14ac:dyDescent="0.3">
      <c r="A248" s="2" t="s">
        <v>1168</v>
      </c>
      <c r="B248" s="6" t="s">
        <v>991</v>
      </c>
      <c r="C248" s="2" t="s">
        <v>20</v>
      </c>
      <c r="D248" s="2" t="s">
        <v>110</v>
      </c>
      <c r="E248" s="3" t="s">
        <v>1000</v>
      </c>
      <c r="F248" s="3" t="s">
        <v>1001</v>
      </c>
      <c r="G248" s="3" t="s">
        <v>994</v>
      </c>
      <c r="J248" s="8" t="s">
        <v>995</v>
      </c>
      <c r="K248" s="8" t="s">
        <v>996</v>
      </c>
      <c r="L248" s="8" t="s">
        <v>997</v>
      </c>
      <c r="M248" s="3">
        <f t="shared" si="21"/>
        <v>0.14549999998416752</v>
      </c>
      <c r="N248" s="3">
        <f t="shared" si="21"/>
        <v>-9.1600000043399632E-2</v>
      </c>
      <c r="O248" s="3">
        <f t="shared" si="17"/>
        <v>1.5300000000024738E-2</v>
      </c>
      <c r="P248">
        <f t="shared" si="18"/>
        <v>2.1170249995392746E-2</v>
      </c>
      <c r="Q248">
        <f t="shared" si="18"/>
        <v>8.3905600079508119E-3</v>
      </c>
      <c r="R248">
        <f t="shared" si="18"/>
        <v>2.3409000000075699E-4</v>
      </c>
      <c r="S248">
        <f t="shared" si="19"/>
        <v>2.9560810003343558E-2</v>
      </c>
      <c r="T248">
        <f t="shared" si="20"/>
        <v>0.17193257400313519</v>
      </c>
    </row>
    <row r="249" spans="1:20" x14ac:dyDescent="0.3">
      <c r="A249" s="2" t="s">
        <v>1168</v>
      </c>
      <c r="B249" s="6" t="s">
        <v>991</v>
      </c>
      <c r="C249" s="2" t="s">
        <v>20</v>
      </c>
      <c r="D249" s="2" t="s">
        <v>37</v>
      </c>
      <c r="E249" s="3" t="s">
        <v>1002</v>
      </c>
      <c r="F249" s="3" t="s">
        <v>1003</v>
      </c>
      <c r="G249" s="3" t="s">
        <v>1004</v>
      </c>
      <c r="J249" s="8" t="s">
        <v>995</v>
      </c>
      <c r="K249" s="8" t="s">
        <v>996</v>
      </c>
      <c r="L249" s="8" t="s">
        <v>997</v>
      </c>
      <c r="M249" s="3">
        <f t="shared" si="21"/>
        <v>0.1466999999829568</v>
      </c>
      <c r="N249" s="3">
        <f t="shared" si="21"/>
        <v>-8.5300000035203993E-2</v>
      </c>
      <c r="O249" s="3">
        <f t="shared" si="17"/>
        <v>3.6300000000039745E-2</v>
      </c>
      <c r="P249">
        <f t="shared" si="18"/>
        <v>2.1520889994999525E-2</v>
      </c>
      <c r="Q249">
        <f t="shared" si="18"/>
        <v>7.2760900060058016E-3</v>
      </c>
      <c r="R249">
        <f t="shared" si="18"/>
        <v>1.3176900000028855E-3</v>
      </c>
      <c r="S249">
        <f t="shared" si="19"/>
        <v>2.8796980001005328E-2</v>
      </c>
      <c r="T249">
        <f t="shared" si="20"/>
        <v>0.16969672949413411</v>
      </c>
    </row>
    <row r="250" spans="1:20" x14ac:dyDescent="0.3">
      <c r="A250" s="2" t="s">
        <v>1168</v>
      </c>
      <c r="B250" s="6" t="s">
        <v>991</v>
      </c>
      <c r="C250" s="2" t="s">
        <v>20</v>
      </c>
      <c r="D250" s="2" t="s">
        <v>46</v>
      </c>
      <c r="E250" s="3" t="s">
        <v>1005</v>
      </c>
      <c r="F250" s="3" t="s">
        <v>1006</v>
      </c>
      <c r="G250" s="3" t="s">
        <v>1007</v>
      </c>
      <c r="J250" s="8" t="s">
        <v>995</v>
      </c>
      <c r="K250" s="8" t="s">
        <v>996</v>
      </c>
      <c r="L250" s="8" t="s">
        <v>997</v>
      </c>
      <c r="M250" s="3">
        <f t="shared" si="21"/>
        <v>0.14799999998649582</v>
      </c>
      <c r="N250" s="3">
        <f t="shared" si="21"/>
        <v>-8.3100000047124922E-2</v>
      </c>
      <c r="O250" s="3">
        <f t="shared" si="17"/>
        <v>4.83000000000402E-2</v>
      </c>
      <c r="P250">
        <f t="shared" si="18"/>
        <v>2.1903999996002763E-2</v>
      </c>
      <c r="Q250">
        <f t="shared" si="18"/>
        <v>6.9056100078321624E-3</v>
      </c>
      <c r="R250">
        <f t="shared" si="18"/>
        <v>2.3328900000038834E-3</v>
      </c>
      <c r="S250">
        <f t="shared" si="19"/>
        <v>2.8809610003834925E-2</v>
      </c>
      <c r="T250">
        <f t="shared" si="20"/>
        <v>0.16973393886855664</v>
      </c>
    </row>
    <row r="251" spans="1:20" x14ac:dyDescent="0.3">
      <c r="A251" s="2" t="s">
        <v>1168</v>
      </c>
      <c r="B251" s="6" t="s">
        <v>991</v>
      </c>
      <c r="C251" s="2" t="s">
        <v>51</v>
      </c>
      <c r="D251" s="2" t="s">
        <v>30</v>
      </c>
      <c r="E251" s="3" t="s">
        <v>1008</v>
      </c>
      <c r="F251" s="3" t="s">
        <v>1009</v>
      </c>
      <c r="G251" s="3" t="s">
        <v>1010</v>
      </c>
      <c r="J251" s="8" t="s">
        <v>995</v>
      </c>
      <c r="K251" s="8" t="s">
        <v>996</v>
      </c>
      <c r="L251" s="8" t="s">
        <v>997</v>
      </c>
      <c r="M251" s="3">
        <f t="shared" si="21"/>
        <v>0.15100000001257285</v>
      </c>
      <c r="N251" s="3">
        <f t="shared" si="21"/>
        <v>-0.10730000003241003</v>
      </c>
      <c r="O251" s="3">
        <f t="shared" si="17"/>
        <v>3.1299999999987449E-2</v>
      </c>
      <c r="P251">
        <f t="shared" si="18"/>
        <v>2.2801000003797003E-2</v>
      </c>
      <c r="Q251">
        <f t="shared" si="18"/>
        <v>1.1513290006955192E-2</v>
      </c>
      <c r="R251">
        <f t="shared" si="18"/>
        <v>9.7968999999921424E-4</v>
      </c>
      <c r="S251">
        <f t="shared" si="19"/>
        <v>3.4314290010752195E-2</v>
      </c>
      <c r="T251">
        <f t="shared" si="20"/>
        <v>0.18524116715987349</v>
      </c>
    </row>
    <row r="252" spans="1:20" x14ac:dyDescent="0.3">
      <c r="A252" s="2" t="s">
        <v>1168</v>
      </c>
      <c r="B252" s="6" t="s">
        <v>991</v>
      </c>
      <c r="C252" s="2" t="s">
        <v>51</v>
      </c>
      <c r="D252" s="2" t="s">
        <v>52</v>
      </c>
      <c r="E252" s="3" t="s">
        <v>1011</v>
      </c>
      <c r="F252" s="3" t="s">
        <v>1012</v>
      </c>
      <c r="G252" s="3" t="s">
        <v>1013</v>
      </c>
      <c r="J252" s="8" t="s">
        <v>995</v>
      </c>
      <c r="K252" s="8" t="s">
        <v>996</v>
      </c>
      <c r="L252" s="8" t="s">
        <v>997</v>
      </c>
      <c r="M252" s="3">
        <f t="shared" si="21"/>
        <v>0.13819999998668209</v>
      </c>
      <c r="N252" s="3">
        <f t="shared" si="21"/>
        <v>-9.4900000025518239E-2</v>
      </c>
      <c r="O252" s="3">
        <f t="shared" si="17"/>
        <v>1.9299999999986994E-2</v>
      </c>
      <c r="P252">
        <f t="shared" si="18"/>
        <v>1.9099239996318931E-2</v>
      </c>
      <c r="Q252">
        <f t="shared" si="18"/>
        <v>9.0060100048433619E-3</v>
      </c>
      <c r="R252">
        <f t="shared" si="18"/>
        <v>3.7248999999949797E-4</v>
      </c>
      <c r="S252">
        <f t="shared" si="19"/>
        <v>2.8105250001162291E-2</v>
      </c>
      <c r="T252">
        <f t="shared" si="20"/>
        <v>0.16764620485165266</v>
      </c>
    </row>
    <row r="253" spans="1:20" x14ac:dyDescent="0.3">
      <c r="A253" s="2" t="s">
        <v>1168</v>
      </c>
      <c r="B253" s="6" t="s">
        <v>991</v>
      </c>
      <c r="C253" s="2" t="s">
        <v>51</v>
      </c>
      <c r="D253" s="2" t="s">
        <v>63</v>
      </c>
      <c r="E253" s="3" t="s">
        <v>1014</v>
      </c>
      <c r="F253" s="3" t="s">
        <v>1015</v>
      </c>
      <c r="G253" s="3" t="s">
        <v>1016</v>
      </c>
      <c r="J253" s="8" t="s">
        <v>995</v>
      </c>
      <c r="K253" s="8" t="s">
        <v>996</v>
      </c>
      <c r="L253" s="8" t="s">
        <v>997</v>
      </c>
      <c r="M253" s="3">
        <f t="shared" si="21"/>
        <v>0.16220000002067536</v>
      </c>
      <c r="N253" s="3">
        <f t="shared" si="21"/>
        <v>-0.14280000003054738</v>
      </c>
      <c r="O253" s="3">
        <f t="shared" si="17"/>
        <v>4.8699999999996635E-2</v>
      </c>
      <c r="P253">
        <f t="shared" si="18"/>
        <v>2.6308840006707086E-2</v>
      </c>
      <c r="Q253">
        <f t="shared" si="18"/>
        <v>2.0391840008724332E-2</v>
      </c>
      <c r="R253">
        <f t="shared" si="18"/>
        <v>2.3716899999996722E-3</v>
      </c>
      <c r="S253">
        <f t="shared" si="19"/>
        <v>4.6700680015431414E-2</v>
      </c>
      <c r="T253">
        <f t="shared" si="20"/>
        <v>0.21610340121208507</v>
      </c>
    </row>
    <row r="254" spans="1:20" x14ac:dyDescent="0.3">
      <c r="A254" s="2" t="s">
        <v>1168</v>
      </c>
      <c r="B254" s="6" t="s">
        <v>991</v>
      </c>
      <c r="C254" s="2" t="s">
        <v>422</v>
      </c>
      <c r="D254" s="2" t="s">
        <v>423</v>
      </c>
      <c r="E254" s="3" t="s">
        <v>1017</v>
      </c>
      <c r="F254" s="3" t="s">
        <v>1003</v>
      </c>
      <c r="G254" s="3" t="s">
        <v>1018</v>
      </c>
      <c r="J254" s="8" t="s">
        <v>995</v>
      </c>
      <c r="K254" s="8" t="s">
        <v>996</v>
      </c>
      <c r="L254" s="8" t="s">
        <v>997</v>
      </c>
      <c r="M254" s="3">
        <f t="shared" si="21"/>
        <v>0.14209999999729916</v>
      </c>
      <c r="N254" s="3">
        <f t="shared" si="21"/>
        <v>-8.5300000035203993E-2</v>
      </c>
      <c r="O254" s="3">
        <f t="shared" si="17"/>
        <v>0.20730000000003201</v>
      </c>
      <c r="P254">
        <f t="shared" si="18"/>
        <v>2.0192409999232424E-2</v>
      </c>
      <c r="Q254">
        <f t="shared" si="18"/>
        <v>7.2760900060058016E-3</v>
      </c>
      <c r="R254">
        <f t="shared" si="18"/>
        <v>4.2973290000013271E-2</v>
      </c>
      <c r="S254">
        <f t="shared" si="19"/>
        <v>2.7468500005238226E-2</v>
      </c>
      <c r="T254">
        <f t="shared" si="20"/>
        <v>0.16573623624674907</v>
      </c>
    </row>
    <row r="255" spans="1:20" x14ac:dyDescent="0.3">
      <c r="A255" s="2" t="s">
        <v>1168</v>
      </c>
      <c r="B255" s="6" t="s">
        <v>991</v>
      </c>
      <c r="C255" s="2" t="s">
        <v>422</v>
      </c>
      <c r="D255" s="2" t="s">
        <v>1019</v>
      </c>
      <c r="E255" s="3" t="s">
        <v>1020</v>
      </c>
      <c r="F255" s="3" t="s">
        <v>1021</v>
      </c>
      <c r="G255" s="3" t="s">
        <v>1022</v>
      </c>
      <c r="J255" s="8" t="s">
        <v>995</v>
      </c>
      <c r="K255" s="8" t="s">
        <v>996</v>
      </c>
      <c r="L255" s="8" t="s">
        <v>997</v>
      </c>
      <c r="M255" s="3">
        <f t="shared" si="21"/>
        <v>0.15179999999236315</v>
      </c>
      <c r="N255" s="3">
        <f t="shared" si="21"/>
        <v>-8.4900000016205013E-2</v>
      </c>
      <c r="O255" s="3">
        <f t="shared" si="17"/>
        <v>0.25730000000004338</v>
      </c>
      <c r="P255">
        <f t="shared" si="18"/>
        <v>2.3043239997681455E-2</v>
      </c>
      <c r="Q255">
        <f t="shared" si="18"/>
        <v>7.2080100027516114E-3</v>
      </c>
      <c r="R255">
        <f t="shared" si="18"/>
        <v>6.6203290000022327E-2</v>
      </c>
      <c r="S255">
        <f t="shared" si="19"/>
        <v>3.0251250000433067E-2</v>
      </c>
      <c r="T255">
        <f t="shared" si="20"/>
        <v>0.17392886477072478</v>
      </c>
    </row>
    <row r="256" spans="1:20" x14ac:dyDescent="0.3">
      <c r="A256" s="2" t="s">
        <v>1168</v>
      </c>
      <c r="B256" s="6" t="s">
        <v>1023</v>
      </c>
      <c r="C256" s="2" t="s">
        <v>20</v>
      </c>
      <c r="D256" s="2" t="s">
        <v>30</v>
      </c>
      <c r="E256">
        <v>401494.11803333339</v>
      </c>
      <c r="F256">
        <v>209947.91076666667</v>
      </c>
      <c r="G256">
        <v>37.003000000000007</v>
      </c>
      <c r="J256">
        <v>401494.08880000003</v>
      </c>
      <c r="K256">
        <v>209947.91409999999</v>
      </c>
      <c r="L256">
        <v>37.046500000000002</v>
      </c>
      <c r="M256" s="3">
        <f t="shared" si="21"/>
        <v>-2.9233333363663405E-2</v>
      </c>
      <c r="N256" s="3">
        <f t="shared" si="21"/>
        <v>3.3333333267364651E-3</v>
      </c>
      <c r="O256" s="3">
        <f t="shared" si="17"/>
        <v>4.3499999999994543E-2</v>
      </c>
      <c r="P256">
        <f t="shared" si="18"/>
        <v>8.54587779551076E-4</v>
      </c>
      <c r="Q256">
        <f t="shared" si="18"/>
        <v>1.1111111067131989E-5</v>
      </c>
      <c r="R256">
        <f t="shared" si="18"/>
        <v>1.8922499999995252E-3</v>
      </c>
      <c r="S256">
        <f t="shared" si="19"/>
        <v>8.6569889061820801E-4</v>
      </c>
      <c r="T256">
        <f t="shared" si="20"/>
        <v>2.9422761437672841E-2</v>
      </c>
    </row>
    <row r="257" spans="1:20" x14ac:dyDescent="0.3">
      <c r="A257" s="2" t="s">
        <v>1168</v>
      </c>
      <c r="B257" s="6" t="s">
        <v>1023</v>
      </c>
      <c r="C257" s="2" t="s">
        <v>20</v>
      </c>
      <c r="D257" s="2" t="s">
        <v>21</v>
      </c>
      <c r="E257">
        <v>401494.12026666669</v>
      </c>
      <c r="F257">
        <v>209947.91056666666</v>
      </c>
      <c r="G257">
        <v>36.999666666666663</v>
      </c>
      <c r="J257">
        <v>401494.08880000003</v>
      </c>
      <c r="K257">
        <v>209947.91409999999</v>
      </c>
      <c r="L257">
        <v>37.046500000000002</v>
      </c>
      <c r="M257" s="3">
        <f t="shared" si="21"/>
        <v>-3.1466666667256504E-2</v>
      </c>
      <c r="N257" s="3">
        <f t="shared" si="21"/>
        <v>3.5333333362359554E-3</v>
      </c>
      <c r="O257" s="3">
        <f t="shared" si="17"/>
        <v>4.6833333333339056E-2</v>
      </c>
      <c r="P257">
        <f t="shared" si="18"/>
        <v>9.9015111114823156E-4</v>
      </c>
      <c r="Q257">
        <f t="shared" si="18"/>
        <v>1.2484444464956306E-5</v>
      </c>
      <c r="R257">
        <f t="shared" si="18"/>
        <v>2.1933611111116472E-3</v>
      </c>
      <c r="S257">
        <f t="shared" si="19"/>
        <v>1.0026355556131878E-3</v>
      </c>
      <c r="T257">
        <f t="shared" si="20"/>
        <v>3.1664420973913102E-2</v>
      </c>
    </row>
    <row r="258" spans="1:20" x14ac:dyDescent="0.3">
      <c r="A258" s="2" t="s">
        <v>1168</v>
      </c>
      <c r="B258" s="6" t="s">
        <v>1024</v>
      </c>
      <c r="C258" s="2" t="s">
        <v>20</v>
      </c>
      <c r="D258" s="2" t="s">
        <v>110</v>
      </c>
      <c r="E258">
        <v>401494.12016666663</v>
      </c>
      <c r="F258">
        <v>209947.91026666667</v>
      </c>
      <c r="G258">
        <v>37.006333333333338</v>
      </c>
      <c r="J258">
        <v>401494.08880000003</v>
      </c>
      <c r="K258">
        <v>209947.91409999999</v>
      </c>
      <c r="L258">
        <v>37.046500000000002</v>
      </c>
      <c r="M258" s="3">
        <f t="shared" si="21"/>
        <v>-3.1366666604299098E-2</v>
      </c>
      <c r="N258" s="3">
        <f t="shared" si="21"/>
        <v>3.8333333213813603E-3</v>
      </c>
      <c r="O258" s="3">
        <f t="shared" si="17"/>
        <v>4.0166666666664241E-2</v>
      </c>
      <c r="P258">
        <f t="shared" si="18"/>
        <v>9.8386777386525229E-4</v>
      </c>
      <c r="Q258">
        <f t="shared" si="18"/>
        <v>1.4694444352812651E-5</v>
      </c>
      <c r="R258">
        <f t="shared" si="18"/>
        <v>1.6133611111109163E-3</v>
      </c>
      <c r="S258">
        <f t="shared" si="19"/>
        <v>9.9856221821806486E-4</v>
      </c>
      <c r="T258">
        <f t="shared" si="20"/>
        <v>3.1600035098367611E-2</v>
      </c>
    </row>
    <row r="259" spans="1:20" x14ac:dyDescent="0.3">
      <c r="A259" s="2" t="s">
        <v>1168</v>
      </c>
      <c r="B259" s="6" t="s">
        <v>1024</v>
      </c>
      <c r="C259" s="2" t="s">
        <v>20</v>
      </c>
      <c r="D259" s="2" t="s">
        <v>37</v>
      </c>
      <c r="E259">
        <v>401494.1162333333</v>
      </c>
      <c r="F259">
        <v>209947.91066666669</v>
      </c>
      <c r="G259">
        <v>37.018666666666668</v>
      </c>
      <c r="J259">
        <v>401494.08880000003</v>
      </c>
      <c r="K259">
        <v>209947.91409999999</v>
      </c>
      <c r="L259">
        <v>37.046500000000002</v>
      </c>
      <c r="M259" s="3">
        <f t="shared" si="21"/>
        <v>-2.7433333278167993E-2</v>
      </c>
      <c r="N259" s="3">
        <f t="shared" si="21"/>
        <v>3.4333333023823798E-3</v>
      </c>
      <c r="O259" s="3">
        <f t="shared" ref="O259:O322" si="22">ABS(L259-G259)</f>
        <v>2.7833333333333599E-2</v>
      </c>
      <c r="P259">
        <f t="shared" ref="P259:R322" si="23">POWER(M259,2)</f>
        <v>7.5258777475103946E-4</v>
      </c>
      <c r="Q259">
        <f t="shared" si="23"/>
        <v>1.1787777565247898E-5</v>
      </c>
      <c r="R259">
        <f t="shared" si="23"/>
        <v>7.7469444444445924E-4</v>
      </c>
      <c r="S259">
        <f t="shared" ref="S259:S322" si="24">P259+Q259</f>
        <v>7.643755523162874E-4</v>
      </c>
      <c r="T259">
        <f t="shared" ref="T259:T322" si="25">SQRT(S259)</f>
        <v>2.7647342590496601E-2</v>
      </c>
    </row>
    <row r="260" spans="1:20" x14ac:dyDescent="0.3">
      <c r="A260" s="2" t="s">
        <v>1168</v>
      </c>
      <c r="B260" s="6" t="s">
        <v>1024</v>
      </c>
      <c r="C260" s="2" t="s">
        <v>20</v>
      </c>
      <c r="D260" s="2" t="s">
        <v>46</v>
      </c>
      <c r="E260">
        <v>401494.1176</v>
      </c>
      <c r="F260">
        <v>209947.90900000001</v>
      </c>
      <c r="G260">
        <v>37.025000000000006</v>
      </c>
      <c r="J260">
        <v>401494.08880000003</v>
      </c>
      <c r="K260">
        <v>209947.91409999999</v>
      </c>
      <c r="L260">
        <v>37.046500000000002</v>
      </c>
      <c r="M260" s="3">
        <f t="shared" si="21"/>
        <v>-2.8799999970942736E-2</v>
      </c>
      <c r="N260" s="3">
        <f t="shared" si="21"/>
        <v>5.0999999803025275E-3</v>
      </c>
      <c r="O260" s="3">
        <f t="shared" si="22"/>
        <v>2.1499999999996078E-2</v>
      </c>
      <c r="P260">
        <f t="shared" si="23"/>
        <v>8.2943999832630158E-4</v>
      </c>
      <c r="Q260">
        <f t="shared" si="23"/>
        <v>2.6009999799085781E-5</v>
      </c>
      <c r="R260">
        <f t="shared" si="23"/>
        <v>4.6224999999983134E-4</v>
      </c>
      <c r="S260">
        <f t="shared" si="24"/>
        <v>8.5544999812538734E-4</v>
      </c>
      <c r="T260">
        <f t="shared" si="25"/>
        <v>2.9248076827808479E-2</v>
      </c>
    </row>
    <row r="261" spans="1:20" x14ac:dyDescent="0.3">
      <c r="A261" s="2" t="s">
        <v>1168</v>
      </c>
      <c r="B261" s="6" t="s">
        <v>1024</v>
      </c>
      <c r="C261" s="2" t="s">
        <v>51</v>
      </c>
      <c r="D261" s="2" t="s">
        <v>63</v>
      </c>
      <c r="E261">
        <v>401494.11200000002</v>
      </c>
      <c r="F261">
        <v>209947.90763333335</v>
      </c>
      <c r="G261">
        <v>37.026666666666664</v>
      </c>
      <c r="J261">
        <v>401494.08880000003</v>
      </c>
      <c r="K261">
        <v>209947.91409999999</v>
      </c>
      <c r="L261">
        <v>37.046500000000002</v>
      </c>
      <c r="M261" s="3">
        <f t="shared" si="21"/>
        <v>-2.3199999995995313E-2</v>
      </c>
      <c r="N261" s="3">
        <f t="shared" si="21"/>
        <v>6.4666666439734399E-3</v>
      </c>
      <c r="O261" s="3">
        <f t="shared" si="22"/>
        <v>1.9833333333338032E-2</v>
      </c>
      <c r="P261">
        <f t="shared" si="23"/>
        <v>5.3823999981418254E-4</v>
      </c>
      <c r="Q261">
        <f t="shared" si="23"/>
        <v>4.1817777484278709E-5</v>
      </c>
      <c r="R261">
        <f t="shared" si="23"/>
        <v>3.9336111111129752E-4</v>
      </c>
      <c r="S261">
        <f t="shared" si="24"/>
        <v>5.800577772984612E-4</v>
      </c>
      <c r="T261">
        <f t="shared" si="25"/>
        <v>2.4084388663581667E-2</v>
      </c>
    </row>
    <row r="262" spans="1:20" x14ac:dyDescent="0.3">
      <c r="A262" s="2" t="s">
        <v>1168</v>
      </c>
      <c r="B262" s="6" t="s">
        <v>1024</v>
      </c>
      <c r="C262" s="2" t="s">
        <v>51</v>
      </c>
      <c r="D262" s="2" t="s">
        <v>30</v>
      </c>
      <c r="E262">
        <v>401494.11310000002</v>
      </c>
      <c r="F262">
        <v>209947.90896666667</v>
      </c>
      <c r="G262">
        <v>37.017000000000003</v>
      </c>
      <c r="J262">
        <v>401494.08880000003</v>
      </c>
      <c r="K262">
        <v>209947.91409999999</v>
      </c>
      <c r="L262">
        <v>37.046500000000002</v>
      </c>
      <c r="M262" s="3">
        <f t="shared" si="21"/>
        <v>-2.4299999990034848E-2</v>
      </c>
      <c r="N262" s="3">
        <f t="shared" si="21"/>
        <v>5.1333333249203861E-3</v>
      </c>
      <c r="O262" s="3">
        <f t="shared" si="22"/>
        <v>2.9499999999998749E-2</v>
      </c>
      <c r="P262">
        <f t="shared" si="23"/>
        <v>5.9048999951569366E-4</v>
      </c>
      <c r="Q262">
        <f t="shared" si="23"/>
        <v>2.6351111024738186E-5</v>
      </c>
      <c r="R262">
        <f t="shared" si="23"/>
        <v>8.702499999999262E-4</v>
      </c>
      <c r="S262">
        <f t="shared" si="24"/>
        <v>6.1684111054043187E-4</v>
      </c>
      <c r="T262">
        <f t="shared" si="25"/>
        <v>2.4836286166422545E-2</v>
      </c>
    </row>
    <row r="263" spans="1:20" x14ac:dyDescent="0.3">
      <c r="A263" s="2" t="s">
        <v>1168</v>
      </c>
      <c r="B263" s="6" t="s">
        <v>1024</v>
      </c>
      <c r="C263" s="2" t="s">
        <v>51</v>
      </c>
      <c r="D263" s="2" t="s">
        <v>52</v>
      </c>
      <c r="E263">
        <v>401494.11686666665</v>
      </c>
      <c r="F263">
        <v>209947.91106666668</v>
      </c>
      <c r="G263">
        <v>37.023333333333333</v>
      </c>
      <c r="J263">
        <v>401494.08880000003</v>
      </c>
      <c r="K263">
        <v>209947.91409999999</v>
      </c>
      <c r="L263">
        <v>37.046500000000002</v>
      </c>
      <c r="M263" s="3">
        <f t="shared" si="21"/>
        <v>-2.8066666622180492E-2</v>
      </c>
      <c r="N263" s="3">
        <f t="shared" si="21"/>
        <v>3.0333333124872297E-3</v>
      </c>
      <c r="O263" s="3">
        <f t="shared" si="22"/>
        <v>2.3166666666668334E-2</v>
      </c>
      <c r="P263">
        <f t="shared" si="23"/>
        <v>7.8773777528062046E-4</v>
      </c>
      <c r="Q263">
        <f t="shared" si="23"/>
        <v>9.2011109846447487E-6</v>
      </c>
      <c r="R263">
        <f t="shared" si="23"/>
        <v>5.3669444444452165E-4</v>
      </c>
      <c r="S263">
        <f t="shared" si="24"/>
        <v>7.9693888626526524E-4</v>
      </c>
      <c r="T263">
        <f t="shared" si="25"/>
        <v>2.8230106026461629E-2</v>
      </c>
    </row>
    <row r="264" spans="1:20" x14ac:dyDescent="0.3">
      <c r="A264" s="2" t="s">
        <v>1168</v>
      </c>
      <c r="B264" s="6" t="s">
        <v>1024</v>
      </c>
      <c r="C264" s="2" t="s">
        <v>422</v>
      </c>
      <c r="D264" s="2" t="s">
        <v>423</v>
      </c>
      <c r="E264">
        <v>401494.11246666667</v>
      </c>
      <c r="F264">
        <v>209947.90813333332</v>
      </c>
      <c r="G264">
        <v>37.103999999999992</v>
      </c>
      <c r="J264">
        <v>401494.08880000003</v>
      </c>
      <c r="K264">
        <v>209947.91409999999</v>
      </c>
      <c r="L264">
        <v>37.046500000000002</v>
      </c>
      <c r="M264" s="3">
        <f t="shared" si="21"/>
        <v>-2.366666664602235E-2</v>
      </c>
      <c r="N264" s="3">
        <f t="shared" si="21"/>
        <v>5.9666666784323752E-3</v>
      </c>
      <c r="O264" s="3">
        <f t="shared" si="22"/>
        <v>5.7499999999990337E-2</v>
      </c>
      <c r="P264">
        <f t="shared" si="23"/>
        <v>5.6011111013394674E-4</v>
      </c>
      <c r="Q264">
        <f t="shared" si="23"/>
        <v>3.560111125151523E-5</v>
      </c>
      <c r="R264">
        <f t="shared" si="23"/>
        <v>3.3062499999988886E-3</v>
      </c>
      <c r="S264">
        <f t="shared" si="24"/>
        <v>5.9571222138546202E-4</v>
      </c>
      <c r="T264">
        <f t="shared" si="25"/>
        <v>2.4407216584147035E-2</v>
      </c>
    </row>
    <row r="265" spans="1:20" x14ac:dyDescent="0.3">
      <c r="A265" s="2" t="s">
        <v>1168</v>
      </c>
      <c r="B265" s="6" t="s">
        <v>1025</v>
      </c>
      <c r="C265" s="2" t="s">
        <v>20</v>
      </c>
      <c r="D265" s="2" t="s">
        <v>30</v>
      </c>
      <c r="E265" s="8">
        <v>352837.59313333337</v>
      </c>
      <c r="F265" s="8">
        <v>234854.7726</v>
      </c>
      <c r="G265" s="8">
        <v>317.62400000000002</v>
      </c>
      <c r="J265">
        <v>352837.58029999997</v>
      </c>
      <c r="K265">
        <v>234854.80009999999</v>
      </c>
      <c r="L265">
        <v>317.63310000000001</v>
      </c>
      <c r="M265" s="3">
        <f t="shared" si="21"/>
        <v>-1.2833333399612457E-2</v>
      </c>
      <c r="N265" s="3">
        <f t="shared" si="21"/>
        <v>2.749999999650754E-2</v>
      </c>
      <c r="O265" s="3">
        <f t="shared" si="22"/>
        <v>9.0999999999894499E-3</v>
      </c>
      <c r="P265">
        <f t="shared" si="23"/>
        <v>1.6469444614560861E-4</v>
      </c>
      <c r="Q265">
        <f t="shared" si="23"/>
        <v>7.562499998079147E-4</v>
      </c>
      <c r="R265">
        <f t="shared" si="23"/>
        <v>8.2809999999807989E-5</v>
      </c>
      <c r="S265">
        <f t="shared" si="24"/>
        <v>9.2094444595352328E-4</v>
      </c>
      <c r="T265">
        <f t="shared" si="25"/>
        <v>3.0347066513149556E-2</v>
      </c>
    </row>
    <row r="266" spans="1:20" x14ac:dyDescent="0.3">
      <c r="A266" s="2" t="s">
        <v>1168</v>
      </c>
      <c r="B266" s="6" t="s">
        <v>1025</v>
      </c>
      <c r="C266" s="2" t="s">
        <v>20</v>
      </c>
      <c r="D266" s="2" t="s">
        <v>21</v>
      </c>
      <c r="E266" s="8">
        <v>352837.59500000003</v>
      </c>
      <c r="F266" s="8">
        <v>234854.76643333337</v>
      </c>
      <c r="G266" s="8">
        <v>317.62899999999996</v>
      </c>
      <c r="J266">
        <v>352837.58029999997</v>
      </c>
      <c r="K266">
        <v>234854.80009999999</v>
      </c>
      <c r="L266">
        <v>317.63310000000001</v>
      </c>
      <c r="M266" s="3">
        <f t="shared" si="21"/>
        <v>-1.4700000057928264E-2</v>
      </c>
      <c r="N266" s="3">
        <f t="shared" si="21"/>
        <v>3.3666666626231745E-2</v>
      </c>
      <c r="O266" s="3">
        <f t="shared" si="22"/>
        <v>4.1000000000508408E-3</v>
      </c>
      <c r="P266">
        <f t="shared" si="23"/>
        <v>2.1609000170309096E-4</v>
      </c>
      <c r="Q266">
        <f t="shared" si="23"/>
        <v>1.1334444417218264E-3</v>
      </c>
      <c r="R266">
        <f t="shared" si="23"/>
        <v>1.6810000000416893E-5</v>
      </c>
      <c r="S266">
        <f t="shared" si="24"/>
        <v>1.3495344434249173E-3</v>
      </c>
      <c r="T266">
        <f t="shared" si="25"/>
        <v>3.6736010172920483E-2</v>
      </c>
    </row>
    <row r="267" spans="1:20" x14ac:dyDescent="0.3">
      <c r="A267" s="2" t="s">
        <v>1168</v>
      </c>
      <c r="B267" s="6" t="s">
        <v>1026</v>
      </c>
      <c r="C267" s="2" t="s">
        <v>20</v>
      </c>
      <c r="D267" s="2" t="s">
        <v>110</v>
      </c>
      <c r="E267" s="8">
        <v>352837.60346666659</v>
      </c>
      <c r="F267" s="8">
        <v>234854.76766666665</v>
      </c>
      <c r="G267" s="8">
        <v>317.64799999999997</v>
      </c>
      <c r="J267">
        <v>352837.58029999997</v>
      </c>
      <c r="K267">
        <v>234854.80009999999</v>
      </c>
      <c r="L267">
        <v>317.63310000000001</v>
      </c>
      <c r="M267" s="3">
        <f t="shared" si="21"/>
        <v>-2.3166666622273624E-2</v>
      </c>
      <c r="N267" s="3">
        <f t="shared" si="21"/>
        <v>3.2433333341032267E-2</v>
      </c>
      <c r="O267" s="3">
        <f t="shared" si="22"/>
        <v>1.4899999999954616E-2</v>
      </c>
      <c r="P267">
        <f t="shared" si="23"/>
        <v>5.3669444238756679E-4</v>
      </c>
      <c r="Q267">
        <f t="shared" si="23"/>
        <v>1.0519211116105153E-3</v>
      </c>
      <c r="R267">
        <f t="shared" si="23"/>
        <v>2.2200999999864756E-4</v>
      </c>
      <c r="S267">
        <f t="shared" si="24"/>
        <v>1.588615553998082E-3</v>
      </c>
      <c r="T267">
        <f t="shared" si="25"/>
        <v>3.9857440384426117E-2</v>
      </c>
    </row>
    <row r="268" spans="1:20" x14ac:dyDescent="0.3">
      <c r="A268" s="2" t="s">
        <v>1168</v>
      </c>
      <c r="B268" s="6" t="s">
        <v>1026</v>
      </c>
      <c r="C268" s="2" t="s">
        <v>20</v>
      </c>
      <c r="D268" s="2" t="s">
        <v>37</v>
      </c>
      <c r="E268" s="8">
        <v>352837.57980000001</v>
      </c>
      <c r="F268" s="8">
        <v>234854.77033333332</v>
      </c>
      <c r="G268" s="8">
        <v>317.62833333333333</v>
      </c>
      <c r="J268">
        <v>352837.58029999997</v>
      </c>
      <c r="K268">
        <v>234854.80009999999</v>
      </c>
      <c r="L268">
        <v>317.63310000000001</v>
      </c>
      <c r="M268" s="3">
        <f t="shared" si="21"/>
        <v>4.9999996554106474E-4</v>
      </c>
      <c r="N268" s="3">
        <f t="shared" si="21"/>
        <v>2.9766666673822328E-2</v>
      </c>
      <c r="O268" s="3">
        <f t="shared" si="22"/>
        <v>4.766666666682795E-3</v>
      </c>
      <c r="P268">
        <f t="shared" si="23"/>
        <v>2.4999996554106593E-7</v>
      </c>
      <c r="Q268">
        <f t="shared" si="23"/>
        <v>8.860544448704449E-4</v>
      </c>
      <c r="R268">
        <f t="shared" si="23"/>
        <v>2.2721111111264867E-5</v>
      </c>
      <c r="S268">
        <f t="shared" si="24"/>
        <v>8.8630444483598595E-4</v>
      </c>
      <c r="T268">
        <f t="shared" si="25"/>
        <v>2.977086570518207E-2</v>
      </c>
    </row>
    <row r="269" spans="1:20" x14ac:dyDescent="0.3">
      <c r="A269" s="2" t="s">
        <v>1168</v>
      </c>
      <c r="B269" s="6" t="s">
        <v>1026</v>
      </c>
      <c r="C269" s="2" t="s">
        <v>20</v>
      </c>
      <c r="D269" s="2" t="s">
        <v>46</v>
      </c>
      <c r="E269" s="8">
        <v>352837.58033333329</v>
      </c>
      <c r="F269" s="8">
        <v>234854.77036666669</v>
      </c>
      <c r="G269" s="8">
        <v>317.60300000000001</v>
      </c>
      <c r="J269">
        <v>352837.58029999997</v>
      </c>
      <c r="K269">
        <v>234854.80009999999</v>
      </c>
      <c r="L269">
        <v>317.63310000000001</v>
      </c>
      <c r="M269" s="3">
        <f t="shared" si="21"/>
        <v>-3.3333315514028072E-5</v>
      </c>
      <c r="N269" s="3">
        <f t="shared" si="21"/>
        <v>2.9733333300100639E-2</v>
      </c>
      <c r="O269" s="3">
        <f t="shared" si="22"/>
        <v>3.0100000000004457E-2</v>
      </c>
      <c r="P269">
        <f t="shared" si="23"/>
        <v>1.1111099231577446E-9</v>
      </c>
      <c r="Q269">
        <f t="shared" si="23"/>
        <v>8.8407110913487361E-4</v>
      </c>
      <c r="R269">
        <f t="shared" si="23"/>
        <v>9.0601000000026829E-4</v>
      </c>
      <c r="S269">
        <f t="shared" si="24"/>
        <v>8.8407222024479675E-4</v>
      </c>
      <c r="T269">
        <f t="shared" si="25"/>
        <v>2.9733351984678698E-2</v>
      </c>
    </row>
    <row r="270" spans="1:20" x14ac:dyDescent="0.3">
      <c r="A270" s="2" t="s">
        <v>1168</v>
      </c>
      <c r="B270" s="6" t="s">
        <v>1026</v>
      </c>
      <c r="C270" s="2" t="s">
        <v>51</v>
      </c>
      <c r="D270" s="2" t="s">
        <v>30</v>
      </c>
      <c r="E270" s="8">
        <v>352837.58806666668</v>
      </c>
      <c r="F270" s="8">
        <v>234854.75100000002</v>
      </c>
      <c r="G270" s="8">
        <v>317.64033333333333</v>
      </c>
      <c r="J270">
        <v>352837.58029999997</v>
      </c>
      <c r="K270">
        <v>234854.80009999999</v>
      </c>
      <c r="L270">
        <v>317.63310000000001</v>
      </c>
      <c r="M270" s="3">
        <f t="shared" si="21"/>
        <v>-7.7666667057201266E-3</v>
      </c>
      <c r="N270" s="3">
        <f t="shared" si="21"/>
        <v>4.9099999974714592E-2</v>
      </c>
      <c r="O270" s="3">
        <f t="shared" si="22"/>
        <v>7.2333333333176597E-3</v>
      </c>
      <c r="P270">
        <f t="shared" si="23"/>
        <v>6.0321111717741524E-5</v>
      </c>
      <c r="Q270">
        <f t="shared" si="23"/>
        <v>2.410809997516973E-3</v>
      </c>
      <c r="R270">
        <f t="shared" si="23"/>
        <v>5.2321111110884364E-5</v>
      </c>
      <c r="S270">
        <f t="shared" si="24"/>
        <v>2.4711311092347147E-3</v>
      </c>
      <c r="T270">
        <f t="shared" si="25"/>
        <v>4.9710472832540174E-2</v>
      </c>
    </row>
    <row r="271" spans="1:20" x14ac:dyDescent="0.3">
      <c r="A271" s="2" t="s">
        <v>1168</v>
      </c>
      <c r="B271" s="6" t="s">
        <v>1026</v>
      </c>
      <c r="C271" s="2" t="s">
        <v>51</v>
      </c>
      <c r="D271" s="2" t="s">
        <v>52</v>
      </c>
      <c r="E271" s="8">
        <v>352837.5822</v>
      </c>
      <c r="F271" s="8">
        <v>234854.75993333335</v>
      </c>
      <c r="G271" s="8">
        <v>317.61599999999999</v>
      </c>
      <c r="J271">
        <v>352837.58029999997</v>
      </c>
      <c r="K271">
        <v>234854.80009999999</v>
      </c>
      <c r="L271">
        <v>317.63310000000001</v>
      </c>
      <c r="M271" s="3">
        <f t="shared" si="21"/>
        <v>-1.9000000320374966E-3</v>
      </c>
      <c r="N271" s="3">
        <f t="shared" si="21"/>
        <v>4.0166666643926874E-2</v>
      </c>
      <c r="O271" s="3">
        <f t="shared" si="22"/>
        <v>1.7100000000027649E-2</v>
      </c>
      <c r="P271">
        <f t="shared" si="23"/>
        <v>3.610000121742488E-6</v>
      </c>
      <c r="Q271">
        <f t="shared" si="23"/>
        <v>1.6133611092843479E-3</v>
      </c>
      <c r="R271">
        <f t="shared" si="23"/>
        <v>2.9241000000094559E-4</v>
      </c>
      <c r="S271">
        <f t="shared" si="24"/>
        <v>1.6169711094060903E-3</v>
      </c>
      <c r="T271">
        <f t="shared" si="25"/>
        <v>4.0211579295099692E-2</v>
      </c>
    </row>
    <row r="272" spans="1:20" x14ac:dyDescent="0.3">
      <c r="A272" s="2" t="s">
        <v>1168</v>
      </c>
      <c r="B272" s="6" t="s">
        <v>1026</v>
      </c>
      <c r="C272" s="2" t="s">
        <v>422</v>
      </c>
      <c r="D272" s="2" t="s">
        <v>423</v>
      </c>
      <c r="E272" s="8">
        <v>352837.59533333336</v>
      </c>
      <c r="F272" s="8">
        <v>234854.77919999999</v>
      </c>
      <c r="G272" s="8">
        <v>317.86899999999997</v>
      </c>
      <c r="J272">
        <v>352837.58029999997</v>
      </c>
      <c r="K272">
        <v>234854.80009999999</v>
      </c>
      <c r="L272">
        <v>317.63310000000001</v>
      </c>
      <c r="M272" s="3">
        <f t="shared" si="21"/>
        <v>-1.5033333387691528E-2</v>
      </c>
      <c r="N272" s="3">
        <f t="shared" si="21"/>
        <v>2.0900000003166497E-2</v>
      </c>
      <c r="O272" s="3">
        <f t="shared" si="22"/>
        <v>0.23589999999995825</v>
      </c>
      <c r="P272">
        <f t="shared" si="23"/>
        <v>2.2600111274548082E-4</v>
      </c>
      <c r="Q272">
        <f t="shared" si="23"/>
        <v>4.3681000013235955E-4</v>
      </c>
      <c r="R272">
        <f t="shared" si="23"/>
        <v>5.5648809999980307E-2</v>
      </c>
      <c r="S272">
        <f t="shared" si="24"/>
        <v>6.6281111287784034E-4</v>
      </c>
      <c r="T272">
        <f t="shared" si="25"/>
        <v>2.5745118233906798E-2</v>
      </c>
    </row>
    <row r="273" spans="1:20" x14ac:dyDescent="0.3">
      <c r="A273" s="2" t="s">
        <v>1168</v>
      </c>
      <c r="B273" s="6" t="s">
        <v>1027</v>
      </c>
      <c r="C273" s="2" t="s">
        <v>20</v>
      </c>
      <c r="D273" s="2" t="s">
        <v>30</v>
      </c>
      <c r="E273" s="8">
        <v>359059.16303333332</v>
      </c>
      <c r="F273" s="8">
        <v>257744.45226666666</v>
      </c>
      <c r="G273" s="8">
        <v>475.37333333333339</v>
      </c>
      <c r="J273">
        <v>359059.16129999998</v>
      </c>
      <c r="K273">
        <v>257744.45740000001</v>
      </c>
      <c r="L273">
        <v>475.31619999999998</v>
      </c>
      <c r="M273" s="3">
        <f t="shared" si="21"/>
        <v>-1.7333333380520344E-3</v>
      </c>
      <c r="N273" s="3">
        <f t="shared" si="21"/>
        <v>5.1333333540242165E-3</v>
      </c>
      <c r="O273" s="3">
        <f t="shared" si="22"/>
        <v>5.7133333333410974E-2</v>
      </c>
      <c r="P273">
        <f t="shared" si="23"/>
        <v>3.0044444608026081E-6</v>
      </c>
      <c r="Q273">
        <f t="shared" si="23"/>
        <v>2.6351111323537512E-5</v>
      </c>
      <c r="R273">
        <f t="shared" si="23"/>
        <v>3.2642177777866496E-3</v>
      </c>
      <c r="S273">
        <f t="shared" si="24"/>
        <v>2.935555578434012E-5</v>
      </c>
      <c r="T273">
        <f t="shared" si="25"/>
        <v>5.4180767606541082E-3</v>
      </c>
    </row>
    <row r="274" spans="1:20" x14ac:dyDescent="0.3">
      <c r="A274" s="2" t="s">
        <v>1168</v>
      </c>
      <c r="B274" s="6" t="s">
        <v>1027</v>
      </c>
      <c r="C274" s="2" t="s">
        <v>20</v>
      </c>
      <c r="D274" s="2" t="s">
        <v>21</v>
      </c>
      <c r="E274" s="8">
        <v>359059.16453333333</v>
      </c>
      <c r="F274" s="8">
        <v>257744.45353333335</v>
      </c>
      <c r="G274" s="8">
        <v>475.38299999999998</v>
      </c>
      <c r="J274">
        <v>359059.16129999998</v>
      </c>
      <c r="K274">
        <v>257744.45740000001</v>
      </c>
      <c r="L274">
        <v>475.31619999999998</v>
      </c>
      <c r="M274" s="3">
        <f t="shared" ref="M274:N337" si="26">J274-E274</f>
        <v>-3.2333333510905504E-3</v>
      </c>
      <c r="N274" s="3">
        <f t="shared" si="26"/>
        <v>3.8666666659992188E-3</v>
      </c>
      <c r="O274" s="3">
        <f t="shared" si="22"/>
        <v>6.6800000000000637E-2</v>
      </c>
      <c r="P274">
        <f t="shared" si="23"/>
        <v>1.0454444559274449E-5</v>
      </c>
      <c r="Q274">
        <f t="shared" si="23"/>
        <v>1.4951111105949514E-5</v>
      </c>
      <c r="R274">
        <f t="shared" si="23"/>
        <v>4.4622400000000851E-3</v>
      </c>
      <c r="S274">
        <f t="shared" si="24"/>
        <v>2.5405555665223962E-5</v>
      </c>
      <c r="T274">
        <f t="shared" si="25"/>
        <v>5.040392411829059E-3</v>
      </c>
    </row>
    <row r="275" spans="1:20" x14ac:dyDescent="0.3">
      <c r="A275" s="2" t="s">
        <v>1168</v>
      </c>
      <c r="B275" s="6" t="s">
        <v>1028</v>
      </c>
      <c r="C275" s="2" t="s">
        <v>20</v>
      </c>
      <c r="D275" s="2" t="s">
        <v>110</v>
      </c>
      <c r="E275" s="8">
        <v>359059.13496666664</v>
      </c>
      <c r="F275" s="8">
        <v>257744.46030000001</v>
      </c>
      <c r="G275" s="8">
        <v>475.39933333333335</v>
      </c>
      <c r="J275">
        <v>359059.16129999998</v>
      </c>
      <c r="K275">
        <v>257744.45740000001</v>
      </c>
      <c r="L275">
        <v>475.31619999999998</v>
      </c>
      <c r="M275" s="3">
        <f t="shared" si="26"/>
        <v>2.6333333342336118E-2</v>
      </c>
      <c r="N275" s="3">
        <f t="shared" si="26"/>
        <v>-2.8999999922234565E-3</v>
      </c>
      <c r="O275" s="3">
        <f t="shared" si="22"/>
        <v>8.313333333336459E-2</v>
      </c>
      <c r="P275">
        <f t="shared" si="23"/>
        <v>6.934444449185911E-4</v>
      </c>
      <c r="Q275">
        <f t="shared" si="23"/>
        <v>8.4099999548960469E-6</v>
      </c>
      <c r="R275">
        <f t="shared" si="23"/>
        <v>6.9111511111163079E-3</v>
      </c>
      <c r="S275">
        <f t="shared" si="24"/>
        <v>7.0185444487348714E-4</v>
      </c>
      <c r="T275">
        <f t="shared" si="25"/>
        <v>2.6492535644469503E-2</v>
      </c>
    </row>
    <row r="276" spans="1:20" x14ac:dyDescent="0.3">
      <c r="A276" s="2" t="s">
        <v>1168</v>
      </c>
      <c r="B276" s="6" t="s">
        <v>1028</v>
      </c>
      <c r="C276" s="2" t="s">
        <v>20</v>
      </c>
      <c r="D276" s="2" t="s">
        <v>37</v>
      </c>
      <c r="E276" s="8">
        <v>359059.16290000005</v>
      </c>
      <c r="F276" s="8">
        <v>257744.46046666664</v>
      </c>
      <c r="G276" s="8">
        <v>475.36633333333333</v>
      </c>
      <c r="J276">
        <v>359059.16129999998</v>
      </c>
      <c r="K276">
        <v>257744.45740000001</v>
      </c>
      <c r="L276">
        <v>475.31619999999998</v>
      </c>
      <c r="M276" s="3">
        <f t="shared" si="26"/>
        <v>-1.6000000759959221E-3</v>
      </c>
      <c r="N276" s="3">
        <f t="shared" si="26"/>
        <v>-3.0666666280012578E-3</v>
      </c>
      <c r="O276" s="3">
        <f t="shared" si="22"/>
        <v>5.0133333333349128E-2</v>
      </c>
      <c r="P276">
        <f t="shared" si="23"/>
        <v>2.5600002431869565E-6</v>
      </c>
      <c r="Q276">
        <f t="shared" si="23"/>
        <v>9.4044442072966039E-6</v>
      </c>
      <c r="R276">
        <f t="shared" si="23"/>
        <v>2.5133511111126946E-3</v>
      </c>
      <c r="S276">
        <f t="shared" si="24"/>
        <v>1.196444445048356E-5</v>
      </c>
      <c r="T276">
        <f t="shared" si="25"/>
        <v>3.4589658064923916E-3</v>
      </c>
    </row>
    <row r="277" spans="1:20" x14ac:dyDescent="0.3">
      <c r="A277" s="2" t="s">
        <v>1168</v>
      </c>
      <c r="B277" s="6" t="s">
        <v>1028</v>
      </c>
      <c r="C277" s="2" t="s">
        <v>20</v>
      </c>
      <c r="D277" s="2" t="s">
        <v>46</v>
      </c>
      <c r="E277" s="8">
        <v>359059.14699999994</v>
      </c>
      <c r="F277" s="8">
        <v>257744.45070000002</v>
      </c>
      <c r="G277" s="8">
        <v>475.37733333333335</v>
      </c>
      <c r="J277">
        <v>359059.16129999998</v>
      </c>
      <c r="K277">
        <v>257744.45740000001</v>
      </c>
      <c r="L277">
        <v>475.31619999999998</v>
      </c>
      <c r="M277" s="3">
        <f t="shared" si="26"/>
        <v>1.4300000038929284E-2</v>
      </c>
      <c r="N277" s="3">
        <f t="shared" si="26"/>
        <v>6.6999999980907887E-3</v>
      </c>
      <c r="O277" s="3">
        <f t="shared" si="22"/>
        <v>6.113333333337323E-2</v>
      </c>
      <c r="P277">
        <f t="shared" si="23"/>
        <v>2.044900011133775E-4</v>
      </c>
      <c r="Q277">
        <f t="shared" si="23"/>
        <v>4.4889999974416568E-5</v>
      </c>
      <c r="R277">
        <f t="shared" si="23"/>
        <v>3.7372844444493224E-3</v>
      </c>
      <c r="S277">
        <f t="shared" si="24"/>
        <v>2.4938000108779408E-4</v>
      </c>
      <c r="T277">
        <f t="shared" si="25"/>
        <v>1.579177004289874E-2</v>
      </c>
    </row>
    <row r="278" spans="1:20" x14ac:dyDescent="0.3">
      <c r="A278" s="2" t="s">
        <v>1168</v>
      </c>
      <c r="B278" s="6" t="s">
        <v>1028</v>
      </c>
      <c r="C278" s="2" t="s">
        <v>51</v>
      </c>
      <c r="D278" s="2" t="s">
        <v>63</v>
      </c>
      <c r="E278" s="8">
        <v>359059.15686666669</v>
      </c>
      <c r="F278" s="8">
        <v>257744.45810000002</v>
      </c>
      <c r="G278" s="8">
        <v>475.20499999999998</v>
      </c>
      <c r="J278">
        <v>359059.16129999998</v>
      </c>
      <c r="K278">
        <v>257744.45740000001</v>
      </c>
      <c r="L278">
        <v>475.31619999999998</v>
      </c>
      <c r="M278" s="3">
        <f t="shared" si="26"/>
        <v>4.4333332916721702E-3</v>
      </c>
      <c r="N278" s="3">
        <f t="shared" si="26"/>
        <v>-7.0000000414438546E-4</v>
      </c>
      <c r="O278" s="3">
        <f t="shared" si="22"/>
        <v>0.11119999999999663</v>
      </c>
      <c r="P278">
        <f t="shared" si="23"/>
        <v>1.9654444075048799E-5</v>
      </c>
      <c r="Q278">
        <f t="shared" si="23"/>
        <v>4.9000000580213966E-7</v>
      </c>
      <c r="R278">
        <f t="shared" si="23"/>
        <v>1.2365439999999252E-2</v>
      </c>
      <c r="S278">
        <f t="shared" si="24"/>
        <v>2.0144444080850938E-5</v>
      </c>
      <c r="T278">
        <f t="shared" si="25"/>
        <v>4.4882562405516623E-3</v>
      </c>
    </row>
    <row r="279" spans="1:20" x14ac:dyDescent="0.3">
      <c r="A279" s="2" t="s">
        <v>1168</v>
      </c>
      <c r="B279" s="6" t="s">
        <v>1028</v>
      </c>
      <c r="C279" s="2" t="s">
        <v>51</v>
      </c>
      <c r="D279" s="2" t="s">
        <v>30</v>
      </c>
      <c r="E279" s="8">
        <v>359059.14299999998</v>
      </c>
      <c r="F279" s="8">
        <v>257744.45656666663</v>
      </c>
      <c r="G279" s="8">
        <v>475.26566666666668</v>
      </c>
      <c r="J279">
        <v>359059.16129999998</v>
      </c>
      <c r="K279">
        <v>257744.45740000001</v>
      </c>
      <c r="L279">
        <v>475.31619999999998</v>
      </c>
      <c r="M279" s="3">
        <f t="shared" si="26"/>
        <v>1.8299999996088445E-2</v>
      </c>
      <c r="N279" s="3">
        <f t="shared" si="26"/>
        <v>8.3333338261581957E-4</v>
      </c>
      <c r="O279" s="3">
        <f t="shared" si="22"/>
        <v>5.0533333333305563E-2</v>
      </c>
      <c r="P279">
        <f t="shared" si="23"/>
        <v>3.3488999985683708E-4</v>
      </c>
      <c r="Q279">
        <f t="shared" si="23"/>
        <v>6.9444452658192394E-7</v>
      </c>
      <c r="R279">
        <f t="shared" si="23"/>
        <v>2.5536177777749714E-3</v>
      </c>
      <c r="S279">
        <f t="shared" si="24"/>
        <v>3.35584444383419E-4</v>
      </c>
      <c r="T279">
        <f t="shared" si="25"/>
        <v>1.831896406414454E-2</v>
      </c>
    </row>
    <row r="280" spans="1:20" x14ac:dyDescent="0.3">
      <c r="A280" s="2" t="s">
        <v>1168</v>
      </c>
      <c r="B280" s="6" t="s">
        <v>1028</v>
      </c>
      <c r="C280" s="2" t="s">
        <v>51</v>
      </c>
      <c r="D280" s="2" t="s">
        <v>52</v>
      </c>
      <c r="E280" s="8">
        <v>359059.15580000001</v>
      </c>
      <c r="F280" s="8">
        <v>257744.46376666668</v>
      </c>
      <c r="G280" s="8">
        <v>475.28433333333334</v>
      </c>
      <c r="J280">
        <v>359059.16129999998</v>
      </c>
      <c r="K280">
        <v>257744.45740000001</v>
      </c>
      <c r="L280">
        <v>475.31619999999998</v>
      </c>
      <c r="M280" s="3">
        <f t="shared" si="26"/>
        <v>5.4999999701976776E-3</v>
      </c>
      <c r="N280" s="3">
        <f t="shared" si="26"/>
        <v>-6.3666666683275253E-3</v>
      </c>
      <c r="O280" s="3">
        <f t="shared" si="22"/>
        <v>3.1866666666644505E-2</v>
      </c>
      <c r="P280">
        <f t="shared" si="23"/>
        <v>3.0249999672174455E-5</v>
      </c>
      <c r="Q280">
        <f t="shared" si="23"/>
        <v>4.053444446559271E-5</v>
      </c>
      <c r="R280">
        <f t="shared" si="23"/>
        <v>1.0154844444430319E-3</v>
      </c>
      <c r="S280">
        <f t="shared" si="24"/>
        <v>7.0784444137767164E-5</v>
      </c>
      <c r="T280">
        <f t="shared" si="25"/>
        <v>8.4133491629533094E-3</v>
      </c>
    </row>
    <row r="281" spans="1:20" x14ac:dyDescent="0.3">
      <c r="A281" s="2" t="s">
        <v>1168</v>
      </c>
      <c r="B281" s="6" t="s">
        <v>1029</v>
      </c>
      <c r="C281" s="2" t="s">
        <v>20</v>
      </c>
      <c r="D281" s="2" t="s">
        <v>30</v>
      </c>
      <c r="E281" s="8">
        <v>359370.2053666666</v>
      </c>
      <c r="F281" s="8">
        <v>272998.30403333338</v>
      </c>
      <c r="G281" s="8">
        <v>501.13633333333331</v>
      </c>
      <c r="J281">
        <v>359370.20030000003</v>
      </c>
      <c r="K281">
        <v>272998.29759999999</v>
      </c>
      <c r="L281">
        <v>501.06920000000002</v>
      </c>
      <c r="M281" s="3">
        <f t="shared" si="26"/>
        <v>-5.0666665774770081E-3</v>
      </c>
      <c r="N281" s="3">
        <f t="shared" si="26"/>
        <v>-6.4333333866670728E-3</v>
      </c>
      <c r="O281" s="3">
        <f t="shared" si="22"/>
        <v>6.7133333333288192E-2</v>
      </c>
      <c r="P281">
        <f t="shared" si="23"/>
        <v>2.5671110207322579E-5</v>
      </c>
      <c r="Q281">
        <f t="shared" si="23"/>
        <v>4.1387778464005228E-5</v>
      </c>
      <c r="R281">
        <f t="shared" si="23"/>
        <v>4.5068844444383837E-3</v>
      </c>
      <c r="S281">
        <f t="shared" si="24"/>
        <v>6.7058888671327804E-5</v>
      </c>
      <c r="T281">
        <f t="shared" si="25"/>
        <v>8.1889491799209384E-3</v>
      </c>
    </row>
    <row r="282" spans="1:20" x14ac:dyDescent="0.3">
      <c r="A282" s="2" t="s">
        <v>1168</v>
      </c>
      <c r="B282" s="6" t="s">
        <v>1029</v>
      </c>
      <c r="C282" s="2" t="s">
        <v>20</v>
      </c>
      <c r="D282" s="2" t="s">
        <v>21</v>
      </c>
      <c r="E282" s="8">
        <v>359370.20716666663</v>
      </c>
      <c r="F282" s="8">
        <v>272998.32</v>
      </c>
      <c r="G282" s="8">
        <v>501.10200000000003</v>
      </c>
      <c r="J282">
        <v>359370.20030000003</v>
      </c>
      <c r="K282">
        <v>272998.29759999999</v>
      </c>
      <c r="L282">
        <v>501.06920000000002</v>
      </c>
      <c r="M282" s="3">
        <f t="shared" si="26"/>
        <v>-6.8666666047647595E-3</v>
      </c>
      <c r="N282" s="3">
        <f t="shared" si="26"/>
        <v>-2.2400000016205013E-2</v>
      </c>
      <c r="O282" s="3">
        <f t="shared" si="22"/>
        <v>3.2800000000008822E-2</v>
      </c>
      <c r="P282">
        <f t="shared" si="23"/>
        <v>4.715111026099159E-5</v>
      </c>
      <c r="Q282">
        <f t="shared" si="23"/>
        <v>5.0176000072598456E-4</v>
      </c>
      <c r="R282">
        <f t="shared" si="23"/>
        <v>1.0758400000005787E-3</v>
      </c>
      <c r="S282">
        <f t="shared" si="24"/>
        <v>5.4891111098697614E-4</v>
      </c>
      <c r="T282">
        <f t="shared" si="25"/>
        <v>2.3428852105619177E-2</v>
      </c>
    </row>
    <row r="283" spans="1:20" x14ac:dyDescent="0.3">
      <c r="A283" s="2" t="s">
        <v>1168</v>
      </c>
      <c r="B283" s="6" t="s">
        <v>1030</v>
      </c>
      <c r="C283" s="2" t="s">
        <v>20</v>
      </c>
      <c r="D283" s="2" t="s">
        <v>110</v>
      </c>
      <c r="E283" s="8">
        <v>359370.19936666667</v>
      </c>
      <c r="F283" s="8">
        <v>272998.2868</v>
      </c>
      <c r="G283" s="8">
        <v>501.18</v>
      </c>
      <c r="J283">
        <v>359370.20030000003</v>
      </c>
      <c r="K283">
        <v>272998.29759999999</v>
      </c>
      <c r="L283">
        <v>501.06920000000002</v>
      </c>
      <c r="M283" s="3">
        <f t="shared" si="26"/>
        <v>9.3333335826173425E-4</v>
      </c>
      <c r="N283" s="3">
        <f t="shared" si="26"/>
        <v>1.0799999989103526E-2</v>
      </c>
      <c r="O283" s="3">
        <f t="shared" si="22"/>
        <v>0.11079999999998336</v>
      </c>
      <c r="P283">
        <f t="shared" si="23"/>
        <v>8.7111115764412677E-7</v>
      </c>
      <c r="Q283">
        <f t="shared" si="23"/>
        <v>1.1663999976463616E-4</v>
      </c>
      <c r="R283">
        <f t="shared" si="23"/>
        <v>1.2276639999996312E-2</v>
      </c>
      <c r="S283">
        <f t="shared" si="24"/>
        <v>1.1751111092228028E-4</v>
      </c>
      <c r="T283">
        <f t="shared" si="25"/>
        <v>1.0840254190851812E-2</v>
      </c>
    </row>
    <row r="284" spans="1:20" x14ac:dyDescent="0.3">
      <c r="A284" s="2" t="s">
        <v>1168</v>
      </c>
      <c r="B284" s="6" t="s">
        <v>1030</v>
      </c>
      <c r="C284" s="2" t="s">
        <v>20</v>
      </c>
      <c r="D284" s="2" t="s">
        <v>37</v>
      </c>
      <c r="E284" s="8">
        <v>359370.19729999994</v>
      </c>
      <c r="F284" s="8">
        <v>272998.30663333338</v>
      </c>
      <c r="G284" s="8">
        <v>501.11399999999998</v>
      </c>
      <c r="J284">
        <v>359370.20030000003</v>
      </c>
      <c r="K284">
        <v>272998.29759999999</v>
      </c>
      <c r="L284">
        <v>501.06920000000002</v>
      </c>
      <c r="M284" s="3">
        <f t="shared" si="26"/>
        <v>3.000000084284693E-3</v>
      </c>
      <c r="N284" s="3">
        <f t="shared" si="26"/>
        <v>-9.0333333937451243E-3</v>
      </c>
      <c r="O284" s="3">
        <f t="shared" si="22"/>
        <v>4.4799999999952433E-2</v>
      </c>
      <c r="P284">
        <f t="shared" si="23"/>
        <v>9.0000005057081651E-6</v>
      </c>
      <c r="Q284">
        <f t="shared" si="23"/>
        <v>8.1601112202550806E-5</v>
      </c>
      <c r="R284">
        <f t="shared" si="23"/>
        <v>2.0070399999957381E-3</v>
      </c>
      <c r="S284">
        <f t="shared" si="24"/>
        <v>9.0601112708258967E-5</v>
      </c>
      <c r="T284">
        <f t="shared" si="25"/>
        <v>9.5184616776167654E-3</v>
      </c>
    </row>
    <row r="285" spans="1:20" x14ac:dyDescent="0.3">
      <c r="A285" s="2" t="s">
        <v>1168</v>
      </c>
      <c r="B285" s="6" t="s">
        <v>1030</v>
      </c>
      <c r="C285" s="2" t="s">
        <v>20</v>
      </c>
      <c r="D285" s="2" t="s">
        <v>46</v>
      </c>
      <c r="E285" s="8">
        <v>359370.18153333332</v>
      </c>
      <c r="F285" s="8">
        <v>272998.30563333334</v>
      </c>
      <c r="G285" s="8">
        <v>501.15766666666667</v>
      </c>
      <c r="J285">
        <v>359370.20030000003</v>
      </c>
      <c r="K285">
        <v>272998.29759999999</v>
      </c>
      <c r="L285">
        <v>501.06920000000002</v>
      </c>
      <c r="M285" s="3">
        <f t="shared" si="26"/>
        <v>1.8766666704323143E-2</v>
      </c>
      <c r="N285" s="3">
        <f t="shared" si="26"/>
        <v>-8.033333346247673E-3</v>
      </c>
      <c r="O285" s="3">
        <f t="shared" si="22"/>
        <v>8.8466666666647598E-2</v>
      </c>
      <c r="P285">
        <f t="shared" si="23"/>
        <v>3.5218777919115085E-4</v>
      </c>
      <c r="Q285">
        <f t="shared" si="23"/>
        <v>6.4534444651934836E-5</v>
      </c>
      <c r="R285">
        <f t="shared" si="23"/>
        <v>7.8263511111077363E-3</v>
      </c>
      <c r="S285">
        <f t="shared" si="24"/>
        <v>4.1672222384308568E-4</v>
      </c>
      <c r="T285">
        <f t="shared" si="25"/>
        <v>2.041377534517037E-2</v>
      </c>
    </row>
    <row r="286" spans="1:20" x14ac:dyDescent="0.3">
      <c r="A286" s="2" t="s">
        <v>1168</v>
      </c>
      <c r="B286" s="6" t="s">
        <v>1030</v>
      </c>
      <c r="C286" s="2" t="s">
        <v>51</v>
      </c>
      <c r="D286" s="2" t="s">
        <v>63</v>
      </c>
      <c r="E286" s="8">
        <v>359370.32780000003</v>
      </c>
      <c r="F286" s="8">
        <v>272998.26773333334</v>
      </c>
      <c r="G286" s="8">
        <v>501.05599999999998</v>
      </c>
      <c r="J286">
        <v>359370.20030000003</v>
      </c>
      <c r="K286">
        <v>272998.29759999999</v>
      </c>
      <c r="L286">
        <v>501.06920000000002</v>
      </c>
      <c r="M286" s="3">
        <f t="shared" si="26"/>
        <v>-0.12750000000232831</v>
      </c>
      <c r="N286" s="3">
        <f t="shared" si="26"/>
        <v>2.9866666649468243E-2</v>
      </c>
      <c r="O286" s="3">
        <f t="shared" si="22"/>
        <v>1.3200000000040291E-2</v>
      </c>
      <c r="P286">
        <f t="shared" si="23"/>
        <v>1.6256250000593719E-2</v>
      </c>
      <c r="Q286">
        <f t="shared" si="23"/>
        <v>8.920177767504586E-4</v>
      </c>
      <c r="R286">
        <f t="shared" si="23"/>
        <v>1.7424000000106367E-4</v>
      </c>
      <c r="S286">
        <f t="shared" si="24"/>
        <v>1.7148267777344177E-2</v>
      </c>
      <c r="T286">
        <f t="shared" si="25"/>
        <v>0.13095139471324532</v>
      </c>
    </row>
    <row r="287" spans="1:20" x14ac:dyDescent="0.3">
      <c r="A287" s="2" t="s">
        <v>1168</v>
      </c>
      <c r="B287" s="6" t="s">
        <v>1030</v>
      </c>
      <c r="C287" s="2" t="s">
        <v>51</v>
      </c>
      <c r="D287" s="2" t="s">
        <v>30</v>
      </c>
      <c r="E287" s="8">
        <v>359370.19079999998</v>
      </c>
      <c r="F287" s="8">
        <v>272998.29763333331</v>
      </c>
      <c r="G287" s="8">
        <v>501.07233333333335</v>
      </c>
      <c r="J287">
        <v>359370.20030000003</v>
      </c>
      <c r="K287">
        <v>272998.29759999999</v>
      </c>
      <c r="L287">
        <v>501.06920000000002</v>
      </c>
      <c r="M287" s="3">
        <f t="shared" si="26"/>
        <v>9.500000043772161E-3</v>
      </c>
      <c r="N287" s="3">
        <f t="shared" si="26"/>
        <v>-3.3333315514028072E-5</v>
      </c>
      <c r="O287" s="3">
        <f t="shared" si="22"/>
        <v>3.1333333333236624E-3</v>
      </c>
      <c r="P287">
        <f t="shared" si="23"/>
        <v>9.0250000831671061E-5</v>
      </c>
      <c r="Q287">
        <f t="shared" si="23"/>
        <v>1.1111099231577446E-9</v>
      </c>
      <c r="R287">
        <f t="shared" si="23"/>
        <v>9.8177777777171731E-6</v>
      </c>
      <c r="S287">
        <f t="shared" si="24"/>
        <v>9.0251111941594219E-5</v>
      </c>
      <c r="T287">
        <f t="shared" si="25"/>
        <v>9.5000585230615407E-3</v>
      </c>
    </row>
    <row r="288" spans="1:20" x14ac:dyDescent="0.3">
      <c r="A288" s="2" t="s">
        <v>1168</v>
      </c>
      <c r="B288" s="6" t="s">
        <v>1030</v>
      </c>
      <c r="C288" s="2" t="s">
        <v>51</v>
      </c>
      <c r="D288" s="2" t="s">
        <v>52</v>
      </c>
      <c r="E288" s="8">
        <v>359370.18820000003</v>
      </c>
      <c r="F288" s="8">
        <v>272998.30293333333</v>
      </c>
      <c r="G288" s="8">
        <v>501.08133333333336</v>
      </c>
      <c r="J288">
        <v>359370.20030000003</v>
      </c>
      <c r="K288">
        <v>272998.29759999999</v>
      </c>
      <c r="L288">
        <v>501.06920000000002</v>
      </c>
      <c r="M288" s="3">
        <f t="shared" si="26"/>
        <v>1.2099999992642552E-2</v>
      </c>
      <c r="N288" s="3">
        <f t="shared" si="26"/>
        <v>-5.3333333344198763E-3</v>
      </c>
      <c r="O288" s="3">
        <f t="shared" si="22"/>
        <v>1.2133333333338214E-2</v>
      </c>
      <c r="P288">
        <f t="shared" si="23"/>
        <v>1.4640999982194975E-4</v>
      </c>
      <c r="Q288">
        <f t="shared" si="23"/>
        <v>2.8444444456034236E-5</v>
      </c>
      <c r="R288">
        <f t="shared" si="23"/>
        <v>1.4721777777789623E-4</v>
      </c>
      <c r="S288">
        <f t="shared" si="24"/>
        <v>1.7485444427798398E-4</v>
      </c>
      <c r="T288">
        <f t="shared" si="25"/>
        <v>1.3223253921708681E-2</v>
      </c>
    </row>
    <row r="289" spans="1:20" x14ac:dyDescent="0.3">
      <c r="A289" s="2" t="s">
        <v>1168</v>
      </c>
      <c r="B289" s="6" t="s">
        <v>1030</v>
      </c>
      <c r="C289" s="2" t="s">
        <v>422</v>
      </c>
      <c r="D289" s="2" t="s">
        <v>423</v>
      </c>
      <c r="E289" s="8">
        <v>359370.15063333331</v>
      </c>
      <c r="F289" s="8">
        <v>272998.32639999996</v>
      </c>
      <c r="G289" s="8">
        <v>501.19433333333336</v>
      </c>
      <c r="J289">
        <v>359370.20030000003</v>
      </c>
      <c r="K289">
        <v>272998.29759999999</v>
      </c>
      <c r="L289">
        <v>501.06920000000002</v>
      </c>
      <c r="M289" s="3">
        <f t="shared" si="26"/>
        <v>4.9666666716802865E-2</v>
      </c>
      <c r="N289" s="3">
        <f t="shared" si="26"/>
        <v>-2.8799999970942736E-2</v>
      </c>
      <c r="O289" s="3">
        <f t="shared" si="22"/>
        <v>0.12513333333333776</v>
      </c>
      <c r="P289">
        <f t="shared" si="23"/>
        <v>2.4667777827579733E-3</v>
      </c>
      <c r="Q289">
        <f t="shared" si="23"/>
        <v>8.2943999832630158E-4</v>
      </c>
      <c r="R289">
        <f t="shared" si="23"/>
        <v>1.5658351111112218E-2</v>
      </c>
      <c r="S289">
        <f t="shared" si="24"/>
        <v>3.2962177810842751E-3</v>
      </c>
      <c r="T289">
        <f t="shared" si="25"/>
        <v>5.7412697037190957E-2</v>
      </c>
    </row>
    <row r="290" spans="1:20" x14ac:dyDescent="0.3">
      <c r="A290" s="2" t="s">
        <v>1168</v>
      </c>
      <c r="B290" s="6" t="s">
        <v>1031</v>
      </c>
      <c r="C290" s="2" t="s">
        <v>20</v>
      </c>
      <c r="D290" s="2" t="s">
        <v>30</v>
      </c>
      <c r="E290" s="8">
        <v>368440.86410000006</v>
      </c>
      <c r="F290" s="8">
        <v>268648.72750000004</v>
      </c>
      <c r="G290" s="8">
        <v>570.93099999999993</v>
      </c>
      <c r="J290">
        <v>368440.86719999998</v>
      </c>
      <c r="K290">
        <v>268648.73670000001</v>
      </c>
      <c r="L290">
        <v>570.87350000000004</v>
      </c>
      <c r="M290" s="3">
        <f t="shared" si="26"/>
        <v>3.0999999144114554E-3</v>
      </c>
      <c r="N290" s="3">
        <f t="shared" si="26"/>
        <v>9.1999999713152647E-3</v>
      </c>
      <c r="O290" s="3">
        <f t="shared" si="22"/>
        <v>5.7499999999890861E-2</v>
      </c>
      <c r="P290">
        <f t="shared" si="23"/>
        <v>9.6099994693510308E-6</v>
      </c>
      <c r="Q290">
        <f t="shared" si="23"/>
        <v>8.4639999472200871E-5</v>
      </c>
      <c r="R290">
        <f t="shared" si="23"/>
        <v>3.306249999987449E-3</v>
      </c>
      <c r="S290">
        <f t="shared" si="24"/>
        <v>9.4249998941551899E-5</v>
      </c>
      <c r="T290">
        <f t="shared" si="25"/>
        <v>9.7082438649609484E-3</v>
      </c>
    </row>
    <row r="291" spans="1:20" x14ac:dyDescent="0.3">
      <c r="A291" s="2" t="s">
        <v>1168</v>
      </c>
      <c r="B291" s="6" t="s">
        <v>1031</v>
      </c>
      <c r="C291" s="2" t="s">
        <v>20</v>
      </c>
      <c r="D291" s="2" t="s">
        <v>21</v>
      </c>
      <c r="E291" s="8">
        <v>368440.85979999998</v>
      </c>
      <c r="F291" s="8">
        <v>268648.72839999996</v>
      </c>
      <c r="G291" s="8">
        <v>570.92266666666671</v>
      </c>
      <c r="J291">
        <v>368440.86719999998</v>
      </c>
      <c r="K291">
        <v>268648.73670000001</v>
      </c>
      <c r="L291">
        <v>570.87350000000004</v>
      </c>
      <c r="M291" s="3">
        <f t="shared" si="26"/>
        <v>7.4000000022351742E-3</v>
      </c>
      <c r="N291" s="3">
        <f t="shared" si="26"/>
        <v>8.3000000449828804E-3</v>
      </c>
      <c r="O291" s="3">
        <f t="shared" si="22"/>
        <v>4.9166666666678793E-2</v>
      </c>
      <c r="P291">
        <f t="shared" si="23"/>
        <v>5.4760000033080578E-5</v>
      </c>
      <c r="Q291">
        <f t="shared" si="23"/>
        <v>6.8890000746715813E-5</v>
      </c>
      <c r="R291">
        <f t="shared" si="23"/>
        <v>2.4173611111123036E-3</v>
      </c>
      <c r="S291">
        <f t="shared" si="24"/>
        <v>1.2365000077979639E-4</v>
      </c>
      <c r="T291">
        <f t="shared" si="25"/>
        <v>1.1119802191576808E-2</v>
      </c>
    </row>
    <row r="292" spans="1:20" x14ac:dyDescent="0.3">
      <c r="A292" s="2" t="s">
        <v>1168</v>
      </c>
      <c r="B292" s="6" t="s">
        <v>1032</v>
      </c>
      <c r="C292" s="2" t="s">
        <v>20</v>
      </c>
      <c r="D292" s="2" t="s">
        <v>110</v>
      </c>
      <c r="E292" s="8">
        <v>368440.86153333331</v>
      </c>
      <c r="F292" s="8">
        <v>268648.72426666669</v>
      </c>
      <c r="G292" s="8">
        <v>570.92333333333329</v>
      </c>
      <c r="J292">
        <v>368440.86719999998</v>
      </c>
      <c r="K292">
        <v>268648.73670000001</v>
      </c>
      <c r="L292">
        <v>570.87350000000004</v>
      </c>
      <c r="M292" s="3">
        <f t="shared" si="26"/>
        <v>5.6666666641831398E-3</v>
      </c>
      <c r="N292" s="3">
        <f t="shared" si="26"/>
        <v>1.2433333322405815E-2</v>
      </c>
      <c r="O292" s="3">
        <f t="shared" si="22"/>
        <v>4.9833333333253904E-2</v>
      </c>
      <c r="P292">
        <f t="shared" si="23"/>
        <v>3.2111111082964473E-5</v>
      </c>
      <c r="Q292">
        <f t="shared" si="23"/>
        <v>1.5458777750604683E-4</v>
      </c>
      <c r="R292">
        <f t="shared" si="23"/>
        <v>2.4833611111031947E-3</v>
      </c>
      <c r="S292">
        <f t="shared" si="24"/>
        <v>1.866988885890113E-4</v>
      </c>
      <c r="T292">
        <f t="shared" si="25"/>
        <v>1.3663780172009915E-2</v>
      </c>
    </row>
    <row r="293" spans="1:20" x14ac:dyDescent="0.3">
      <c r="A293" s="2" t="s">
        <v>1168</v>
      </c>
      <c r="B293" s="6" t="s">
        <v>1032</v>
      </c>
      <c r="C293" s="2" t="s">
        <v>20</v>
      </c>
      <c r="D293" s="2" t="s">
        <v>37</v>
      </c>
      <c r="E293" s="8">
        <v>368440.86983333324</v>
      </c>
      <c r="F293" s="8">
        <v>268648.72006666666</v>
      </c>
      <c r="G293" s="8">
        <v>570.93666666666661</v>
      </c>
      <c r="J293">
        <v>368440.86719999998</v>
      </c>
      <c r="K293">
        <v>268648.73670000001</v>
      </c>
      <c r="L293">
        <v>570.87350000000004</v>
      </c>
      <c r="M293" s="3">
        <f t="shared" si="26"/>
        <v>-2.6333332643844187E-3</v>
      </c>
      <c r="N293" s="3">
        <f t="shared" si="26"/>
        <v>1.6633333347272128E-2</v>
      </c>
      <c r="O293" s="3">
        <f t="shared" si="22"/>
        <v>6.3166666666575111E-2</v>
      </c>
      <c r="P293">
        <f t="shared" si="23"/>
        <v>6.9344440813134989E-6</v>
      </c>
      <c r="Q293">
        <f t="shared" si="23"/>
        <v>2.7666777824147503E-4</v>
      </c>
      <c r="R293">
        <f t="shared" si="23"/>
        <v>3.990027777766211E-3</v>
      </c>
      <c r="S293">
        <f t="shared" si="24"/>
        <v>2.8360222232278853E-4</v>
      </c>
      <c r="T293">
        <f t="shared" si="25"/>
        <v>1.6840493529667964E-2</v>
      </c>
    </row>
    <row r="294" spans="1:20" x14ac:dyDescent="0.3">
      <c r="A294" s="2" t="s">
        <v>1168</v>
      </c>
      <c r="B294" s="6" t="s">
        <v>1032</v>
      </c>
      <c r="C294" s="2" t="s">
        <v>20</v>
      </c>
      <c r="D294" s="2" t="s">
        <v>46</v>
      </c>
      <c r="E294" s="8">
        <v>368440.87486666668</v>
      </c>
      <c r="F294" s="8">
        <v>268648.71193333337</v>
      </c>
      <c r="G294" s="8">
        <v>570.94899999999996</v>
      </c>
      <c r="J294">
        <v>368440.86719999998</v>
      </c>
      <c r="K294">
        <v>268648.73670000001</v>
      </c>
      <c r="L294">
        <v>570.87350000000004</v>
      </c>
      <c r="M294" s="3">
        <f t="shared" si="26"/>
        <v>-7.6666667009703815E-3</v>
      </c>
      <c r="N294" s="3">
        <f t="shared" si="26"/>
        <v>2.4766666640061885E-2</v>
      </c>
      <c r="O294" s="3">
        <f t="shared" si="22"/>
        <v>7.5499999999919964E-2</v>
      </c>
      <c r="P294">
        <f t="shared" si="23"/>
        <v>5.877777830376807E-5</v>
      </c>
      <c r="Q294">
        <f t="shared" si="23"/>
        <v>6.1338777645995424E-4</v>
      </c>
      <c r="R294">
        <f t="shared" si="23"/>
        <v>5.7002499999879146E-3</v>
      </c>
      <c r="S294">
        <f t="shared" si="24"/>
        <v>6.7216555476372233E-4</v>
      </c>
      <c r="T294">
        <f t="shared" si="25"/>
        <v>2.5926155803815621E-2</v>
      </c>
    </row>
    <row r="295" spans="1:20" x14ac:dyDescent="0.3">
      <c r="A295" s="2" t="s">
        <v>1168</v>
      </c>
      <c r="B295" s="6" t="s">
        <v>1032</v>
      </c>
      <c r="C295" s="2" t="s">
        <v>51</v>
      </c>
      <c r="D295" s="2" t="s">
        <v>63</v>
      </c>
      <c r="E295" s="8">
        <v>368440.8667666667</v>
      </c>
      <c r="F295" s="8">
        <v>268648.71249999997</v>
      </c>
      <c r="G295" s="8">
        <v>570.75</v>
      </c>
      <c r="J295">
        <v>368440.86719999998</v>
      </c>
      <c r="K295">
        <v>268648.73670000001</v>
      </c>
      <c r="L295">
        <v>570.87350000000004</v>
      </c>
      <c r="M295" s="3">
        <f t="shared" si="26"/>
        <v>4.3333327630534768E-4</v>
      </c>
      <c r="N295" s="3">
        <f t="shared" si="26"/>
        <v>2.4200000043492764E-2</v>
      </c>
      <c r="O295" s="3">
        <f t="shared" si="22"/>
        <v>0.12350000000003547</v>
      </c>
      <c r="P295">
        <f t="shared" si="23"/>
        <v>1.877777283535268E-7</v>
      </c>
      <c r="Q295">
        <f t="shared" si="23"/>
        <v>5.8564000210504976E-4</v>
      </c>
      <c r="R295">
        <f t="shared" si="23"/>
        <v>1.5252250000008761E-2</v>
      </c>
      <c r="S295">
        <f t="shared" si="24"/>
        <v>5.8582777983340328E-4</v>
      </c>
      <c r="T295">
        <f t="shared" si="25"/>
        <v>2.4203879437672864E-2</v>
      </c>
    </row>
    <row r="296" spans="1:20" x14ac:dyDescent="0.3">
      <c r="A296" s="2" t="s">
        <v>1168</v>
      </c>
      <c r="B296" s="6" t="s">
        <v>1032</v>
      </c>
      <c r="C296" s="2" t="s">
        <v>51</v>
      </c>
      <c r="D296" s="2" t="s">
        <v>30</v>
      </c>
      <c r="E296" s="8">
        <v>368440.87326666666</v>
      </c>
      <c r="F296" s="8">
        <v>268648.71230000001</v>
      </c>
      <c r="G296" s="8">
        <v>570.80166666666662</v>
      </c>
      <c r="J296">
        <v>368440.86719999998</v>
      </c>
      <c r="K296">
        <v>268648.73670000001</v>
      </c>
      <c r="L296">
        <v>570.87350000000004</v>
      </c>
      <c r="M296" s="3">
        <f t="shared" si="26"/>
        <v>-6.0666666831821203E-3</v>
      </c>
      <c r="N296" s="3">
        <f t="shared" si="26"/>
        <v>2.4399999994784594E-2</v>
      </c>
      <c r="O296" s="3">
        <f t="shared" si="22"/>
        <v>7.1833333333415794E-2</v>
      </c>
      <c r="P296">
        <f t="shared" si="23"/>
        <v>3.6804444644831949E-5</v>
      </c>
      <c r="Q296">
        <f t="shared" si="23"/>
        <v>5.9535999974548817E-4</v>
      </c>
      <c r="R296">
        <f t="shared" si="23"/>
        <v>5.1600277777896246E-3</v>
      </c>
      <c r="S296">
        <f t="shared" si="24"/>
        <v>6.3216444439032006E-4</v>
      </c>
      <c r="T296">
        <f t="shared" si="25"/>
        <v>2.5142880590543322E-2</v>
      </c>
    </row>
    <row r="297" spans="1:20" x14ac:dyDescent="0.3">
      <c r="A297" s="2" t="s">
        <v>1168</v>
      </c>
      <c r="B297" s="6" t="s">
        <v>1032</v>
      </c>
      <c r="C297" s="2" t="s">
        <v>51</v>
      </c>
      <c r="D297" s="2" t="s">
        <v>52</v>
      </c>
      <c r="E297" s="8">
        <v>368440.86559999996</v>
      </c>
      <c r="F297" s="8">
        <v>268648.72046666662</v>
      </c>
      <c r="G297" s="8">
        <v>570.80833333333339</v>
      </c>
      <c r="J297">
        <v>368440.86719999998</v>
      </c>
      <c r="K297">
        <v>268648.73670000001</v>
      </c>
      <c r="L297">
        <v>570.87350000000004</v>
      </c>
      <c r="M297" s="3">
        <f t="shared" si="26"/>
        <v>1.6000000177882612E-3</v>
      </c>
      <c r="N297" s="3">
        <f t="shared" si="26"/>
        <v>1.6233333386480808E-2</v>
      </c>
      <c r="O297" s="3">
        <f t="shared" si="22"/>
        <v>6.5166666666641504E-2</v>
      </c>
      <c r="P297">
        <f t="shared" si="23"/>
        <v>2.5600000569224361E-6</v>
      </c>
      <c r="Q297">
        <f t="shared" si="23"/>
        <v>2.6352111283663247E-4</v>
      </c>
      <c r="R297">
        <f t="shared" si="23"/>
        <v>4.2466944444411649E-3</v>
      </c>
      <c r="S297">
        <f t="shared" si="24"/>
        <v>2.660811128935549E-4</v>
      </c>
      <c r="T297">
        <f t="shared" si="25"/>
        <v>1.6311992916058875E-2</v>
      </c>
    </row>
    <row r="298" spans="1:20" x14ac:dyDescent="0.3">
      <c r="A298" s="2" t="s">
        <v>1168</v>
      </c>
      <c r="B298" s="6" t="s">
        <v>1032</v>
      </c>
      <c r="C298" s="2" t="s">
        <v>422</v>
      </c>
      <c r="D298" s="2" t="s">
        <v>423</v>
      </c>
      <c r="E298" s="8">
        <v>368440.88339999999</v>
      </c>
      <c r="F298" s="8">
        <v>268648.7361333333</v>
      </c>
      <c r="G298" s="8">
        <v>571.10433333333333</v>
      </c>
      <c r="J298">
        <v>368440.86719999998</v>
      </c>
      <c r="K298">
        <v>268648.73670000001</v>
      </c>
      <c r="L298">
        <v>570.87350000000004</v>
      </c>
      <c r="M298" s="3">
        <f t="shared" si="26"/>
        <v>-1.6200000012759119E-2</v>
      </c>
      <c r="N298" s="3">
        <f t="shared" si="26"/>
        <v>5.6666671298444271E-4</v>
      </c>
      <c r="O298" s="3">
        <f t="shared" si="22"/>
        <v>0.23083333333329392</v>
      </c>
      <c r="P298">
        <f t="shared" si="23"/>
        <v>2.6244000041339546E-4</v>
      </c>
      <c r="Q298">
        <f t="shared" si="23"/>
        <v>3.2111116360459277E-7</v>
      </c>
      <c r="R298">
        <f t="shared" si="23"/>
        <v>5.3284027777759584E-2</v>
      </c>
      <c r="S298">
        <f t="shared" si="24"/>
        <v>2.6276111157700005E-4</v>
      </c>
      <c r="T298">
        <f t="shared" si="25"/>
        <v>1.6209907821360368E-2</v>
      </c>
    </row>
    <row r="299" spans="1:20" x14ac:dyDescent="0.3">
      <c r="A299" s="2" t="s">
        <v>1168</v>
      </c>
      <c r="B299" s="6" t="s">
        <v>1033</v>
      </c>
      <c r="C299" s="2" t="s">
        <v>20</v>
      </c>
      <c r="D299" s="2" t="s">
        <v>30</v>
      </c>
      <c r="E299" s="8">
        <v>385094.09736666665</v>
      </c>
      <c r="F299" s="8">
        <v>250022.24910000002</v>
      </c>
      <c r="G299" s="8">
        <v>182.208</v>
      </c>
      <c r="J299">
        <v>385094.10960000003</v>
      </c>
      <c r="K299">
        <v>250022.25399999999</v>
      </c>
      <c r="L299">
        <v>182.14429999999999</v>
      </c>
      <c r="M299" s="3">
        <f t="shared" si="26"/>
        <v>1.2233333371113986E-2</v>
      </c>
      <c r="N299" s="3">
        <f t="shared" si="26"/>
        <v>4.8999999708030373E-3</v>
      </c>
      <c r="O299" s="3">
        <f t="shared" si="22"/>
        <v>6.3700000000011414E-2</v>
      </c>
      <c r="P299">
        <f t="shared" si="23"/>
        <v>1.4965444536881107E-4</v>
      </c>
      <c r="Q299">
        <f t="shared" si="23"/>
        <v>2.4009999713869765E-5</v>
      </c>
      <c r="R299">
        <f t="shared" si="23"/>
        <v>4.0576900000014538E-3</v>
      </c>
      <c r="S299">
        <f t="shared" si="24"/>
        <v>1.7366444508268083E-4</v>
      </c>
      <c r="T299">
        <f t="shared" si="25"/>
        <v>1.3178180643878002E-2</v>
      </c>
    </row>
    <row r="300" spans="1:20" x14ac:dyDescent="0.3">
      <c r="A300" s="2" t="s">
        <v>1168</v>
      </c>
      <c r="B300" s="6" t="s">
        <v>1033</v>
      </c>
      <c r="C300" s="2" t="s">
        <v>20</v>
      </c>
      <c r="D300" s="2" t="s">
        <v>21</v>
      </c>
      <c r="E300" s="8">
        <v>385094.09116666671</v>
      </c>
      <c r="F300" s="8">
        <v>250022.24899999998</v>
      </c>
      <c r="G300" s="8">
        <v>182.21533333333335</v>
      </c>
      <c r="J300">
        <v>385094.10960000003</v>
      </c>
      <c r="K300">
        <v>250022.25399999999</v>
      </c>
      <c r="L300">
        <v>182.14429999999999</v>
      </c>
      <c r="M300" s="3">
        <f t="shared" si="26"/>
        <v>1.8433333316352218E-2</v>
      </c>
      <c r="N300" s="3">
        <f t="shared" si="26"/>
        <v>5.0000000046566129E-3</v>
      </c>
      <c r="O300" s="3">
        <f t="shared" si="22"/>
        <v>7.1033333333360815E-2</v>
      </c>
      <c r="P300">
        <f t="shared" si="23"/>
        <v>3.3978777715174067E-4</v>
      </c>
      <c r="Q300">
        <f t="shared" si="23"/>
        <v>2.5000000046566129E-5</v>
      </c>
      <c r="R300">
        <f t="shared" si="23"/>
        <v>5.0457344444483484E-3</v>
      </c>
      <c r="S300">
        <f t="shared" si="24"/>
        <v>3.6478777719830679E-4</v>
      </c>
      <c r="T300">
        <f t="shared" si="25"/>
        <v>1.9099418242404839E-2</v>
      </c>
    </row>
    <row r="301" spans="1:20" x14ac:dyDescent="0.3">
      <c r="A301" s="2" t="s">
        <v>1168</v>
      </c>
      <c r="B301" s="6" t="s">
        <v>1034</v>
      </c>
      <c r="C301" s="2" t="s">
        <v>20</v>
      </c>
      <c r="D301" s="2" t="s">
        <v>110</v>
      </c>
      <c r="E301" s="8">
        <v>385094.08049999998</v>
      </c>
      <c r="F301" s="8">
        <v>250022.24383333334</v>
      </c>
      <c r="G301" s="8">
        <v>182.22633333333332</v>
      </c>
      <c r="J301">
        <v>385094.10960000003</v>
      </c>
      <c r="K301">
        <v>250022.25399999999</v>
      </c>
      <c r="L301">
        <v>182.14429999999999</v>
      </c>
      <c r="M301" s="3">
        <f t="shared" si="26"/>
        <v>2.9100000043399632E-2</v>
      </c>
      <c r="N301" s="3">
        <f t="shared" si="26"/>
        <v>1.0166666645091027E-2</v>
      </c>
      <c r="O301" s="3">
        <f t="shared" si="22"/>
        <v>8.2033333333328073E-2</v>
      </c>
      <c r="P301">
        <f t="shared" si="23"/>
        <v>8.4681000252585857E-4</v>
      </c>
      <c r="Q301">
        <f t="shared" si="23"/>
        <v>1.0336111067240644E-4</v>
      </c>
      <c r="R301">
        <f t="shared" si="23"/>
        <v>6.7294677777769152E-3</v>
      </c>
      <c r="S301">
        <f t="shared" si="24"/>
        <v>9.5017111319826498E-4</v>
      </c>
      <c r="T301">
        <f t="shared" si="25"/>
        <v>3.0824845712481109E-2</v>
      </c>
    </row>
    <row r="302" spans="1:20" x14ac:dyDescent="0.3">
      <c r="A302" s="2" t="s">
        <v>1168</v>
      </c>
      <c r="B302" s="6" t="s">
        <v>1034</v>
      </c>
      <c r="C302" s="2" t="s">
        <v>20</v>
      </c>
      <c r="D302" s="2" t="s">
        <v>37</v>
      </c>
      <c r="E302" s="8">
        <v>385094.09840000002</v>
      </c>
      <c r="F302" s="8">
        <v>250022.24793333336</v>
      </c>
      <c r="G302" s="8">
        <v>182.17266666666669</v>
      </c>
      <c r="J302">
        <v>385094.10960000003</v>
      </c>
      <c r="K302">
        <v>250022.25399999999</v>
      </c>
      <c r="L302">
        <v>182.14429999999999</v>
      </c>
      <c r="M302" s="3">
        <f t="shared" si="26"/>
        <v>1.1200000008102506E-2</v>
      </c>
      <c r="N302" s="3">
        <f t="shared" si="26"/>
        <v>6.0666666249744594E-3</v>
      </c>
      <c r="O302" s="3">
        <f t="shared" si="22"/>
        <v>2.8366666666698848E-2</v>
      </c>
      <c r="P302">
        <f t="shared" si="23"/>
        <v>1.2544000018149614E-4</v>
      </c>
      <c r="Q302">
        <f t="shared" si="23"/>
        <v>3.6804443938578995E-5</v>
      </c>
      <c r="R302">
        <f t="shared" si="23"/>
        <v>8.0466777777960354E-4</v>
      </c>
      <c r="S302">
        <f t="shared" si="24"/>
        <v>1.6224444412007513E-4</v>
      </c>
      <c r="T302">
        <f t="shared" si="25"/>
        <v>1.2737521113626275E-2</v>
      </c>
    </row>
    <row r="303" spans="1:20" x14ac:dyDescent="0.3">
      <c r="A303" s="2" t="s">
        <v>1168</v>
      </c>
      <c r="B303" s="6" t="s">
        <v>1034</v>
      </c>
      <c r="C303" s="2" t="s">
        <v>20</v>
      </c>
      <c r="D303" s="2" t="s">
        <v>46</v>
      </c>
      <c r="E303" s="8">
        <v>385094.0941333333</v>
      </c>
      <c r="F303" s="8">
        <v>250022.24693333334</v>
      </c>
      <c r="G303" s="8">
        <v>182.20699999999999</v>
      </c>
      <c r="J303">
        <v>385094.10960000003</v>
      </c>
      <c r="K303">
        <v>250022.25399999999</v>
      </c>
      <c r="L303">
        <v>182.14429999999999</v>
      </c>
      <c r="M303" s="3">
        <f t="shared" si="26"/>
        <v>1.5466666722204536E-2</v>
      </c>
      <c r="N303" s="3">
        <f t="shared" si="26"/>
        <v>7.0666666433680803E-3</v>
      </c>
      <c r="O303" s="3">
        <f t="shared" si="22"/>
        <v>6.2700000000006639E-2</v>
      </c>
      <c r="P303">
        <f t="shared" si="23"/>
        <v>2.3921777949574921E-4</v>
      </c>
      <c r="Q303">
        <f t="shared" si="23"/>
        <v>4.993777744849109E-5</v>
      </c>
      <c r="R303">
        <f t="shared" si="23"/>
        <v>3.9312900000008323E-3</v>
      </c>
      <c r="S303">
        <f t="shared" si="24"/>
        <v>2.8915555694424033E-4</v>
      </c>
      <c r="T303">
        <f t="shared" si="25"/>
        <v>1.7004574588746414E-2</v>
      </c>
    </row>
    <row r="304" spans="1:20" x14ac:dyDescent="0.3">
      <c r="A304" s="2" t="s">
        <v>1168</v>
      </c>
      <c r="B304" s="6" t="s">
        <v>1034</v>
      </c>
      <c r="C304" s="2" t="s">
        <v>51</v>
      </c>
      <c r="D304" s="2" t="s">
        <v>63</v>
      </c>
      <c r="E304" s="8">
        <v>385094.09969999996</v>
      </c>
      <c r="F304" s="8">
        <v>250022.24</v>
      </c>
      <c r="G304" s="8">
        <v>182.10599999999999</v>
      </c>
      <c r="J304">
        <v>385094.10960000003</v>
      </c>
      <c r="K304">
        <v>250022.25399999999</v>
      </c>
      <c r="L304">
        <v>182.14429999999999</v>
      </c>
      <c r="M304" s="3">
        <f t="shared" si="26"/>
        <v>9.9000000627711415E-3</v>
      </c>
      <c r="N304" s="3">
        <f t="shared" si="26"/>
        <v>1.3999999995576218E-2</v>
      </c>
      <c r="O304" s="3">
        <f t="shared" si="22"/>
        <v>3.8299999999992451E-2</v>
      </c>
      <c r="P304">
        <f t="shared" si="23"/>
        <v>9.8010001242868606E-5</v>
      </c>
      <c r="Q304">
        <f t="shared" si="23"/>
        <v>1.959999998761341E-4</v>
      </c>
      <c r="R304">
        <f t="shared" si="23"/>
        <v>1.4668899999994217E-3</v>
      </c>
      <c r="S304">
        <f t="shared" si="24"/>
        <v>2.9401000111900272E-4</v>
      </c>
      <c r="T304">
        <f t="shared" si="25"/>
        <v>1.7146719835554634E-2</v>
      </c>
    </row>
    <row r="305" spans="1:20" x14ac:dyDescent="0.3">
      <c r="A305" s="2" t="s">
        <v>1168</v>
      </c>
      <c r="B305" s="6" t="s">
        <v>1034</v>
      </c>
      <c r="C305" s="2" t="s">
        <v>51</v>
      </c>
      <c r="D305" s="2" t="s">
        <v>30</v>
      </c>
      <c r="E305" s="8">
        <v>385094.08689999999</v>
      </c>
      <c r="F305" s="8">
        <v>250022.24266666666</v>
      </c>
      <c r="G305" s="8">
        <v>182.06933333333333</v>
      </c>
      <c r="J305">
        <v>385094.10960000003</v>
      </c>
      <c r="K305">
        <v>250022.25399999999</v>
      </c>
      <c r="L305">
        <v>182.14429999999999</v>
      </c>
      <c r="M305" s="3">
        <f t="shared" si="26"/>
        <v>2.2700000030454248E-2</v>
      </c>
      <c r="N305" s="3">
        <f t="shared" si="26"/>
        <v>1.133333332836628E-2</v>
      </c>
      <c r="O305" s="3">
        <f t="shared" si="22"/>
        <v>7.4966666666654191E-2</v>
      </c>
      <c r="P305">
        <f t="shared" si="23"/>
        <v>5.1529000138262292E-4</v>
      </c>
      <c r="Q305">
        <f t="shared" si="23"/>
        <v>1.2844444433185789E-4</v>
      </c>
      <c r="R305">
        <f t="shared" si="23"/>
        <v>5.6200011111092411E-3</v>
      </c>
      <c r="S305">
        <f t="shared" si="24"/>
        <v>6.4373444571448081E-4</v>
      </c>
      <c r="T305">
        <f t="shared" si="25"/>
        <v>2.5371922389020522E-2</v>
      </c>
    </row>
    <row r="306" spans="1:20" x14ac:dyDescent="0.3">
      <c r="A306" s="2" t="s">
        <v>1168</v>
      </c>
      <c r="B306" s="6" t="s">
        <v>1034</v>
      </c>
      <c r="C306" s="2" t="s">
        <v>51</v>
      </c>
      <c r="D306" s="2" t="s">
        <v>52</v>
      </c>
      <c r="E306" s="8">
        <v>385094.0933666667</v>
      </c>
      <c r="F306" s="8">
        <v>250022.24196666668</v>
      </c>
      <c r="G306" s="8">
        <v>182.08333333333334</v>
      </c>
      <c r="J306">
        <v>385094.10960000003</v>
      </c>
      <c r="K306">
        <v>250022.25399999999</v>
      </c>
      <c r="L306">
        <v>182.14429999999999</v>
      </c>
      <c r="M306" s="3">
        <f t="shared" si="26"/>
        <v>1.6233333328273147E-2</v>
      </c>
      <c r="N306" s="3">
        <f t="shared" si="26"/>
        <v>1.2033333303406835E-2</v>
      </c>
      <c r="O306" s="3">
        <f t="shared" si="22"/>
        <v>6.0966666666644187E-2</v>
      </c>
      <c r="P306">
        <f t="shared" si="23"/>
        <v>2.6352111094682374E-4</v>
      </c>
      <c r="Q306">
        <f t="shared" si="23"/>
        <v>1.4480111039088004E-4</v>
      </c>
      <c r="R306">
        <f t="shared" si="23"/>
        <v>3.7169344444417034E-3</v>
      </c>
      <c r="S306">
        <f t="shared" si="24"/>
        <v>4.0832222133770378E-4</v>
      </c>
      <c r="T306">
        <f t="shared" si="25"/>
        <v>2.0206984469180546E-2</v>
      </c>
    </row>
    <row r="307" spans="1:20" x14ac:dyDescent="0.3">
      <c r="A307" s="2" t="s">
        <v>1168</v>
      </c>
      <c r="B307" s="6" t="s">
        <v>1034</v>
      </c>
      <c r="C307" s="2" t="s">
        <v>422</v>
      </c>
      <c r="D307" s="2" t="s">
        <v>423</v>
      </c>
      <c r="E307" s="8">
        <v>385094.08413333335</v>
      </c>
      <c r="F307" s="8">
        <v>250022.25593333333</v>
      </c>
      <c r="G307" s="8">
        <v>182.35633333333337</v>
      </c>
      <c r="J307">
        <v>385094.10960000003</v>
      </c>
      <c r="K307">
        <v>250022.25399999999</v>
      </c>
      <c r="L307">
        <v>182.14429999999999</v>
      </c>
      <c r="M307" s="3">
        <f t="shared" si="26"/>
        <v>2.5466666673310101E-2</v>
      </c>
      <c r="N307" s="3">
        <f t="shared" si="26"/>
        <v>-1.9333333475515246E-3</v>
      </c>
      <c r="O307" s="3">
        <f t="shared" si="22"/>
        <v>0.21203333333338037</v>
      </c>
      <c r="P307">
        <f t="shared" si="23"/>
        <v>6.4855111144948335E-4</v>
      </c>
      <c r="Q307">
        <f t="shared" si="23"/>
        <v>3.7377778327547844E-6</v>
      </c>
      <c r="R307">
        <f t="shared" si="23"/>
        <v>4.4958134444464393E-2</v>
      </c>
      <c r="S307">
        <f t="shared" si="24"/>
        <v>6.5228888928223813E-4</v>
      </c>
      <c r="T307">
        <f t="shared" si="25"/>
        <v>2.5539946931860256E-2</v>
      </c>
    </row>
    <row r="308" spans="1:20" x14ac:dyDescent="0.3">
      <c r="A308" s="2" t="s">
        <v>1168</v>
      </c>
      <c r="B308" s="6" t="s">
        <v>1035</v>
      </c>
      <c r="C308" s="2" t="s">
        <v>20</v>
      </c>
      <c r="D308" s="2" t="s">
        <v>30</v>
      </c>
      <c r="E308" s="8">
        <v>385152.40639999998</v>
      </c>
      <c r="F308" s="8">
        <v>236205.48759999999</v>
      </c>
      <c r="G308" s="8">
        <v>299.82133333333331</v>
      </c>
      <c r="J308">
        <v>385152.42440000002</v>
      </c>
      <c r="K308">
        <v>236205.51190000001</v>
      </c>
      <c r="L308">
        <v>299.89370000000002</v>
      </c>
      <c r="M308" s="3">
        <f t="shared" si="26"/>
        <v>1.8000000040046871E-2</v>
      </c>
      <c r="N308" s="3">
        <f t="shared" si="26"/>
        <v>2.4300000019138679E-2</v>
      </c>
      <c r="O308" s="3">
        <f t="shared" si="22"/>
        <v>7.2366666666709989E-2</v>
      </c>
      <c r="P308">
        <f t="shared" si="23"/>
        <v>3.2400000144168733E-4</v>
      </c>
      <c r="Q308">
        <f t="shared" si="23"/>
        <v>5.904900009301398E-4</v>
      </c>
      <c r="R308">
        <f t="shared" si="23"/>
        <v>5.2369344444507145E-3</v>
      </c>
      <c r="S308">
        <f t="shared" si="24"/>
        <v>9.1449000237182713E-4</v>
      </c>
      <c r="T308">
        <f t="shared" si="25"/>
        <v>3.0240535748756622E-2</v>
      </c>
    </row>
    <row r="309" spans="1:20" x14ac:dyDescent="0.3">
      <c r="A309" s="2" t="s">
        <v>1168</v>
      </c>
      <c r="B309" s="6" t="s">
        <v>1035</v>
      </c>
      <c r="C309" s="2" t="s">
        <v>20</v>
      </c>
      <c r="D309" s="2" t="s">
        <v>21</v>
      </c>
      <c r="E309" s="8">
        <v>385152.41223333334</v>
      </c>
      <c r="F309" s="8">
        <v>236205.49360000002</v>
      </c>
      <c r="G309" s="8">
        <v>299.85599999999999</v>
      </c>
      <c r="J309">
        <v>385152.42440000002</v>
      </c>
      <c r="K309">
        <v>236205.51190000001</v>
      </c>
      <c r="L309">
        <v>299.89370000000002</v>
      </c>
      <c r="M309" s="3">
        <f t="shared" si="26"/>
        <v>1.2166666681878269E-2</v>
      </c>
      <c r="N309" s="3">
        <f t="shared" si="26"/>
        <v>1.8299999996088445E-2</v>
      </c>
      <c r="O309" s="3">
        <f t="shared" si="22"/>
        <v>3.7700000000029377E-2</v>
      </c>
      <c r="P309">
        <f t="shared" si="23"/>
        <v>1.4802777814792675E-4</v>
      </c>
      <c r="Q309">
        <f t="shared" si="23"/>
        <v>3.3488999985683708E-4</v>
      </c>
      <c r="R309">
        <f t="shared" si="23"/>
        <v>1.421290000002215E-3</v>
      </c>
      <c r="S309">
        <f t="shared" si="24"/>
        <v>4.8291777800476383E-4</v>
      </c>
      <c r="T309">
        <f t="shared" si="25"/>
        <v>2.1975390281056759E-2</v>
      </c>
    </row>
    <row r="310" spans="1:20" x14ac:dyDescent="0.3">
      <c r="A310" s="2" t="s">
        <v>1168</v>
      </c>
      <c r="B310" s="6" t="s">
        <v>1036</v>
      </c>
      <c r="C310" s="2" t="s">
        <v>20</v>
      </c>
      <c r="D310" s="2" t="s">
        <v>110</v>
      </c>
      <c r="E310" s="8">
        <v>385152.40436666668</v>
      </c>
      <c r="F310" s="8">
        <v>236205.50356666665</v>
      </c>
      <c r="G310" s="8">
        <v>299.84833333333336</v>
      </c>
      <c r="J310">
        <v>385152.42440000002</v>
      </c>
      <c r="K310">
        <v>236205.51190000001</v>
      </c>
      <c r="L310">
        <v>299.89370000000002</v>
      </c>
      <c r="M310" s="3">
        <f t="shared" si="26"/>
        <v>2.003333333414048E-2</v>
      </c>
      <c r="N310" s="3">
        <f t="shared" si="26"/>
        <v>8.3333333604969084E-3</v>
      </c>
      <c r="O310" s="3">
        <f t="shared" si="22"/>
        <v>4.5366666666666333E-2</v>
      </c>
      <c r="P310">
        <f t="shared" si="23"/>
        <v>4.0133444447678409E-4</v>
      </c>
      <c r="Q310">
        <f t="shared" si="23"/>
        <v>6.9444444897170693E-5</v>
      </c>
      <c r="R310">
        <f t="shared" si="23"/>
        <v>2.0581344444444141E-3</v>
      </c>
      <c r="S310">
        <f t="shared" si="24"/>
        <v>4.7077888937395478E-4</v>
      </c>
      <c r="T310">
        <f t="shared" si="25"/>
        <v>2.1697439696285705E-2</v>
      </c>
    </row>
    <row r="311" spans="1:20" x14ac:dyDescent="0.3">
      <c r="A311" s="2" t="s">
        <v>1168</v>
      </c>
      <c r="B311" s="6" t="s">
        <v>1036</v>
      </c>
      <c r="C311" s="2" t="s">
        <v>20</v>
      </c>
      <c r="D311" s="2" t="s">
        <v>37</v>
      </c>
      <c r="E311" s="8">
        <v>385152.41283333331</v>
      </c>
      <c r="F311" s="8">
        <v>236205.49646666669</v>
      </c>
      <c r="G311" s="8">
        <v>299.786</v>
      </c>
      <c r="J311">
        <v>385152.42440000002</v>
      </c>
      <c r="K311">
        <v>236205.51190000001</v>
      </c>
      <c r="L311">
        <v>299.89370000000002</v>
      </c>
      <c r="M311" s="3">
        <f t="shared" si="26"/>
        <v>1.1566666711587459E-2</v>
      </c>
      <c r="N311" s="3">
        <f t="shared" si="26"/>
        <v>1.5433333319379017E-2</v>
      </c>
      <c r="O311" s="3">
        <f t="shared" si="22"/>
        <v>0.10770000000002256</v>
      </c>
      <c r="P311">
        <f t="shared" si="23"/>
        <v>1.3378777881694544E-4</v>
      </c>
      <c r="Q311">
        <f t="shared" si="23"/>
        <v>2.3818777734705454E-4</v>
      </c>
      <c r="R311">
        <f t="shared" si="23"/>
        <v>1.1599290000004859E-2</v>
      </c>
      <c r="S311">
        <f t="shared" si="24"/>
        <v>3.7197555616399997E-4</v>
      </c>
      <c r="T311">
        <f t="shared" si="25"/>
        <v>1.9286667834646814E-2</v>
      </c>
    </row>
    <row r="312" spans="1:20" x14ac:dyDescent="0.3">
      <c r="A312" s="2" t="s">
        <v>1168</v>
      </c>
      <c r="B312" s="6" t="s">
        <v>1036</v>
      </c>
      <c r="C312" s="2" t="s">
        <v>20</v>
      </c>
      <c r="D312" s="2" t="s">
        <v>46</v>
      </c>
      <c r="E312" s="8">
        <v>385152.41113333334</v>
      </c>
      <c r="F312" s="8">
        <v>236205.49483333333</v>
      </c>
      <c r="G312" s="8">
        <v>299.82466666666664</v>
      </c>
      <c r="J312">
        <v>385152.42440000002</v>
      </c>
      <c r="K312">
        <v>236205.51190000001</v>
      </c>
      <c r="L312">
        <v>299.89370000000002</v>
      </c>
      <c r="M312" s="3">
        <f t="shared" si="26"/>
        <v>1.3266666675917804E-2</v>
      </c>
      <c r="N312" s="3">
        <f t="shared" si="26"/>
        <v>1.7066666681785136E-2</v>
      </c>
      <c r="O312" s="3">
        <f t="shared" si="22"/>
        <v>6.9033333333379687E-2</v>
      </c>
      <c r="P312">
        <f t="shared" si="23"/>
        <v>1.7600444468990795E-4</v>
      </c>
      <c r="Q312">
        <f t="shared" si="23"/>
        <v>2.912711116271549E-4</v>
      </c>
      <c r="R312">
        <f t="shared" si="23"/>
        <v>4.7656011111175114E-3</v>
      </c>
      <c r="S312">
        <f t="shared" si="24"/>
        <v>4.6727555631706285E-4</v>
      </c>
      <c r="T312">
        <f t="shared" si="25"/>
        <v>2.1616557457584749E-2</v>
      </c>
    </row>
    <row r="313" spans="1:20" x14ac:dyDescent="0.3">
      <c r="A313" s="2" t="s">
        <v>1168</v>
      </c>
      <c r="B313" s="6" t="s">
        <v>1036</v>
      </c>
      <c r="C313" s="2" t="s">
        <v>51</v>
      </c>
      <c r="D313" s="2" t="s">
        <v>63</v>
      </c>
      <c r="E313" s="8">
        <v>385152.41989999992</v>
      </c>
      <c r="F313" s="8">
        <v>236205.45523333331</v>
      </c>
      <c r="G313" s="8">
        <v>299.73366666666669</v>
      </c>
      <c r="J313">
        <v>385152.42440000002</v>
      </c>
      <c r="K313">
        <v>236205.51190000001</v>
      </c>
      <c r="L313">
        <v>299.89370000000002</v>
      </c>
      <c r="M313" s="3">
        <f t="shared" si="26"/>
        <v>4.500000097323209E-3</v>
      </c>
      <c r="N313" s="3">
        <f t="shared" si="26"/>
        <v>5.6666666700039059E-2</v>
      </c>
      <c r="O313" s="3">
        <f t="shared" si="22"/>
        <v>0.16003333333333103</v>
      </c>
      <c r="P313">
        <f t="shared" si="23"/>
        <v>2.0250000875908891E-5</v>
      </c>
      <c r="Q313">
        <f t="shared" si="23"/>
        <v>3.2111111148933158E-3</v>
      </c>
      <c r="R313">
        <f t="shared" si="23"/>
        <v>2.5610667777777041E-2</v>
      </c>
      <c r="S313">
        <f t="shared" si="24"/>
        <v>3.2313611157692248E-3</v>
      </c>
      <c r="T313">
        <f t="shared" si="25"/>
        <v>5.6845062369296637E-2</v>
      </c>
    </row>
    <row r="314" spans="1:20" x14ac:dyDescent="0.3">
      <c r="A314" s="2" t="s">
        <v>1168</v>
      </c>
      <c r="B314" s="6" t="s">
        <v>1036</v>
      </c>
      <c r="C314" s="2" t="s">
        <v>51</v>
      </c>
      <c r="D314" s="2" t="s">
        <v>30</v>
      </c>
      <c r="E314" s="8">
        <v>385152.41206666664</v>
      </c>
      <c r="F314" s="8">
        <v>236205.49983333334</v>
      </c>
      <c r="G314" s="8">
        <v>299.69366666666662</v>
      </c>
      <c r="J314">
        <v>385152.42440000002</v>
      </c>
      <c r="K314">
        <v>236205.51190000001</v>
      </c>
      <c r="L314">
        <v>299.89370000000002</v>
      </c>
      <c r="M314" s="3">
        <f t="shared" si="26"/>
        <v>1.2333333375863731E-2</v>
      </c>
      <c r="N314" s="3">
        <f t="shared" si="26"/>
        <v>1.2066666677128524E-2</v>
      </c>
      <c r="O314" s="3">
        <f t="shared" si="22"/>
        <v>0.20003333333340834</v>
      </c>
      <c r="P314">
        <f t="shared" si="23"/>
        <v>1.5211111216019424E-4</v>
      </c>
      <c r="Q314">
        <f t="shared" si="23"/>
        <v>1.4560444469692392E-4</v>
      </c>
      <c r="R314">
        <f t="shared" si="23"/>
        <v>4.0013334444474448E-2</v>
      </c>
      <c r="S314">
        <f t="shared" si="24"/>
        <v>2.9771555685711819E-4</v>
      </c>
      <c r="T314">
        <f t="shared" si="25"/>
        <v>1.7254435860297439E-2</v>
      </c>
    </row>
    <row r="315" spans="1:20" x14ac:dyDescent="0.3">
      <c r="A315" s="2" t="s">
        <v>1168</v>
      </c>
      <c r="B315" s="6" t="s">
        <v>1036</v>
      </c>
      <c r="C315" s="2" t="s">
        <v>51</v>
      </c>
      <c r="D315" s="2" t="s">
        <v>52</v>
      </c>
      <c r="E315" s="8">
        <v>385152.41663333337</v>
      </c>
      <c r="F315" s="8">
        <v>236205.50020000001</v>
      </c>
      <c r="G315" s="8">
        <v>299.69499999999999</v>
      </c>
      <c r="J315">
        <v>385152.42440000002</v>
      </c>
      <c r="K315">
        <v>236205.51190000001</v>
      </c>
      <c r="L315">
        <v>299.89370000000002</v>
      </c>
      <c r="M315" s="3">
        <f t="shared" si="26"/>
        <v>7.7666666475124657E-3</v>
      </c>
      <c r="N315" s="3">
        <f t="shared" si="26"/>
        <v>1.1700000002747402E-2</v>
      </c>
      <c r="O315" s="3">
        <f t="shared" si="22"/>
        <v>0.19870000000003074</v>
      </c>
      <c r="P315">
        <f t="shared" si="23"/>
        <v>6.032111081358252E-5</v>
      </c>
      <c r="Q315">
        <f t="shared" si="23"/>
        <v>1.368900000642892E-4</v>
      </c>
      <c r="R315">
        <f t="shared" si="23"/>
        <v>3.9481690000012219E-2</v>
      </c>
      <c r="S315">
        <f t="shared" si="24"/>
        <v>1.9721111087787172E-4</v>
      </c>
      <c r="T315">
        <f t="shared" si="25"/>
        <v>1.4043187347531605E-2</v>
      </c>
    </row>
    <row r="316" spans="1:20" x14ac:dyDescent="0.3">
      <c r="A316" s="2" t="s">
        <v>1168</v>
      </c>
      <c r="B316" s="6" t="s">
        <v>1037</v>
      </c>
      <c r="C316" s="2" t="s">
        <v>20</v>
      </c>
      <c r="D316" s="2" t="s">
        <v>30</v>
      </c>
      <c r="E316" s="8">
        <v>419435.02916666662</v>
      </c>
      <c r="F316" s="8">
        <v>242689.6527666667</v>
      </c>
      <c r="G316" s="8">
        <v>107.05733333333332</v>
      </c>
      <c r="J316">
        <v>419435.05229999998</v>
      </c>
      <c r="K316">
        <v>242689.6685</v>
      </c>
      <c r="L316">
        <v>107.06950000000001</v>
      </c>
      <c r="M316" s="3">
        <f t="shared" si="26"/>
        <v>2.3133333364967257E-2</v>
      </c>
      <c r="N316" s="3">
        <f t="shared" si="26"/>
        <v>1.5733333304524422E-2</v>
      </c>
      <c r="O316" s="3">
        <f t="shared" si="22"/>
        <v>1.2166666666686865E-2</v>
      </c>
      <c r="P316">
        <f t="shared" si="23"/>
        <v>5.3515111257470735E-4</v>
      </c>
      <c r="Q316">
        <f t="shared" si="23"/>
        <v>2.4753777687125736E-4</v>
      </c>
      <c r="R316">
        <f t="shared" si="23"/>
        <v>1.4802777777826926E-4</v>
      </c>
      <c r="S316">
        <f t="shared" si="24"/>
        <v>7.8268888944596471E-4</v>
      </c>
      <c r="T316">
        <f t="shared" si="25"/>
        <v>2.7976577514877775E-2</v>
      </c>
    </row>
    <row r="317" spans="1:20" x14ac:dyDescent="0.3">
      <c r="A317" s="2" t="s">
        <v>1168</v>
      </c>
      <c r="B317" s="6" t="s">
        <v>1037</v>
      </c>
      <c r="C317" s="2" t="s">
        <v>20</v>
      </c>
      <c r="D317" s="2" t="s">
        <v>21</v>
      </c>
      <c r="E317" s="8">
        <v>419435.03716666665</v>
      </c>
      <c r="F317" s="8">
        <v>242689.66169999997</v>
      </c>
      <c r="G317" s="8">
        <v>107.07566666666666</v>
      </c>
      <c r="J317">
        <v>419435.05229999998</v>
      </c>
      <c r="K317">
        <v>242689.6685</v>
      </c>
      <c r="L317">
        <v>107.06950000000001</v>
      </c>
      <c r="M317" s="3">
        <f t="shared" si="26"/>
        <v>1.5133333334233612E-2</v>
      </c>
      <c r="N317" s="3">
        <f t="shared" si="26"/>
        <v>6.8000000319443643E-3</v>
      </c>
      <c r="O317" s="3">
        <f t="shared" si="22"/>
        <v>6.1666666666582159E-3</v>
      </c>
      <c r="P317">
        <f t="shared" si="23"/>
        <v>2.290177778050262E-4</v>
      </c>
      <c r="Q317">
        <f t="shared" si="23"/>
        <v>4.6240000434443352E-5</v>
      </c>
      <c r="R317">
        <f t="shared" si="23"/>
        <v>3.8027777777673552E-5</v>
      </c>
      <c r="S317">
        <f t="shared" si="24"/>
        <v>2.7525777823946956E-4</v>
      </c>
      <c r="T317">
        <f t="shared" si="25"/>
        <v>1.6590894437596471E-2</v>
      </c>
    </row>
    <row r="318" spans="1:20" x14ac:dyDescent="0.3">
      <c r="A318" s="2" t="s">
        <v>1168</v>
      </c>
      <c r="B318" s="6" t="s">
        <v>1038</v>
      </c>
      <c r="C318" s="2" t="s">
        <v>20</v>
      </c>
      <c r="D318" s="2" t="s">
        <v>110</v>
      </c>
      <c r="E318" s="8">
        <v>419435.05619999999</v>
      </c>
      <c r="F318" s="8">
        <v>242689.67079999999</v>
      </c>
      <c r="G318" s="8">
        <v>107.07366666666667</v>
      </c>
      <c r="J318">
        <v>419435.05229999998</v>
      </c>
      <c r="K318">
        <v>242689.6685</v>
      </c>
      <c r="L318">
        <v>107.06950000000001</v>
      </c>
      <c r="M318" s="3">
        <f t="shared" si="26"/>
        <v>-3.9000000106170774E-3</v>
      </c>
      <c r="N318" s="3">
        <f t="shared" si="26"/>
        <v>-2.2999999928288162E-3</v>
      </c>
      <c r="O318" s="3">
        <f t="shared" si="22"/>
        <v>4.1666666666628771E-3</v>
      </c>
      <c r="P318">
        <f t="shared" si="23"/>
        <v>1.5210000082813203E-5</v>
      </c>
      <c r="Q318">
        <f t="shared" si="23"/>
        <v>5.2899999670125545E-6</v>
      </c>
      <c r="R318">
        <f t="shared" si="23"/>
        <v>1.736111111107953E-5</v>
      </c>
      <c r="S318">
        <f t="shared" si="24"/>
        <v>2.0500000049825758E-5</v>
      </c>
      <c r="T318">
        <f t="shared" si="25"/>
        <v>4.5276925745710425E-3</v>
      </c>
    </row>
    <row r="319" spans="1:20" x14ac:dyDescent="0.3">
      <c r="A319" s="2" t="s">
        <v>1168</v>
      </c>
      <c r="B319" s="6" t="s">
        <v>1038</v>
      </c>
      <c r="C319" s="2" t="s">
        <v>20</v>
      </c>
      <c r="D319" s="2" t="s">
        <v>37</v>
      </c>
      <c r="E319" s="8">
        <v>419435.06309999997</v>
      </c>
      <c r="F319" s="8">
        <v>242689.66620000001</v>
      </c>
      <c r="G319" s="8">
        <v>107.06233333333334</v>
      </c>
      <c r="J319">
        <v>419435.05229999998</v>
      </c>
      <c r="K319">
        <v>242689.6685</v>
      </c>
      <c r="L319">
        <v>107.06950000000001</v>
      </c>
      <c r="M319" s="3">
        <f t="shared" si="26"/>
        <v>-1.0799999989103526E-2</v>
      </c>
      <c r="N319" s="3">
        <f t="shared" si="26"/>
        <v>2.2999999928288162E-3</v>
      </c>
      <c r="O319" s="3">
        <f t="shared" si="22"/>
        <v>7.1666666666629908E-3</v>
      </c>
      <c r="P319">
        <f t="shared" si="23"/>
        <v>1.1663999976463616E-4</v>
      </c>
      <c r="Q319">
        <f t="shared" si="23"/>
        <v>5.2899999670125545E-6</v>
      </c>
      <c r="R319">
        <f t="shared" si="23"/>
        <v>5.1361111111058422E-5</v>
      </c>
      <c r="S319">
        <f t="shared" si="24"/>
        <v>1.2192999973164871E-4</v>
      </c>
      <c r="T319">
        <f t="shared" si="25"/>
        <v>1.1042191799260177E-2</v>
      </c>
    </row>
    <row r="320" spans="1:20" x14ac:dyDescent="0.3">
      <c r="A320" s="2" t="s">
        <v>1168</v>
      </c>
      <c r="B320" s="6" t="s">
        <v>1038</v>
      </c>
      <c r="C320" s="2" t="s">
        <v>20</v>
      </c>
      <c r="D320" s="2" t="s">
        <v>46</v>
      </c>
      <c r="E320" s="8">
        <v>419435.06490000006</v>
      </c>
      <c r="F320" s="8">
        <v>242689.65589999998</v>
      </c>
      <c r="G320" s="8">
        <v>107.06233333333334</v>
      </c>
      <c r="J320">
        <v>419435.05229999998</v>
      </c>
      <c r="K320">
        <v>242689.6685</v>
      </c>
      <c r="L320">
        <v>107.06950000000001</v>
      </c>
      <c r="M320" s="3">
        <f t="shared" si="26"/>
        <v>-1.2600000074598938E-2</v>
      </c>
      <c r="N320" s="3">
        <f t="shared" si="26"/>
        <v>1.2600000016391277E-2</v>
      </c>
      <c r="O320" s="3">
        <f t="shared" si="22"/>
        <v>7.1666666666629908E-3</v>
      </c>
      <c r="P320">
        <f t="shared" si="23"/>
        <v>1.5876000187989325E-4</v>
      </c>
      <c r="Q320">
        <f t="shared" si="23"/>
        <v>1.5876000041306019E-4</v>
      </c>
      <c r="R320">
        <f t="shared" si="23"/>
        <v>5.1361111111058422E-5</v>
      </c>
      <c r="S320">
        <f t="shared" si="24"/>
        <v>3.1752000229295343E-4</v>
      </c>
      <c r="T320">
        <f t="shared" si="25"/>
        <v>1.7819090950240795E-2</v>
      </c>
    </row>
    <row r="321" spans="1:20" x14ac:dyDescent="0.3">
      <c r="A321" s="2" t="s">
        <v>1168</v>
      </c>
      <c r="B321" s="6" t="s">
        <v>1038</v>
      </c>
      <c r="C321" s="2" t="s">
        <v>51</v>
      </c>
      <c r="D321" s="2" t="s">
        <v>63</v>
      </c>
      <c r="E321" s="8">
        <v>419435.14523333334</v>
      </c>
      <c r="F321" s="8">
        <v>242689.68273333335</v>
      </c>
      <c r="G321" s="8">
        <v>107.122</v>
      </c>
      <c r="J321">
        <v>419435.05229999998</v>
      </c>
      <c r="K321">
        <v>242689.6685</v>
      </c>
      <c r="L321">
        <v>107.06950000000001</v>
      </c>
      <c r="M321" s="3">
        <f t="shared" si="26"/>
        <v>-9.2933333362452686E-2</v>
      </c>
      <c r="N321" s="3">
        <f t="shared" si="26"/>
        <v>-1.4233333349693567E-2</v>
      </c>
      <c r="O321" s="3">
        <f t="shared" si="22"/>
        <v>5.2499999999994884E-2</v>
      </c>
      <c r="P321">
        <f t="shared" si="23"/>
        <v>8.6366044498567621E-3</v>
      </c>
      <c r="Q321">
        <f t="shared" si="23"/>
        <v>2.0258777824349908E-4</v>
      </c>
      <c r="R321">
        <f t="shared" si="23"/>
        <v>2.7562499999994627E-3</v>
      </c>
      <c r="S321">
        <f t="shared" si="24"/>
        <v>8.8391922281002618E-3</v>
      </c>
      <c r="T321">
        <f t="shared" si="25"/>
        <v>9.4016978403372767E-2</v>
      </c>
    </row>
    <row r="322" spans="1:20" x14ac:dyDescent="0.3">
      <c r="A322" s="2" t="s">
        <v>1168</v>
      </c>
      <c r="B322" s="6" t="s">
        <v>1038</v>
      </c>
      <c r="C322" s="2" t="s">
        <v>51</v>
      </c>
      <c r="D322" s="2" t="s">
        <v>30</v>
      </c>
      <c r="E322" s="8">
        <v>419435.13110000006</v>
      </c>
      <c r="F322" s="8">
        <v>242689.68046666667</v>
      </c>
      <c r="G322" s="8">
        <v>107.17</v>
      </c>
      <c r="J322">
        <v>419435.05229999998</v>
      </c>
      <c r="K322">
        <v>242689.6685</v>
      </c>
      <c r="L322">
        <v>107.06950000000001</v>
      </c>
      <c r="M322" s="3">
        <f t="shared" si="26"/>
        <v>-7.8800000075716525E-2</v>
      </c>
      <c r="N322" s="3">
        <f t="shared" si="26"/>
        <v>-1.1966666672378778E-2</v>
      </c>
      <c r="O322" s="3">
        <f t="shared" si="22"/>
        <v>0.1004999999999967</v>
      </c>
      <c r="P322">
        <f t="shared" si="23"/>
        <v>6.2094400119329244E-3</v>
      </c>
      <c r="Q322">
        <f t="shared" si="23"/>
        <v>1.4320111124782099E-4</v>
      </c>
      <c r="R322">
        <f t="shared" si="23"/>
        <v>1.0100249999999337E-2</v>
      </c>
      <c r="S322">
        <f t="shared" si="24"/>
        <v>6.3526411231807451E-3</v>
      </c>
      <c r="T322">
        <f t="shared" si="25"/>
        <v>7.9703457410458325E-2</v>
      </c>
    </row>
    <row r="323" spans="1:20" x14ac:dyDescent="0.3">
      <c r="A323" s="2" t="s">
        <v>1168</v>
      </c>
      <c r="B323" s="6" t="s">
        <v>1038</v>
      </c>
      <c r="C323" s="2" t="s">
        <v>51</v>
      </c>
      <c r="D323" s="2" t="s">
        <v>52</v>
      </c>
      <c r="E323" s="8">
        <v>419435.07523333334</v>
      </c>
      <c r="F323" s="8">
        <v>242689.66323333335</v>
      </c>
      <c r="G323" s="8">
        <v>107.06266666666666</v>
      </c>
      <c r="J323">
        <v>419435.05229999998</v>
      </c>
      <c r="K323">
        <v>242689.6685</v>
      </c>
      <c r="L323">
        <v>107.06950000000001</v>
      </c>
      <c r="M323" s="3">
        <f t="shared" si="26"/>
        <v>-2.2933333355467767E-2</v>
      </c>
      <c r="N323" s="3">
        <f t="shared" si="26"/>
        <v>5.2666666451841593E-3</v>
      </c>
      <c r="O323" s="3">
        <f t="shared" ref="O323:O386" si="27">ABS(L323-G323)</f>
        <v>6.8333333333470136E-3</v>
      </c>
      <c r="P323">
        <f t="shared" ref="P323:R386" si="28">POWER(M323,2)</f>
        <v>5.2593777879301042E-4</v>
      </c>
      <c r="Q323">
        <f t="shared" si="28"/>
        <v>2.7737777551495367E-5</v>
      </c>
      <c r="R323">
        <f t="shared" si="28"/>
        <v>4.6694444444631411E-5</v>
      </c>
      <c r="S323">
        <f t="shared" ref="S323:S386" si="29">P323+Q323</f>
        <v>5.5367555634450584E-4</v>
      </c>
      <c r="T323">
        <f t="shared" ref="T323:T386" si="30">SQRT(S323)</f>
        <v>2.3530311437473705E-2</v>
      </c>
    </row>
    <row r="324" spans="1:20" x14ac:dyDescent="0.3">
      <c r="A324" s="2" t="s">
        <v>1168</v>
      </c>
      <c r="B324" s="6" t="s">
        <v>1038</v>
      </c>
      <c r="C324" s="2" t="s">
        <v>422</v>
      </c>
      <c r="D324" s="2" t="s">
        <v>423</v>
      </c>
      <c r="E324" s="8">
        <v>419435.0831333333</v>
      </c>
      <c r="F324" s="8">
        <v>242689.67143333331</v>
      </c>
      <c r="G324" s="8">
        <v>107.20699999999999</v>
      </c>
      <c r="J324">
        <v>419435.05229999998</v>
      </c>
      <c r="K324">
        <v>242689.6685</v>
      </c>
      <c r="L324">
        <v>107.06950000000001</v>
      </c>
      <c r="M324" s="3">
        <f t="shared" si="26"/>
        <v>-3.0833333323244005E-2</v>
      </c>
      <c r="N324" s="3">
        <f t="shared" si="26"/>
        <v>-2.9333333077374846E-3</v>
      </c>
      <c r="O324" s="3">
        <f t="shared" si="27"/>
        <v>0.13749999999998863</v>
      </c>
      <c r="P324">
        <f t="shared" si="28"/>
        <v>9.5069444382226928E-4</v>
      </c>
      <c r="Q324">
        <f t="shared" si="28"/>
        <v>8.6044442942821315E-6</v>
      </c>
      <c r="R324">
        <f t="shared" si="28"/>
        <v>1.8906249999996873E-2</v>
      </c>
      <c r="S324">
        <f t="shared" si="29"/>
        <v>9.5929888811655136E-4</v>
      </c>
      <c r="T324">
        <f t="shared" si="30"/>
        <v>3.0972550558785943E-2</v>
      </c>
    </row>
    <row r="325" spans="1:20" x14ac:dyDescent="0.3">
      <c r="A325" s="2" t="s">
        <v>1168</v>
      </c>
      <c r="B325" s="6" t="s">
        <v>1039</v>
      </c>
      <c r="C325" s="2" t="s">
        <v>20</v>
      </c>
      <c r="D325" s="2" t="s">
        <v>30</v>
      </c>
      <c r="E325">
        <v>414786.04479999997</v>
      </c>
      <c r="F325">
        <v>247961.7034</v>
      </c>
      <c r="G325">
        <v>119.56099999999999</v>
      </c>
      <c r="J325">
        <v>414786.0638</v>
      </c>
      <c r="K325">
        <v>247961.72150000001</v>
      </c>
      <c r="L325">
        <v>119.629</v>
      </c>
      <c r="M325" s="3">
        <f t="shared" si="26"/>
        <v>1.9000000029336661E-2</v>
      </c>
      <c r="N325" s="3">
        <f t="shared" si="26"/>
        <v>1.8100000015692785E-2</v>
      </c>
      <c r="O325" s="3">
        <f t="shared" si="27"/>
        <v>6.8000000000012051E-2</v>
      </c>
      <c r="P325">
        <f t="shared" si="28"/>
        <v>3.6100000111479315E-4</v>
      </c>
      <c r="Q325">
        <f t="shared" si="28"/>
        <v>3.2761000056807883E-4</v>
      </c>
      <c r="R325">
        <f t="shared" si="28"/>
        <v>4.624000000001639E-3</v>
      </c>
      <c r="S325">
        <f t="shared" si="29"/>
        <v>6.8861000168287203E-4</v>
      </c>
      <c r="T325">
        <f t="shared" si="30"/>
        <v>2.6241379568972208E-2</v>
      </c>
    </row>
    <row r="326" spans="1:20" x14ac:dyDescent="0.3">
      <c r="A326" s="2" t="s">
        <v>1168</v>
      </c>
      <c r="B326" s="6" t="s">
        <v>1039</v>
      </c>
      <c r="C326" s="2" t="s">
        <v>20</v>
      </c>
      <c r="D326" s="2" t="s">
        <v>21</v>
      </c>
      <c r="E326" s="8">
        <v>414786.04086666671</v>
      </c>
      <c r="F326" s="8">
        <v>247961.70323333333</v>
      </c>
      <c r="G326" s="8">
        <v>119.57133333333333</v>
      </c>
      <c r="J326">
        <v>414786.0638</v>
      </c>
      <c r="K326">
        <v>247961.72150000001</v>
      </c>
      <c r="L326">
        <v>119.629</v>
      </c>
      <c r="M326" s="3">
        <f t="shared" si="26"/>
        <v>2.2933333297260106E-2</v>
      </c>
      <c r="N326" s="3">
        <f t="shared" si="26"/>
        <v>1.8266666680574417E-2</v>
      </c>
      <c r="O326" s="3">
        <f t="shared" si="27"/>
        <v>5.7666666666676747E-2</v>
      </c>
      <c r="P326">
        <f t="shared" si="28"/>
        <v>5.2593777612321905E-4</v>
      </c>
      <c r="Q326">
        <f t="shared" si="28"/>
        <v>3.3367111161920759E-4</v>
      </c>
      <c r="R326">
        <f t="shared" si="28"/>
        <v>3.3254444444456069E-3</v>
      </c>
      <c r="S326">
        <f t="shared" si="29"/>
        <v>8.5960888774242665E-4</v>
      </c>
      <c r="T326">
        <f t="shared" si="30"/>
        <v>2.9319087430246301E-2</v>
      </c>
    </row>
    <row r="327" spans="1:20" x14ac:dyDescent="0.3">
      <c r="A327" s="2" t="s">
        <v>1168</v>
      </c>
      <c r="B327" s="6" t="s">
        <v>1040</v>
      </c>
      <c r="C327" s="2" t="s">
        <v>20</v>
      </c>
      <c r="D327" s="2" t="s">
        <v>110</v>
      </c>
      <c r="E327" s="8">
        <v>414786.04306666669</v>
      </c>
      <c r="F327" s="8">
        <v>247961.7053</v>
      </c>
      <c r="G327" s="8">
        <v>119.57166666666667</v>
      </c>
      <c r="J327">
        <v>414786.0638</v>
      </c>
      <c r="K327">
        <v>247961.72150000001</v>
      </c>
      <c r="L327">
        <v>119.629</v>
      </c>
      <c r="M327" s="3">
        <f t="shared" si="26"/>
        <v>2.0733333309181035E-2</v>
      </c>
      <c r="N327" s="3">
        <f t="shared" si="26"/>
        <v>1.6200000012759119E-2</v>
      </c>
      <c r="O327" s="3">
        <f t="shared" si="27"/>
        <v>5.7333333333332348E-2</v>
      </c>
      <c r="P327">
        <f t="shared" si="28"/>
        <v>4.2987111010959578E-4</v>
      </c>
      <c r="Q327">
        <f t="shared" si="28"/>
        <v>2.6244000041339546E-4</v>
      </c>
      <c r="R327">
        <f t="shared" si="28"/>
        <v>3.2871111111109981E-3</v>
      </c>
      <c r="S327">
        <f t="shared" si="29"/>
        <v>6.9231111052299129E-4</v>
      </c>
      <c r="T327">
        <f t="shared" si="30"/>
        <v>2.631180553521539E-2</v>
      </c>
    </row>
    <row r="328" spans="1:20" x14ac:dyDescent="0.3">
      <c r="A328" s="2" t="s">
        <v>1168</v>
      </c>
      <c r="B328" s="6" t="s">
        <v>1040</v>
      </c>
      <c r="C328" s="2" t="s">
        <v>20</v>
      </c>
      <c r="D328" s="2" t="s">
        <v>37</v>
      </c>
      <c r="E328" s="8">
        <v>414786.038</v>
      </c>
      <c r="F328" s="8">
        <v>247961.70406666666</v>
      </c>
      <c r="G328" s="8">
        <v>119.56333333333333</v>
      </c>
      <c r="J328">
        <v>414786.0638</v>
      </c>
      <c r="K328">
        <v>247961.72150000001</v>
      </c>
      <c r="L328">
        <v>119.629</v>
      </c>
      <c r="M328" s="3">
        <f t="shared" si="26"/>
        <v>2.5800000003073364E-2</v>
      </c>
      <c r="N328" s="3">
        <f t="shared" si="26"/>
        <v>1.7433333356166258E-2</v>
      </c>
      <c r="O328" s="3">
        <f t="shared" si="27"/>
        <v>6.5666666666672313E-2</v>
      </c>
      <c r="P328">
        <f t="shared" si="28"/>
        <v>6.656400001585856E-4</v>
      </c>
      <c r="Q328">
        <f t="shared" si="28"/>
        <v>3.0392111190721908E-4</v>
      </c>
      <c r="R328">
        <f t="shared" si="28"/>
        <v>4.3121111111118528E-3</v>
      </c>
      <c r="S328">
        <f t="shared" si="29"/>
        <v>9.6956111206580463E-4</v>
      </c>
      <c r="T328">
        <f t="shared" si="30"/>
        <v>3.1137776286462793E-2</v>
      </c>
    </row>
    <row r="329" spans="1:20" x14ac:dyDescent="0.3">
      <c r="A329" s="2" t="s">
        <v>1168</v>
      </c>
      <c r="B329" s="6" t="s">
        <v>1040</v>
      </c>
      <c r="C329" s="2" t="s">
        <v>20</v>
      </c>
      <c r="D329" s="2" t="s">
        <v>46</v>
      </c>
      <c r="E329" s="8">
        <v>414786.03813333326</v>
      </c>
      <c r="F329" s="8">
        <v>247961.70663333332</v>
      </c>
      <c r="G329" s="8">
        <v>119.57166666666667</v>
      </c>
      <c r="J329">
        <v>414786.0638</v>
      </c>
      <c r="K329">
        <v>247961.72150000001</v>
      </c>
      <c r="L329">
        <v>119.629</v>
      </c>
      <c r="M329" s="3">
        <f t="shared" si="26"/>
        <v>2.5666666741017252E-2</v>
      </c>
      <c r="N329" s="3">
        <f t="shared" si="26"/>
        <v>1.4866666693706065E-2</v>
      </c>
      <c r="O329" s="3">
        <f t="shared" si="27"/>
        <v>5.7333333333332348E-2</v>
      </c>
      <c r="P329">
        <f t="shared" si="28"/>
        <v>6.5877778159444123E-4</v>
      </c>
      <c r="Q329">
        <f t="shared" si="28"/>
        <v>2.2101777858174923E-4</v>
      </c>
      <c r="R329">
        <f t="shared" si="28"/>
        <v>3.2871111111109981E-3</v>
      </c>
      <c r="S329">
        <f t="shared" si="29"/>
        <v>8.7979556017619043E-4</v>
      </c>
      <c r="T329">
        <f t="shared" si="30"/>
        <v>2.9661347915699826E-2</v>
      </c>
    </row>
    <row r="330" spans="1:20" x14ac:dyDescent="0.3">
      <c r="A330" s="2" t="s">
        <v>1168</v>
      </c>
      <c r="B330" s="6" t="s">
        <v>1040</v>
      </c>
      <c r="C330" s="2" t="s">
        <v>51</v>
      </c>
      <c r="D330" s="2" t="s">
        <v>63</v>
      </c>
      <c r="E330" s="8">
        <v>414786.04333333328</v>
      </c>
      <c r="F330" s="8">
        <v>247961.69499999998</v>
      </c>
      <c r="G330" s="8">
        <v>119.55166666666666</v>
      </c>
      <c r="J330">
        <v>414786.0638</v>
      </c>
      <c r="K330">
        <v>247961.72150000001</v>
      </c>
      <c r="L330">
        <v>119.629</v>
      </c>
      <c r="M330" s="3">
        <f t="shared" si="26"/>
        <v>2.0466666726861149E-2</v>
      </c>
      <c r="N330" s="3">
        <f t="shared" si="26"/>
        <v>2.650000003632158E-2</v>
      </c>
      <c r="O330" s="3">
        <f t="shared" si="27"/>
        <v>7.733333333334258E-2</v>
      </c>
      <c r="P330">
        <f t="shared" si="28"/>
        <v>4.1888444690840526E-4</v>
      </c>
      <c r="Q330">
        <f t="shared" si="28"/>
        <v>7.0225000192504375E-4</v>
      </c>
      <c r="R330">
        <f t="shared" si="28"/>
        <v>5.9804444444458748E-3</v>
      </c>
      <c r="S330">
        <f t="shared" si="29"/>
        <v>1.1211344488334489E-3</v>
      </c>
      <c r="T330">
        <f t="shared" si="30"/>
        <v>3.3483345842873123E-2</v>
      </c>
    </row>
    <row r="331" spans="1:20" x14ac:dyDescent="0.3">
      <c r="A331" s="2" t="s">
        <v>1168</v>
      </c>
      <c r="B331" s="6" t="s">
        <v>1040</v>
      </c>
      <c r="C331" s="2" t="s">
        <v>51</v>
      </c>
      <c r="D331" s="2" t="s">
        <v>30</v>
      </c>
      <c r="E331" s="8">
        <v>414786.05159999995</v>
      </c>
      <c r="F331" s="8">
        <v>247961.69273333333</v>
      </c>
      <c r="G331" s="8">
        <v>119.544</v>
      </c>
      <c r="J331">
        <v>414786.0638</v>
      </c>
      <c r="K331">
        <v>247961.72150000001</v>
      </c>
      <c r="L331">
        <v>119.629</v>
      </c>
      <c r="M331" s="3">
        <f t="shared" si="26"/>
        <v>1.2200000055599958E-2</v>
      </c>
      <c r="N331" s="3">
        <f t="shared" si="26"/>
        <v>2.8766666684532538E-2</v>
      </c>
      <c r="O331" s="3">
        <f t="shared" si="27"/>
        <v>8.5000000000007958E-2</v>
      </c>
      <c r="P331">
        <f t="shared" si="28"/>
        <v>1.4884000135663897E-4</v>
      </c>
      <c r="Q331">
        <f t="shared" si="28"/>
        <v>8.2752111213899428E-4</v>
      </c>
      <c r="R331">
        <f t="shared" si="28"/>
        <v>7.2250000000013527E-3</v>
      </c>
      <c r="S331">
        <f t="shared" si="29"/>
        <v>9.7636111349563327E-4</v>
      </c>
      <c r="T331">
        <f t="shared" si="30"/>
        <v>3.1246777649793479E-2</v>
      </c>
    </row>
    <row r="332" spans="1:20" x14ac:dyDescent="0.3">
      <c r="A332" s="2" t="s">
        <v>1168</v>
      </c>
      <c r="B332" s="6" t="s">
        <v>1040</v>
      </c>
      <c r="C332" s="2" t="s">
        <v>51</v>
      </c>
      <c r="D332" s="2" t="s">
        <v>52</v>
      </c>
      <c r="E332" s="8">
        <v>414786.03613333334</v>
      </c>
      <c r="F332" s="8">
        <v>247961.7113</v>
      </c>
      <c r="G332" s="8">
        <v>119.53866666666666</v>
      </c>
      <c r="J332">
        <v>414786.0638</v>
      </c>
      <c r="K332">
        <v>247961.72150000001</v>
      </c>
      <c r="L332">
        <v>119.629</v>
      </c>
      <c r="M332" s="3">
        <f t="shared" si="26"/>
        <v>2.7666666661389172E-2</v>
      </c>
      <c r="N332" s="3">
        <f t="shared" si="26"/>
        <v>1.0200000018812716E-2</v>
      </c>
      <c r="O332" s="3">
        <f t="shared" si="27"/>
        <v>9.0333333333347809E-2</v>
      </c>
      <c r="P332">
        <f t="shared" si="28"/>
        <v>7.6544444415242306E-4</v>
      </c>
      <c r="Q332">
        <f t="shared" si="28"/>
        <v>1.0404000038377941E-4</v>
      </c>
      <c r="R332">
        <f t="shared" si="28"/>
        <v>8.160111111113727E-3</v>
      </c>
      <c r="S332">
        <f t="shared" si="29"/>
        <v>8.6948444453620246E-4</v>
      </c>
      <c r="T332">
        <f t="shared" si="30"/>
        <v>2.9487021628781068E-2</v>
      </c>
    </row>
    <row r="333" spans="1:20" x14ac:dyDescent="0.3">
      <c r="A333" s="2" t="s">
        <v>1168</v>
      </c>
      <c r="B333" s="6" t="s">
        <v>1040</v>
      </c>
      <c r="C333" s="2" t="s">
        <v>422</v>
      </c>
      <c r="D333" s="2" t="s">
        <v>423</v>
      </c>
      <c r="E333" s="8">
        <v>414786.05226666667</v>
      </c>
      <c r="F333" s="8">
        <v>247961.71433333334</v>
      </c>
      <c r="G333" s="8">
        <v>119.62966666666667</v>
      </c>
      <c r="J333">
        <v>414786.0638</v>
      </c>
      <c r="K333">
        <v>247961.72150000001</v>
      </c>
      <c r="L333">
        <v>119.629</v>
      </c>
      <c r="M333" s="3">
        <f t="shared" si="26"/>
        <v>1.153333333786577E-2</v>
      </c>
      <c r="N333" s="3">
        <f t="shared" si="26"/>
        <v>7.1666666772216558E-3</v>
      </c>
      <c r="O333" s="3">
        <f t="shared" si="27"/>
        <v>6.6666666666037599E-4</v>
      </c>
      <c r="P333">
        <f t="shared" si="28"/>
        <v>1.3301777788232597E-4</v>
      </c>
      <c r="Q333">
        <f t="shared" si="28"/>
        <v>5.1361111262399289E-5</v>
      </c>
      <c r="R333">
        <f t="shared" si="28"/>
        <v>4.444444444360569E-7</v>
      </c>
      <c r="S333">
        <f t="shared" si="29"/>
        <v>1.8437888914472526E-4</v>
      </c>
      <c r="T333">
        <f t="shared" si="30"/>
        <v>1.3578618823161848E-2</v>
      </c>
    </row>
    <row r="334" spans="1:20" x14ac:dyDescent="0.3">
      <c r="A334" s="2" t="s">
        <v>1168</v>
      </c>
      <c r="B334" s="6" t="s">
        <v>1041</v>
      </c>
      <c r="C334" s="2" t="s">
        <v>20</v>
      </c>
      <c r="D334" s="2" t="s">
        <v>30</v>
      </c>
      <c r="E334" s="8">
        <v>409880.08996666665</v>
      </c>
      <c r="F334" s="8">
        <v>255681.3716333333</v>
      </c>
      <c r="G334" s="8">
        <v>132.31733333333332</v>
      </c>
      <c r="J334">
        <v>409880.09299999999</v>
      </c>
      <c r="K334">
        <v>255681.3786</v>
      </c>
      <c r="L334">
        <v>132.32380000000001</v>
      </c>
      <c r="M334" s="3">
        <f t="shared" si="26"/>
        <v>3.0333333415910602E-3</v>
      </c>
      <c r="N334" s="3">
        <f t="shared" si="26"/>
        <v>6.966666696825996E-3</v>
      </c>
      <c r="O334" s="3">
        <f t="shared" si="27"/>
        <v>6.4666666666823858E-3</v>
      </c>
      <c r="P334">
        <f t="shared" si="28"/>
        <v>9.2011111612079873E-6</v>
      </c>
      <c r="Q334">
        <f t="shared" si="28"/>
        <v>4.8534444864664434E-5</v>
      </c>
      <c r="R334">
        <f t="shared" si="28"/>
        <v>4.1817777777981075E-5</v>
      </c>
      <c r="S334">
        <f t="shared" si="29"/>
        <v>5.7735556025872421E-5</v>
      </c>
      <c r="T334">
        <f t="shared" si="30"/>
        <v>7.5983916736288622E-3</v>
      </c>
    </row>
    <row r="335" spans="1:20" x14ac:dyDescent="0.3">
      <c r="A335" s="2" t="s">
        <v>1168</v>
      </c>
      <c r="B335" s="6" t="s">
        <v>1041</v>
      </c>
      <c r="C335" s="2" t="s">
        <v>20</v>
      </c>
      <c r="D335" s="2" t="s">
        <v>21</v>
      </c>
      <c r="E335" s="8">
        <v>409880.08963333332</v>
      </c>
      <c r="F335" s="8">
        <v>255681.36763333334</v>
      </c>
      <c r="G335" s="8">
        <v>132.29966666666667</v>
      </c>
      <c r="J335">
        <v>409880.09299999999</v>
      </c>
      <c r="K335">
        <v>255681.3786</v>
      </c>
      <c r="L335">
        <v>132.32380000000001</v>
      </c>
      <c r="M335" s="3">
        <f t="shared" si="26"/>
        <v>3.3666666713543236E-3</v>
      </c>
      <c r="N335" s="3">
        <f t="shared" si="26"/>
        <v>1.0966666653985158E-2</v>
      </c>
      <c r="O335" s="3">
        <f t="shared" si="27"/>
        <v>2.4133333333338669E-2</v>
      </c>
      <c r="P335">
        <f t="shared" si="28"/>
        <v>1.1334444476008001E-5</v>
      </c>
      <c r="Q335">
        <f t="shared" si="28"/>
        <v>1.2026777749963002E-4</v>
      </c>
      <c r="R335">
        <f t="shared" si="28"/>
        <v>5.8241777777803534E-4</v>
      </c>
      <c r="S335">
        <f t="shared" si="29"/>
        <v>1.3160222197563802E-4</v>
      </c>
      <c r="T335">
        <f t="shared" si="30"/>
        <v>1.1471801165276446E-2</v>
      </c>
    </row>
    <row r="336" spans="1:20" x14ac:dyDescent="0.3">
      <c r="A336" s="2" t="s">
        <v>1168</v>
      </c>
      <c r="B336" s="6" t="s">
        <v>1042</v>
      </c>
      <c r="C336" s="2" t="s">
        <v>20</v>
      </c>
      <c r="D336" s="2" t="s">
        <v>37</v>
      </c>
      <c r="E336" s="8">
        <v>409880.0895</v>
      </c>
      <c r="F336" s="8">
        <v>255681.36633333334</v>
      </c>
      <c r="G336" s="8">
        <v>132.29233333333335</v>
      </c>
      <c r="J336">
        <v>409880.09299999999</v>
      </c>
      <c r="K336">
        <v>255681.3786</v>
      </c>
      <c r="L336">
        <v>132.32380000000001</v>
      </c>
      <c r="M336" s="3">
        <f t="shared" si="26"/>
        <v>3.4999999916180968E-3</v>
      </c>
      <c r="N336" s="3">
        <f t="shared" si="26"/>
        <v>1.2266666657524183E-2</v>
      </c>
      <c r="O336" s="3">
        <f t="shared" si="27"/>
        <v>3.1466666666659648E-2</v>
      </c>
      <c r="P336">
        <f t="shared" si="28"/>
        <v>1.2249999941326678E-5</v>
      </c>
      <c r="Q336">
        <f t="shared" si="28"/>
        <v>1.5047111088681552E-4</v>
      </c>
      <c r="R336">
        <f t="shared" si="28"/>
        <v>9.9015111111066937E-4</v>
      </c>
      <c r="S336">
        <f t="shared" si="29"/>
        <v>1.6272111082814219E-4</v>
      </c>
      <c r="T336">
        <f t="shared" si="30"/>
        <v>1.2756218516007877E-2</v>
      </c>
    </row>
    <row r="337" spans="1:20" x14ac:dyDescent="0.3">
      <c r="A337" s="2" t="s">
        <v>1168</v>
      </c>
      <c r="B337" s="6" t="s">
        <v>1042</v>
      </c>
      <c r="C337" s="2" t="s">
        <v>20</v>
      </c>
      <c r="D337" s="2" t="s">
        <v>46</v>
      </c>
      <c r="E337" s="8">
        <v>409880.09150000004</v>
      </c>
      <c r="F337" s="8">
        <v>255681.37316666669</v>
      </c>
      <c r="G337" s="8">
        <v>132.31033333333335</v>
      </c>
      <c r="J337">
        <v>409880.09299999999</v>
      </c>
      <c r="K337">
        <v>255681.3786</v>
      </c>
      <c r="L337">
        <v>132.32380000000001</v>
      </c>
      <c r="M337" s="3">
        <f t="shared" si="26"/>
        <v>1.4999999548308551E-3</v>
      </c>
      <c r="N337" s="3">
        <f t="shared" si="26"/>
        <v>5.433333310065791E-3</v>
      </c>
      <c r="O337" s="3">
        <f t="shared" si="27"/>
        <v>1.3466666666658966E-2</v>
      </c>
      <c r="P337">
        <f t="shared" si="28"/>
        <v>2.2499998644925674E-6</v>
      </c>
      <c r="Q337">
        <f t="shared" si="28"/>
        <v>2.9521110858270484E-5</v>
      </c>
      <c r="R337">
        <f t="shared" si="28"/>
        <v>1.8135111111090371E-4</v>
      </c>
      <c r="S337">
        <f t="shared" si="29"/>
        <v>3.1771110722763048E-5</v>
      </c>
      <c r="T337">
        <f t="shared" si="30"/>
        <v>5.6365867972349229E-3</v>
      </c>
    </row>
    <row r="338" spans="1:20" x14ac:dyDescent="0.3">
      <c r="A338" s="2" t="s">
        <v>1168</v>
      </c>
      <c r="B338" s="6" t="s">
        <v>1042</v>
      </c>
      <c r="C338" s="2" t="s">
        <v>51</v>
      </c>
      <c r="D338" s="2" t="s">
        <v>63</v>
      </c>
      <c r="E338" s="8">
        <v>409880.08019999997</v>
      </c>
      <c r="F338" s="8">
        <v>255681.37456666669</v>
      </c>
      <c r="G338" s="8">
        <v>132.27933333333331</v>
      </c>
      <c r="J338">
        <v>409880.09299999999</v>
      </c>
      <c r="K338">
        <v>255681.3786</v>
      </c>
      <c r="L338">
        <v>132.32380000000001</v>
      </c>
      <c r="M338" s="3">
        <f t="shared" ref="M338:N401" si="31">J338-E338</f>
        <v>1.2800000025890768E-2</v>
      </c>
      <c r="N338" s="3">
        <f t="shared" si="31"/>
        <v>4.0333333017770201E-3</v>
      </c>
      <c r="O338" s="3">
        <f t="shared" si="27"/>
        <v>4.44666666666933E-2</v>
      </c>
      <c r="P338">
        <f t="shared" si="28"/>
        <v>1.6384000066280364E-4</v>
      </c>
      <c r="Q338">
        <f t="shared" si="28"/>
        <v>1.6267777523223518E-5</v>
      </c>
      <c r="R338">
        <f t="shared" si="28"/>
        <v>1.9772844444468128E-3</v>
      </c>
      <c r="S338">
        <f t="shared" si="29"/>
        <v>1.8010777818602716E-4</v>
      </c>
      <c r="T338">
        <f t="shared" si="30"/>
        <v>1.3420423919758539E-2</v>
      </c>
    </row>
    <row r="339" spans="1:20" x14ac:dyDescent="0.3">
      <c r="A339" s="2" t="s">
        <v>1168</v>
      </c>
      <c r="B339" s="6" t="s">
        <v>1042</v>
      </c>
      <c r="C339" s="2" t="s">
        <v>51</v>
      </c>
      <c r="D339" s="2" t="s">
        <v>30</v>
      </c>
      <c r="E339" s="8">
        <v>409880.09666666668</v>
      </c>
      <c r="F339" s="8">
        <v>255681.38973333334</v>
      </c>
      <c r="G339" s="8">
        <v>132.227</v>
      </c>
      <c r="J339">
        <v>409880.09299999999</v>
      </c>
      <c r="K339">
        <v>255681.3786</v>
      </c>
      <c r="L339">
        <v>132.32380000000001</v>
      </c>
      <c r="M339" s="3">
        <f t="shared" si="31"/>
        <v>-3.666666685603559E-3</v>
      </c>
      <c r="N339" s="3">
        <f t="shared" si="31"/>
        <v>-1.113333334797062E-2</v>
      </c>
      <c r="O339" s="3">
        <f t="shared" si="27"/>
        <v>9.6800000000001774E-2</v>
      </c>
      <c r="P339">
        <f t="shared" si="28"/>
        <v>1.3444444583314989E-5</v>
      </c>
      <c r="Q339">
        <f t="shared" si="28"/>
        <v>1.239511114370347E-4</v>
      </c>
      <c r="R339">
        <f t="shared" si="28"/>
        <v>9.3702400000003436E-3</v>
      </c>
      <c r="S339">
        <f t="shared" si="29"/>
        <v>1.3739555602034967E-4</v>
      </c>
      <c r="T339">
        <f t="shared" si="30"/>
        <v>1.172158504726855E-2</v>
      </c>
    </row>
    <row r="340" spans="1:20" x14ac:dyDescent="0.3">
      <c r="A340" s="2" t="s">
        <v>1168</v>
      </c>
      <c r="B340" s="6" t="s">
        <v>1042</v>
      </c>
      <c r="C340" s="2" t="s">
        <v>51</v>
      </c>
      <c r="D340" s="2" t="s">
        <v>52</v>
      </c>
      <c r="E340" s="8">
        <v>409880.09423333331</v>
      </c>
      <c r="F340" s="8">
        <v>255681.36600000001</v>
      </c>
      <c r="G340" s="8">
        <v>132.25866666666667</v>
      </c>
      <c r="J340">
        <v>409880.09299999999</v>
      </c>
      <c r="K340">
        <v>255681.3786</v>
      </c>
      <c r="L340">
        <v>132.32380000000001</v>
      </c>
      <c r="M340" s="3">
        <f t="shared" si="31"/>
        <v>-1.2333333143033087E-3</v>
      </c>
      <c r="N340" s="3">
        <f t="shared" si="31"/>
        <v>1.2599999987287447E-2</v>
      </c>
      <c r="O340" s="3">
        <f t="shared" si="27"/>
        <v>6.5133333333335486E-2</v>
      </c>
      <c r="P340">
        <f t="shared" si="28"/>
        <v>1.5211110641703841E-6</v>
      </c>
      <c r="Q340">
        <f t="shared" si="28"/>
        <v>1.5875999967964366E-4</v>
      </c>
      <c r="R340">
        <f t="shared" si="28"/>
        <v>4.2423511111113919E-3</v>
      </c>
      <c r="S340">
        <f t="shared" si="29"/>
        <v>1.6028111074381404E-4</v>
      </c>
      <c r="T340">
        <f t="shared" si="30"/>
        <v>1.266021764203973E-2</v>
      </c>
    </row>
    <row r="341" spans="1:20" x14ac:dyDescent="0.3">
      <c r="A341" s="2" t="s">
        <v>1168</v>
      </c>
      <c r="B341" s="6" t="s">
        <v>1042</v>
      </c>
      <c r="C341" s="2" t="s">
        <v>422</v>
      </c>
      <c r="D341" s="2" t="s">
        <v>423</v>
      </c>
      <c r="E341" s="8">
        <v>409880.06536666671</v>
      </c>
      <c r="F341" s="8">
        <v>255681.38583333333</v>
      </c>
      <c r="G341" s="8">
        <v>132.54599999999996</v>
      </c>
      <c r="J341">
        <v>409880.09299999999</v>
      </c>
      <c r="K341">
        <v>255681.3786</v>
      </c>
      <c r="L341">
        <v>132.32380000000001</v>
      </c>
      <c r="M341" s="3">
        <f t="shared" si="31"/>
        <v>2.7633333287667483E-2</v>
      </c>
      <c r="N341" s="3">
        <f t="shared" si="31"/>
        <v>-7.2333333373535424E-3</v>
      </c>
      <c r="O341" s="3">
        <f t="shared" si="27"/>
        <v>0.22219999999995821</v>
      </c>
      <c r="P341">
        <f t="shared" si="28"/>
        <v>7.6360110858731181E-4</v>
      </c>
      <c r="Q341">
        <f t="shared" si="28"/>
        <v>5.2321111169270135E-5</v>
      </c>
      <c r="R341">
        <f t="shared" si="28"/>
        <v>4.9372839999981426E-2</v>
      </c>
      <c r="S341">
        <f t="shared" si="29"/>
        <v>8.1592221975658192E-4</v>
      </c>
      <c r="T341">
        <f t="shared" si="30"/>
        <v>2.8564352255155058E-2</v>
      </c>
    </row>
    <row r="342" spans="1:20" x14ac:dyDescent="0.3">
      <c r="A342" s="2" t="s">
        <v>1168</v>
      </c>
      <c r="B342" s="6" t="s">
        <v>1042</v>
      </c>
      <c r="C342" s="2" t="s">
        <v>20</v>
      </c>
      <c r="D342" s="2" t="s">
        <v>110</v>
      </c>
      <c r="E342" s="8">
        <v>409880.08713333332</v>
      </c>
      <c r="F342" s="8">
        <v>255681.38920000001</v>
      </c>
      <c r="G342" s="8">
        <v>132.26866666666666</v>
      </c>
      <c r="J342">
        <v>409880.09299999999</v>
      </c>
      <c r="K342">
        <v>255681.3786</v>
      </c>
      <c r="L342">
        <v>132.32380000000001</v>
      </c>
      <c r="M342" s="3">
        <f t="shared" si="31"/>
        <v>5.8666666736826301E-3</v>
      </c>
      <c r="N342" s="3">
        <f t="shared" si="31"/>
        <v>-1.0600000008707866E-2</v>
      </c>
      <c r="O342" s="3">
        <f t="shared" si="27"/>
        <v>5.5133333333344581E-2</v>
      </c>
      <c r="P342">
        <f t="shared" si="28"/>
        <v>3.4417777860098415E-5</v>
      </c>
      <c r="Q342">
        <f t="shared" si="28"/>
        <v>1.1236000018460677E-4</v>
      </c>
      <c r="R342">
        <f t="shared" si="28"/>
        <v>3.0396844444456846E-3</v>
      </c>
      <c r="S342">
        <f t="shared" si="29"/>
        <v>1.4677777804470517E-4</v>
      </c>
      <c r="T342">
        <f t="shared" si="30"/>
        <v>1.2115187907940396E-2</v>
      </c>
    </row>
    <row r="343" spans="1:20" x14ac:dyDescent="0.3">
      <c r="A343" s="2" t="s">
        <v>1168</v>
      </c>
      <c r="B343" s="6" t="s">
        <v>1043</v>
      </c>
      <c r="C343" s="2" t="s">
        <v>20</v>
      </c>
      <c r="D343" s="2" t="s">
        <v>110</v>
      </c>
      <c r="E343" s="8">
        <v>402856.8061333333</v>
      </c>
      <c r="F343" s="8">
        <v>272179.1142666667</v>
      </c>
      <c r="G343" s="8">
        <v>162.702</v>
      </c>
      <c r="J343">
        <v>402856.82049999997</v>
      </c>
      <c r="K343">
        <v>272179.10820000002</v>
      </c>
      <c r="L343">
        <v>162.74430000000001</v>
      </c>
      <c r="M343" s="3">
        <f t="shared" si="31"/>
        <v>1.436666666995734E-2</v>
      </c>
      <c r="N343" s="3">
        <f t="shared" si="31"/>
        <v>-6.0666666831821203E-3</v>
      </c>
      <c r="O343" s="3">
        <f t="shared" si="27"/>
        <v>4.2300000000011551E-2</v>
      </c>
      <c r="P343">
        <f t="shared" si="28"/>
        <v>2.064011112056631E-4</v>
      </c>
      <c r="Q343">
        <f t="shared" si="28"/>
        <v>3.6804444644831949E-5</v>
      </c>
      <c r="R343">
        <f t="shared" si="28"/>
        <v>1.7892900000009771E-3</v>
      </c>
      <c r="S343">
        <f t="shared" si="29"/>
        <v>2.4320555585049505E-4</v>
      </c>
      <c r="T343">
        <f t="shared" si="30"/>
        <v>1.5595049081374995E-2</v>
      </c>
    </row>
    <row r="344" spans="1:20" x14ac:dyDescent="0.3">
      <c r="A344" s="2" t="s">
        <v>1168</v>
      </c>
      <c r="B344" s="6" t="s">
        <v>1043</v>
      </c>
      <c r="C344" s="2" t="s">
        <v>20</v>
      </c>
      <c r="D344" s="2" t="s">
        <v>30</v>
      </c>
      <c r="E344" s="8">
        <v>402856.81456666667</v>
      </c>
      <c r="F344" s="8">
        <v>272179.12576666666</v>
      </c>
      <c r="G344" s="8">
        <v>162.71833333333333</v>
      </c>
      <c r="J344">
        <v>402856.82049999997</v>
      </c>
      <c r="K344">
        <v>272179.10820000002</v>
      </c>
      <c r="L344">
        <v>162.74430000000001</v>
      </c>
      <c r="M344" s="3">
        <f t="shared" si="31"/>
        <v>5.9333333047106862E-3</v>
      </c>
      <c r="N344" s="3">
        <f t="shared" si="31"/>
        <v>-1.7566666647326201E-2</v>
      </c>
      <c r="O344" s="3">
        <f t="shared" si="27"/>
        <v>2.5966666666676019E-2</v>
      </c>
      <c r="P344">
        <f t="shared" si="28"/>
        <v>3.5204444104789033E-5</v>
      </c>
      <c r="Q344">
        <f t="shared" si="28"/>
        <v>3.0858777709828278E-4</v>
      </c>
      <c r="R344">
        <f t="shared" si="28"/>
        <v>6.7426777777826344E-4</v>
      </c>
      <c r="S344">
        <f t="shared" si="29"/>
        <v>3.437922212030718E-4</v>
      </c>
      <c r="T344">
        <f t="shared" si="30"/>
        <v>1.8541634803950588E-2</v>
      </c>
    </row>
    <row r="345" spans="1:20" x14ac:dyDescent="0.3">
      <c r="A345" s="2" t="s">
        <v>1168</v>
      </c>
      <c r="B345" s="6" t="s">
        <v>1044</v>
      </c>
      <c r="C345" s="2" t="s">
        <v>20</v>
      </c>
      <c r="D345" s="2" t="s">
        <v>21</v>
      </c>
      <c r="E345" s="8">
        <v>402856.80806666665</v>
      </c>
      <c r="F345" s="8">
        <v>272179.13166666665</v>
      </c>
      <c r="G345" s="8">
        <v>162.75266666666667</v>
      </c>
      <c r="J345">
        <v>402856.82049999997</v>
      </c>
      <c r="K345">
        <v>272179.10820000002</v>
      </c>
      <c r="L345">
        <v>162.74430000000001</v>
      </c>
      <c r="M345" s="3">
        <f t="shared" si="31"/>
        <v>1.2433333322405815E-2</v>
      </c>
      <c r="N345" s="3">
        <f t="shared" si="31"/>
        <v>-2.3466666636522859E-2</v>
      </c>
      <c r="O345" s="3">
        <f t="shared" si="27"/>
        <v>8.3666666666601941E-3</v>
      </c>
      <c r="P345">
        <f t="shared" si="28"/>
        <v>1.5458777750604683E-4</v>
      </c>
      <c r="Q345">
        <f t="shared" si="28"/>
        <v>5.5068444302969514E-4</v>
      </c>
      <c r="R345">
        <f t="shared" si="28"/>
        <v>7.00011111110028E-5</v>
      </c>
      <c r="S345">
        <f t="shared" si="29"/>
        <v>7.0527222053574196E-4</v>
      </c>
      <c r="T345">
        <f t="shared" si="30"/>
        <v>2.6556961809208184E-2</v>
      </c>
    </row>
    <row r="346" spans="1:20" x14ac:dyDescent="0.3">
      <c r="A346" s="2" t="s">
        <v>1168</v>
      </c>
      <c r="B346" s="6" t="s">
        <v>1044</v>
      </c>
      <c r="C346" s="2" t="s">
        <v>20</v>
      </c>
      <c r="D346" s="2" t="s">
        <v>37</v>
      </c>
      <c r="E346" s="8">
        <v>402856.81639999995</v>
      </c>
      <c r="F346" s="8">
        <v>272179.11566666665</v>
      </c>
      <c r="G346" s="8">
        <v>162.79366666666667</v>
      </c>
      <c r="J346">
        <v>402856.82049999997</v>
      </c>
      <c r="K346">
        <v>272179.10820000002</v>
      </c>
      <c r="L346">
        <v>162.74430000000001</v>
      </c>
      <c r="M346" s="3">
        <f t="shared" si="31"/>
        <v>4.1000000201165676E-3</v>
      </c>
      <c r="N346" s="3">
        <f t="shared" si="31"/>
        <v>-7.4666666332632303E-3</v>
      </c>
      <c r="O346" s="3">
        <f t="shared" si="27"/>
        <v>4.9366666666657011E-2</v>
      </c>
      <c r="P346">
        <f t="shared" si="28"/>
        <v>1.6810000164955855E-5</v>
      </c>
      <c r="Q346">
        <f t="shared" si="28"/>
        <v>5.5751110612286463E-5</v>
      </c>
      <c r="R346">
        <f t="shared" si="28"/>
        <v>2.4370677777768245E-3</v>
      </c>
      <c r="S346">
        <f t="shared" si="29"/>
        <v>7.2561110777242318E-5</v>
      </c>
      <c r="T346">
        <f t="shared" si="30"/>
        <v>8.5182809754810462E-3</v>
      </c>
    </row>
    <row r="347" spans="1:20" x14ac:dyDescent="0.3">
      <c r="A347" s="2" t="s">
        <v>1168</v>
      </c>
      <c r="B347" s="6" t="s">
        <v>1044</v>
      </c>
      <c r="C347" s="2" t="s">
        <v>20</v>
      </c>
      <c r="D347" s="2" t="s">
        <v>46</v>
      </c>
      <c r="E347" s="8">
        <v>402856.81309999997</v>
      </c>
      <c r="F347" s="8">
        <v>272179.11046666669</v>
      </c>
      <c r="G347" s="8">
        <v>162.78766666666664</v>
      </c>
      <c r="J347">
        <v>402856.82049999997</v>
      </c>
      <c r="K347">
        <v>272179.10820000002</v>
      </c>
      <c r="L347">
        <v>162.74430000000001</v>
      </c>
      <c r="M347" s="3">
        <f t="shared" si="31"/>
        <v>7.4000000022351742E-3</v>
      </c>
      <c r="N347" s="3">
        <f t="shared" si="31"/>
        <v>-2.2666666773147881E-3</v>
      </c>
      <c r="O347" s="3">
        <f t="shared" si="27"/>
        <v>4.3366666666628362E-2</v>
      </c>
      <c r="P347">
        <f t="shared" si="28"/>
        <v>5.4760000033080578E-5</v>
      </c>
      <c r="Q347">
        <f t="shared" si="28"/>
        <v>5.1377778260492617E-6</v>
      </c>
      <c r="R347">
        <f t="shared" si="28"/>
        <v>1.8806677777744554E-3</v>
      </c>
      <c r="S347">
        <f t="shared" si="29"/>
        <v>5.9897777859129836E-5</v>
      </c>
      <c r="T347">
        <f t="shared" si="30"/>
        <v>7.7393654687661463E-3</v>
      </c>
    </row>
    <row r="348" spans="1:20" x14ac:dyDescent="0.3">
      <c r="A348" s="2" t="s">
        <v>1168</v>
      </c>
      <c r="B348" s="6" t="s">
        <v>1044</v>
      </c>
      <c r="C348" s="2" t="s">
        <v>51</v>
      </c>
      <c r="D348" s="2" t="s">
        <v>30</v>
      </c>
      <c r="E348" s="8">
        <v>402856.79853333329</v>
      </c>
      <c r="F348" s="8">
        <v>272179.11576666665</v>
      </c>
      <c r="G348" s="8">
        <v>162.64133333333334</v>
      </c>
      <c r="J348">
        <v>402856.82049999997</v>
      </c>
      <c r="K348">
        <v>272179.10820000002</v>
      </c>
      <c r="L348">
        <v>162.74430000000001</v>
      </c>
      <c r="M348" s="3">
        <f t="shared" si="31"/>
        <v>2.1966666681692004E-2</v>
      </c>
      <c r="N348" s="3">
        <f t="shared" si="31"/>
        <v>-7.5666666380129755E-3</v>
      </c>
      <c r="O348" s="3">
        <f t="shared" si="27"/>
        <v>0.1029666666666742</v>
      </c>
      <c r="P348">
        <f t="shared" si="28"/>
        <v>4.8253444510455761E-4</v>
      </c>
      <c r="Q348">
        <f t="shared" si="28"/>
        <v>5.7254444010818582E-5</v>
      </c>
      <c r="R348">
        <f t="shared" si="28"/>
        <v>1.0602134444445997E-2</v>
      </c>
      <c r="S348">
        <f t="shared" si="29"/>
        <v>5.3978888911537619E-4</v>
      </c>
      <c r="T348">
        <f t="shared" si="30"/>
        <v>2.3233357250199038E-2</v>
      </c>
    </row>
    <row r="349" spans="1:20" x14ac:dyDescent="0.3">
      <c r="A349" s="2" t="s">
        <v>1168</v>
      </c>
      <c r="B349" s="6" t="s">
        <v>1044</v>
      </c>
      <c r="C349" s="2" t="s">
        <v>51</v>
      </c>
      <c r="D349" s="2" t="s">
        <v>52</v>
      </c>
      <c r="E349" s="8">
        <v>402856.79823333333</v>
      </c>
      <c r="F349" s="8">
        <v>272179.10879999999</v>
      </c>
      <c r="G349" s="8">
        <v>162.65566666666669</v>
      </c>
      <c r="J349">
        <v>402856.82049999997</v>
      </c>
      <c r="K349">
        <v>272179.10820000002</v>
      </c>
      <c r="L349">
        <v>162.74430000000001</v>
      </c>
      <c r="M349" s="3">
        <f t="shared" si="31"/>
        <v>2.2266666637733579E-2</v>
      </c>
      <c r="N349" s="3">
        <f t="shared" si="31"/>
        <v>-5.9999997029080987E-4</v>
      </c>
      <c r="O349" s="3">
        <f t="shared" si="27"/>
        <v>8.8633333333319797E-2</v>
      </c>
      <c r="P349">
        <f t="shared" si="28"/>
        <v>4.9580444315595754E-4</v>
      </c>
      <c r="Q349">
        <f t="shared" si="28"/>
        <v>3.5999996434897273E-7</v>
      </c>
      <c r="R349">
        <f t="shared" si="28"/>
        <v>7.8558677777753778E-3</v>
      </c>
      <c r="S349">
        <f t="shared" si="29"/>
        <v>4.9616444312030651E-4</v>
      </c>
      <c r="T349">
        <f t="shared" si="30"/>
        <v>2.2274749002408681E-2</v>
      </c>
    </row>
    <row r="350" spans="1:20" x14ac:dyDescent="0.3">
      <c r="A350" s="2" t="s">
        <v>1168</v>
      </c>
      <c r="B350" s="6" t="s">
        <v>1044</v>
      </c>
      <c r="C350" s="2" t="s">
        <v>422</v>
      </c>
      <c r="D350" s="2" t="s">
        <v>423</v>
      </c>
      <c r="E350" s="8">
        <v>402856.75046666665</v>
      </c>
      <c r="F350" s="8">
        <v>272179.0944</v>
      </c>
      <c r="G350" s="8">
        <v>163.03033333333335</v>
      </c>
      <c r="J350">
        <v>402856.82049999997</v>
      </c>
      <c r="K350">
        <v>272179.10820000002</v>
      </c>
      <c r="L350">
        <v>162.74430000000001</v>
      </c>
      <c r="M350" s="3">
        <f t="shared" si="31"/>
        <v>7.0033333322498947E-2</v>
      </c>
      <c r="N350" s="3">
        <f t="shared" si="31"/>
        <v>1.3800000015180558E-2</v>
      </c>
      <c r="O350" s="3">
        <f t="shared" si="27"/>
        <v>0.2860333333333358</v>
      </c>
      <c r="P350">
        <f t="shared" si="28"/>
        <v>4.9046677762602416E-3</v>
      </c>
      <c r="Q350">
        <f t="shared" si="28"/>
        <v>1.904400004189834E-4</v>
      </c>
      <c r="R350">
        <f t="shared" si="28"/>
        <v>8.1815067777779193E-2</v>
      </c>
      <c r="S350">
        <f t="shared" si="29"/>
        <v>5.095107776679225E-3</v>
      </c>
      <c r="T350">
        <f t="shared" si="30"/>
        <v>7.1380023652834593E-2</v>
      </c>
    </row>
    <row r="351" spans="1:20" x14ac:dyDescent="0.3">
      <c r="A351" s="2" t="s">
        <v>1168</v>
      </c>
      <c r="B351" s="6" t="s">
        <v>1045</v>
      </c>
      <c r="C351" s="2" t="s">
        <v>20</v>
      </c>
      <c r="D351" s="2" t="s">
        <v>30</v>
      </c>
      <c r="E351" s="8">
        <v>429089.6679</v>
      </c>
      <c r="F351" s="8">
        <v>262891.55573333334</v>
      </c>
      <c r="G351" s="8">
        <v>206.01666666666668</v>
      </c>
      <c r="J351">
        <v>429089.66320000001</v>
      </c>
      <c r="K351">
        <v>262891.55739999999</v>
      </c>
      <c r="L351">
        <v>206.01390000000001</v>
      </c>
      <c r="M351" s="3">
        <f t="shared" si="31"/>
        <v>-4.6999999904073775E-3</v>
      </c>
      <c r="N351" s="3">
        <f t="shared" si="31"/>
        <v>1.6666666488163173E-3</v>
      </c>
      <c r="O351" s="3">
        <f t="shared" si="27"/>
        <v>2.7666666666732453E-3</v>
      </c>
      <c r="P351">
        <f t="shared" si="28"/>
        <v>2.2089999909829348E-5</v>
      </c>
      <c r="Q351">
        <f t="shared" si="28"/>
        <v>2.7777777182766136E-6</v>
      </c>
      <c r="R351">
        <f t="shared" si="28"/>
        <v>7.6544444444808468E-6</v>
      </c>
      <c r="S351">
        <f t="shared" si="29"/>
        <v>2.4867777628105962E-5</v>
      </c>
      <c r="T351">
        <f t="shared" si="30"/>
        <v>4.9867602336693476E-3</v>
      </c>
    </row>
    <row r="352" spans="1:20" x14ac:dyDescent="0.3">
      <c r="A352" s="2" t="s">
        <v>1168</v>
      </c>
      <c r="B352" s="6" t="s">
        <v>1045</v>
      </c>
      <c r="C352" s="2" t="s">
        <v>20</v>
      </c>
      <c r="D352" s="2" t="s">
        <v>21</v>
      </c>
      <c r="E352" s="8">
        <v>429089.66676666663</v>
      </c>
      <c r="F352" s="8">
        <v>262891.55626666668</v>
      </c>
      <c r="G352" s="8">
        <v>206.02133333333336</v>
      </c>
      <c r="J352">
        <v>429089.66320000001</v>
      </c>
      <c r="K352">
        <v>262891.55739999999</v>
      </c>
      <c r="L352">
        <v>206.01390000000001</v>
      </c>
      <c r="M352" s="3">
        <f t="shared" si="31"/>
        <v>-3.566666622646153E-3</v>
      </c>
      <c r="N352" s="3">
        <f t="shared" si="31"/>
        <v>1.1333333095535636E-3</v>
      </c>
      <c r="O352" s="3">
        <f t="shared" si="27"/>
        <v>7.4333333333527207E-3</v>
      </c>
      <c r="P352">
        <f t="shared" si="28"/>
        <v>1.2721110797098115E-5</v>
      </c>
      <c r="Q352">
        <f t="shared" si="28"/>
        <v>1.2844443905436336E-6</v>
      </c>
      <c r="R352">
        <f t="shared" si="28"/>
        <v>5.5254444444732668E-5</v>
      </c>
      <c r="S352">
        <f t="shared" si="29"/>
        <v>1.4005555187641749E-5</v>
      </c>
      <c r="T352">
        <f t="shared" si="30"/>
        <v>3.7423996563223641E-3</v>
      </c>
    </row>
    <row r="353" spans="1:20" x14ac:dyDescent="0.3">
      <c r="A353" s="2" t="s">
        <v>1168</v>
      </c>
      <c r="B353" s="6" t="s">
        <v>1046</v>
      </c>
      <c r="C353" s="2" t="s">
        <v>20</v>
      </c>
      <c r="D353" s="2" t="s">
        <v>110</v>
      </c>
      <c r="E353" s="8">
        <v>429089.66529999999</v>
      </c>
      <c r="F353" s="8">
        <v>262891.55316666671</v>
      </c>
      <c r="G353" s="8">
        <v>206.02766666666665</v>
      </c>
      <c r="J353">
        <v>429089.66320000001</v>
      </c>
      <c r="K353">
        <v>262891.55739999999</v>
      </c>
      <c r="L353">
        <v>206.01390000000001</v>
      </c>
      <c r="M353" s="3">
        <f t="shared" si="31"/>
        <v>-2.0999999833293259E-3</v>
      </c>
      <c r="N353" s="3">
        <f t="shared" si="31"/>
        <v>4.2333332821726799E-3</v>
      </c>
      <c r="O353" s="3">
        <f t="shared" si="27"/>
        <v>1.3766666666640504E-2</v>
      </c>
      <c r="P353">
        <f t="shared" si="28"/>
        <v>4.4099999299831691E-6</v>
      </c>
      <c r="Q353">
        <f t="shared" si="28"/>
        <v>1.7921110677950915E-5</v>
      </c>
      <c r="R353">
        <f t="shared" si="28"/>
        <v>1.8952111111039075E-4</v>
      </c>
      <c r="S353">
        <f t="shared" si="29"/>
        <v>2.2331110607934084E-5</v>
      </c>
      <c r="T353">
        <f t="shared" si="30"/>
        <v>4.7255804519586884E-3</v>
      </c>
    </row>
    <row r="354" spans="1:20" x14ac:dyDescent="0.3">
      <c r="A354" s="2" t="s">
        <v>1168</v>
      </c>
      <c r="B354" s="6" t="s">
        <v>1046</v>
      </c>
      <c r="C354" s="2" t="s">
        <v>20</v>
      </c>
      <c r="D354" s="2" t="s">
        <v>37</v>
      </c>
      <c r="E354" s="8">
        <v>429089.66933333332</v>
      </c>
      <c r="F354" s="8">
        <v>262891.55919999996</v>
      </c>
      <c r="G354" s="8">
        <v>206.02266666666665</v>
      </c>
      <c r="J354">
        <v>429089.66320000001</v>
      </c>
      <c r="K354">
        <v>262891.55739999999</v>
      </c>
      <c r="L354">
        <v>206.01390000000001</v>
      </c>
      <c r="M354" s="3">
        <f t="shared" si="31"/>
        <v>-6.1333333142101765E-3</v>
      </c>
      <c r="N354" s="3">
        <f t="shared" si="31"/>
        <v>-1.7999999690800905E-3</v>
      </c>
      <c r="O354" s="3">
        <f t="shared" si="27"/>
        <v>8.766666666645051E-3</v>
      </c>
      <c r="P354">
        <f t="shared" si="28"/>
        <v>3.7617777543200387E-5</v>
      </c>
      <c r="Q354">
        <f t="shared" si="28"/>
        <v>3.2399998886883268E-6</v>
      </c>
      <c r="R354">
        <f t="shared" si="28"/>
        <v>7.6854444444065446E-5</v>
      </c>
      <c r="S354">
        <f t="shared" si="29"/>
        <v>4.0857777431888714E-5</v>
      </c>
      <c r="T354">
        <f t="shared" si="30"/>
        <v>6.3920088729513443E-3</v>
      </c>
    </row>
    <row r="355" spans="1:20" x14ac:dyDescent="0.3">
      <c r="A355" s="2" t="s">
        <v>1168</v>
      </c>
      <c r="B355" s="6" t="s">
        <v>1046</v>
      </c>
      <c r="C355" s="2" t="s">
        <v>20</v>
      </c>
      <c r="D355" s="2" t="s">
        <v>46</v>
      </c>
      <c r="E355" s="8">
        <v>429089.66636666673</v>
      </c>
      <c r="F355" s="8">
        <v>262891.55533333332</v>
      </c>
      <c r="G355" s="8">
        <v>206.047</v>
      </c>
      <c r="J355">
        <v>429089.66320000001</v>
      </c>
      <c r="K355">
        <v>262891.55739999999</v>
      </c>
      <c r="L355">
        <v>206.01390000000001</v>
      </c>
      <c r="M355" s="3">
        <f t="shared" si="31"/>
        <v>-3.1666667200624943E-3</v>
      </c>
      <c r="N355" s="3">
        <f t="shared" si="31"/>
        <v>2.0666666678152978E-3</v>
      </c>
      <c r="O355" s="3">
        <f t="shared" si="27"/>
        <v>3.3099999999990359E-2</v>
      </c>
      <c r="P355">
        <f t="shared" si="28"/>
        <v>1.0027778115951356E-5</v>
      </c>
      <c r="Q355">
        <f t="shared" si="28"/>
        <v>4.2711111158587866E-6</v>
      </c>
      <c r="R355">
        <f t="shared" si="28"/>
        <v>1.0956099999993617E-3</v>
      </c>
      <c r="S355">
        <f t="shared" si="29"/>
        <v>1.4298889231810142E-5</v>
      </c>
      <c r="T355">
        <f t="shared" si="30"/>
        <v>3.7813872099812977E-3</v>
      </c>
    </row>
    <row r="356" spans="1:20" x14ac:dyDescent="0.3">
      <c r="A356" s="2" t="s">
        <v>1168</v>
      </c>
      <c r="B356" s="6" t="s">
        <v>1046</v>
      </c>
      <c r="C356" s="2" t="s">
        <v>51</v>
      </c>
      <c r="D356" s="2" t="s">
        <v>63</v>
      </c>
      <c r="E356" s="8">
        <v>429089.67123333336</v>
      </c>
      <c r="F356" s="8">
        <v>262891.5624</v>
      </c>
      <c r="G356" s="8">
        <v>206.01266666666666</v>
      </c>
      <c r="J356">
        <v>429089.66320000001</v>
      </c>
      <c r="K356">
        <v>262891.55739999999</v>
      </c>
      <c r="L356">
        <v>206.01390000000001</v>
      </c>
      <c r="M356" s="3">
        <f t="shared" si="31"/>
        <v>-8.033333346247673E-3</v>
      </c>
      <c r="N356" s="3">
        <f t="shared" si="31"/>
        <v>-5.0000000046566129E-3</v>
      </c>
      <c r="O356" s="3">
        <f t="shared" si="27"/>
        <v>1.233333333345854E-3</v>
      </c>
      <c r="P356">
        <f t="shared" si="28"/>
        <v>6.4534444651934836E-5</v>
      </c>
      <c r="Q356">
        <f t="shared" si="28"/>
        <v>2.5000000046566129E-5</v>
      </c>
      <c r="R356">
        <f t="shared" si="28"/>
        <v>1.5211111111419954E-6</v>
      </c>
      <c r="S356">
        <f t="shared" si="29"/>
        <v>8.9534444698500965E-5</v>
      </c>
      <c r="T356">
        <f t="shared" si="30"/>
        <v>9.4622642479747394E-3</v>
      </c>
    </row>
    <row r="357" spans="1:20" x14ac:dyDescent="0.3">
      <c r="A357" s="2" t="s">
        <v>1168</v>
      </c>
      <c r="B357" s="6" t="s">
        <v>1046</v>
      </c>
      <c r="C357" s="2" t="s">
        <v>51</v>
      </c>
      <c r="D357" s="2" t="s">
        <v>30</v>
      </c>
      <c r="E357" s="8">
        <v>429089.68026666669</v>
      </c>
      <c r="F357" s="8">
        <v>262891.56789999997</v>
      </c>
      <c r="G357" s="8">
        <v>206.011</v>
      </c>
      <c r="J357">
        <v>429089.66320000001</v>
      </c>
      <c r="K357">
        <v>262891.55739999999</v>
      </c>
      <c r="L357">
        <v>206.01390000000001</v>
      </c>
      <c r="M357" s="3">
        <f t="shared" si="31"/>
        <v>-1.7066666681785136E-2</v>
      </c>
      <c r="N357" s="3">
        <f t="shared" si="31"/>
        <v>-1.049999997485429E-2</v>
      </c>
      <c r="O357" s="3">
        <f t="shared" si="27"/>
        <v>2.9000000000110049E-3</v>
      </c>
      <c r="P357">
        <f t="shared" si="28"/>
        <v>2.912711116271549E-4</v>
      </c>
      <c r="Q357">
        <f t="shared" si="28"/>
        <v>1.102499994719401E-4</v>
      </c>
      <c r="R357">
        <f t="shared" si="28"/>
        <v>8.4100000000638281E-6</v>
      </c>
      <c r="S357">
        <f t="shared" si="29"/>
        <v>4.0152111109909499E-4</v>
      </c>
      <c r="T357">
        <f t="shared" si="30"/>
        <v>2.0037991693258459E-2</v>
      </c>
    </row>
    <row r="358" spans="1:20" x14ac:dyDescent="0.3">
      <c r="A358" s="2" t="s">
        <v>1168</v>
      </c>
      <c r="B358" s="6" t="s">
        <v>1046</v>
      </c>
      <c r="C358" s="2" t="s">
        <v>51</v>
      </c>
      <c r="D358" s="2" t="s">
        <v>52</v>
      </c>
      <c r="E358" s="8">
        <v>429089.67523333337</v>
      </c>
      <c r="F358" s="8">
        <v>262891.5673</v>
      </c>
      <c r="G358" s="8">
        <v>206.02333333333334</v>
      </c>
      <c r="J358">
        <v>429089.66320000001</v>
      </c>
      <c r="K358">
        <v>262891.55739999999</v>
      </c>
      <c r="L358">
        <v>206.01390000000001</v>
      </c>
      <c r="M358" s="3">
        <f t="shared" si="31"/>
        <v>-1.2033333361614496E-2</v>
      </c>
      <c r="N358" s="3">
        <f t="shared" si="31"/>
        <v>-9.9000000045634806E-3</v>
      </c>
      <c r="O358" s="3">
        <f t="shared" si="27"/>
        <v>9.4333333333338487E-3</v>
      </c>
      <c r="P358">
        <f t="shared" si="28"/>
        <v>1.4480111179174441E-4</v>
      </c>
      <c r="Q358">
        <f t="shared" si="28"/>
        <v>9.8010000090356913E-5</v>
      </c>
      <c r="R358">
        <f t="shared" si="28"/>
        <v>8.8987777777787495E-5</v>
      </c>
      <c r="S358">
        <f t="shared" si="29"/>
        <v>2.4281111188210132E-4</v>
      </c>
      <c r="T358">
        <f t="shared" si="30"/>
        <v>1.5582397501094025E-2</v>
      </c>
    </row>
    <row r="359" spans="1:20" x14ac:dyDescent="0.3">
      <c r="A359" s="2" t="s">
        <v>1168</v>
      </c>
      <c r="B359" s="6" t="s">
        <v>1046</v>
      </c>
      <c r="C359" s="2" t="s">
        <v>422</v>
      </c>
      <c r="D359" s="2" t="s">
        <v>423</v>
      </c>
      <c r="E359" s="8">
        <v>429089.67330000008</v>
      </c>
      <c r="F359" s="8">
        <v>262891.57006666664</v>
      </c>
      <c r="G359" s="8">
        <v>206.10066666666668</v>
      </c>
      <c r="J359">
        <v>429089.66320000001</v>
      </c>
      <c r="K359">
        <v>262891.55739999999</v>
      </c>
      <c r="L359">
        <v>206.01390000000001</v>
      </c>
      <c r="M359" s="3">
        <f t="shared" si="31"/>
        <v>-1.0100000072270632E-2</v>
      </c>
      <c r="N359" s="3">
        <f t="shared" si="31"/>
        <v>-1.2666666647419333E-2</v>
      </c>
      <c r="O359" s="3">
        <f t="shared" si="27"/>
        <v>8.6766666666676429E-2</v>
      </c>
      <c r="P359">
        <f t="shared" si="28"/>
        <v>1.0201000145986677E-4</v>
      </c>
      <c r="Q359">
        <f t="shared" si="28"/>
        <v>1.6044444395684534E-4</v>
      </c>
      <c r="R359">
        <f t="shared" si="28"/>
        <v>7.5284544444461383E-3</v>
      </c>
      <c r="S359">
        <f t="shared" si="29"/>
        <v>2.624544454167121E-4</v>
      </c>
      <c r="T359">
        <f t="shared" si="30"/>
        <v>1.6200445840059838E-2</v>
      </c>
    </row>
    <row r="360" spans="1:20" x14ac:dyDescent="0.3">
      <c r="A360" s="2" t="s">
        <v>1168</v>
      </c>
      <c r="B360" s="6" t="s">
        <v>1047</v>
      </c>
      <c r="C360" s="2" t="s">
        <v>20</v>
      </c>
      <c r="D360" s="2" t="s">
        <v>30</v>
      </c>
      <c r="E360" s="8">
        <v>435254.38833333337</v>
      </c>
      <c r="F360" s="8">
        <v>264510.68773333333</v>
      </c>
      <c r="G360" s="8">
        <v>187.95666666666668</v>
      </c>
      <c r="J360">
        <v>435254.37469999999</v>
      </c>
      <c r="K360">
        <v>264510.70899999997</v>
      </c>
      <c r="L360">
        <v>187.9555</v>
      </c>
      <c r="M360" s="3">
        <f t="shared" si="31"/>
        <v>-1.3633333379402757E-2</v>
      </c>
      <c r="N360" s="3">
        <f t="shared" si="31"/>
        <v>2.1266666648443788E-2</v>
      </c>
      <c r="O360" s="3">
        <f t="shared" si="27"/>
        <v>1.1666666666769743E-3</v>
      </c>
      <c r="P360">
        <f t="shared" si="28"/>
        <v>1.8586777903393739E-4</v>
      </c>
      <c r="Q360">
        <f t="shared" si="28"/>
        <v>4.5227111033603135E-4</v>
      </c>
      <c r="R360">
        <f t="shared" si="28"/>
        <v>1.3611111111351623E-6</v>
      </c>
      <c r="S360">
        <f t="shared" si="29"/>
        <v>6.3813888936996874E-4</v>
      </c>
      <c r="T360">
        <f t="shared" si="30"/>
        <v>2.5261411072423662E-2</v>
      </c>
    </row>
    <row r="361" spans="1:20" x14ac:dyDescent="0.3">
      <c r="A361" s="2" t="s">
        <v>1168</v>
      </c>
      <c r="B361" s="6" t="s">
        <v>1047</v>
      </c>
      <c r="C361" s="2" t="s">
        <v>20</v>
      </c>
      <c r="D361" s="2" t="s">
        <v>21</v>
      </c>
      <c r="E361" s="8">
        <v>435254.39360000001</v>
      </c>
      <c r="F361" s="8">
        <v>264510.69163333334</v>
      </c>
      <c r="G361" s="8">
        <v>187.946</v>
      </c>
      <c r="J361">
        <v>435254.37469999999</v>
      </c>
      <c r="K361">
        <v>264510.70899999997</v>
      </c>
      <c r="L361">
        <v>187.9555</v>
      </c>
      <c r="M361" s="3">
        <f t="shared" si="31"/>
        <v>-1.8900000024586916E-2</v>
      </c>
      <c r="N361" s="3">
        <f t="shared" si="31"/>
        <v>1.7366666637826711E-2</v>
      </c>
      <c r="O361" s="3">
        <f t="shared" si="27"/>
        <v>9.5000000000027285E-3</v>
      </c>
      <c r="P361">
        <f t="shared" si="28"/>
        <v>3.5721000092938542E-4</v>
      </c>
      <c r="Q361">
        <f t="shared" si="28"/>
        <v>3.0160111010940334E-4</v>
      </c>
      <c r="R361">
        <f t="shared" si="28"/>
        <v>9.0250000000051837E-5</v>
      </c>
      <c r="S361">
        <f t="shared" si="29"/>
        <v>6.5881111103878876E-4</v>
      </c>
      <c r="T361">
        <f t="shared" si="30"/>
        <v>2.56673160076933E-2</v>
      </c>
    </row>
    <row r="362" spans="1:20" x14ac:dyDescent="0.3">
      <c r="A362" s="2" t="s">
        <v>1168</v>
      </c>
      <c r="B362" s="6" t="s">
        <v>1048</v>
      </c>
      <c r="C362" s="2" t="s">
        <v>20</v>
      </c>
      <c r="D362" s="2" t="s">
        <v>110</v>
      </c>
      <c r="E362" s="8">
        <v>435254.39720000001</v>
      </c>
      <c r="F362" s="8">
        <v>264510.69540000003</v>
      </c>
      <c r="G362" s="8">
        <v>187.92966666666666</v>
      </c>
      <c r="J362">
        <v>435254.37469999999</v>
      </c>
      <c r="K362">
        <v>264510.70899999997</v>
      </c>
      <c r="L362">
        <v>187.9555</v>
      </c>
      <c r="M362" s="3">
        <f t="shared" si="31"/>
        <v>-2.2500000020954758E-2</v>
      </c>
      <c r="N362" s="3">
        <f t="shared" si="31"/>
        <v>1.3599999947473407E-2</v>
      </c>
      <c r="O362" s="3">
        <f t="shared" si="27"/>
        <v>2.583333333333826E-2</v>
      </c>
      <c r="P362">
        <f t="shared" si="28"/>
        <v>5.062500009429641E-4</v>
      </c>
      <c r="Q362">
        <f t="shared" si="28"/>
        <v>1.8495999857127667E-4</v>
      </c>
      <c r="R362">
        <f t="shared" si="28"/>
        <v>6.6736111111136566E-4</v>
      </c>
      <c r="S362">
        <f t="shared" si="29"/>
        <v>6.9120999951424083E-4</v>
      </c>
      <c r="T362">
        <f t="shared" si="30"/>
        <v>2.6290872931765519E-2</v>
      </c>
    </row>
    <row r="363" spans="1:20" x14ac:dyDescent="0.3">
      <c r="A363" s="2" t="s">
        <v>1168</v>
      </c>
      <c r="B363" s="6" t="s">
        <v>1048</v>
      </c>
      <c r="C363" s="2" t="s">
        <v>20</v>
      </c>
      <c r="D363" s="2" t="s">
        <v>37</v>
      </c>
      <c r="E363" s="8">
        <v>435254.39240000001</v>
      </c>
      <c r="F363" s="8">
        <v>264510.68866666668</v>
      </c>
      <c r="G363" s="8">
        <v>187.94366666666664</v>
      </c>
      <c r="J363">
        <v>435254.37469999999</v>
      </c>
      <c r="K363">
        <v>264510.70899999997</v>
      </c>
      <c r="L363">
        <v>187.9555</v>
      </c>
      <c r="M363" s="3">
        <f t="shared" si="31"/>
        <v>-1.7700000025797635E-2</v>
      </c>
      <c r="N363" s="3">
        <f t="shared" si="31"/>
        <v>2.0333333290182054E-2</v>
      </c>
      <c r="O363" s="3">
        <f t="shared" si="27"/>
        <v>1.1833333333356677E-2</v>
      </c>
      <c r="P363">
        <f t="shared" si="28"/>
        <v>3.1329000091323631E-4</v>
      </c>
      <c r="Q363">
        <f t="shared" si="28"/>
        <v>4.1344444268962574E-4</v>
      </c>
      <c r="R363">
        <f t="shared" si="28"/>
        <v>1.4002777777833025E-4</v>
      </c>
      <c r="S363">
        <f t="shared" si="29"/>
        <v>7.2673444360286206E-4</v>
      </c>
      <c r="T363">
        <f t="shared" si="30"/>
        <v>2.6958012604842777E-2</v>
      </c>
    </row>
    <row r="364" spans="1:20" x14ac:dyDescent="0.3">
      <c r="A364" s="2" t="s">
        <v>1168</v>
      </c>
      <c r="B364" s="6" t="s">
        <v>1048</v>
      </c>
      <c r="C364" s="2" t="s">
        <v>20</v>
      </c>
      <c r="D364" s="2" t="s">
        <v>46</v>
      </c>
      <c r="E364" s="8">
        <v>435254.39709999994</v>
      </c>
      <c r="F364" s="8">
        <v>264510.68519999995</v>
      </c>
      <c r="G364" s="8">
        <v>187.94266666666667</v>
      </c>
      <c r="J364">
        <v>435254.37469999999</v>
      </c>
      <c r="K364">
        <v>264510.70899999997</v>
      </c>
      <c r="L364">
        <v>187.9555</v>
      </c>
      <c r="M364" s="3">
        <f t="shared" si="31"/>
        <v>-2.2399999957997352E-2</v>
      </c>
      <c r="N364" s="3">
        <f t="shared" si="31"/>
        <v>2.3800000024493784E-2</v>
      </c>
      <c r="O364" s="3">
        <f t="shared" si="27"/>
        <v>1.283333333333303E-2</v>
      </c>
      <c r="P364">
        <f t="shared" si="28"/>
        <v>5.0175999811828134E-4</v>
      </c>
      <c r="Q364">
        <f t="shared" si="28"/>
        <v>5.6644000116590416E-4</v>
      </c>
      <c r="R364">
        <f t="shared" si="28"/>
        <v>1.6469444444443666E-4</v>
      </c>
      <c r="S364">
        <f t="shared" si="29"/>
        <v>1.0681999992841855E-3</v>
      </c>
      <c r="T364">
        <f t="shared" si="30"/>
        <v>3.2683329072849744E-2</v>
      </c>
    </row>
    <row r="365" spans="1:20" x14ac:dyDescent="0.3">
      <c r="A365" s="2" t="s">
        <v>1168</v>
      </c>
      <c r="B365" s="6" t="s">
        <v>1048</v>
      </c>
      <c r="C365" s="2" t="s">
        <v>51</v>
      </c>
      <c r="D365" s="2" t="s">
        <v>63</v>
      </c>
      <c r="E365" s="8">
        <v>435254.39440000005</v>
      </c>
      <c r="F365" s="8">
        <v>264510.68606666668</v>
      </c>
      <c r="G365" s="8">
        <v>187.92066666666665</v>
      </c>
      <c r="J365">
        <v>435254.37469999999</v>
      </c>
      <c r="K365">
        <v>264510.70899999997</v>
      </c>
      <c r="L365">
        <v>187.9555</v>
      </c>
      <c r="M365" s="3">
        <f t="shared" si="31"/>
        <v>-1.9700000062584877E-2</v>
      </c>
      <c r="N365" s="3">
        <f t="shared" si="31"/>
        <v>2.2933333297260106E-2</v>
      </c>
      <c r="O365" s="3">
        <f t="shared" si="27"/>
        <v>3.4833333333352812E-2</v>
      </c>
      <c r="P365">
        <f t="shared" si="28"/>
        <v>3.8809000246584416E-4</v>
      </c>
      <c r="Q365">
        <f t="shared" si="28"/>
        <v>5.2593777612321905E-4</v>
      </c>
      <c r="R365">
        <f t="shared" si="28"/>
        <v>1.213361111112468E-3</v>
      </c>
      <c r="S365">
        <f t="shared" si="29"/>
        <v>9.1402777858906321E-4</v>
      </c>
      <c r="T365">
        <f t="shared" si="30"/>
        <v>3.0232892329201042E-2</v>
      </c>
    </row>
    <row r="366" spans="1:20" x14ac:dyDescent="0.3">
      <c r="A366" s="2" t="s">
        <v>1168</v>
      </c>
      <c r="B366" s="6" t="s">
        <v>1048</v>
      </c>
      <c r="C366" s="2" t="s">
        <v>51</v>
      </c>
      <c r="D366" s="2" t="s">
        <v>30</v>
      </c>
      <c r="E366" s="8">
        <v>435254.40153333329</v>
      </c>
      <c r="F366" s="8">
        <v>264510.68446666672</v>
      </c>
      <c r="G366" s="8">
        <v>187.91666666666666</v>
      </c>
      <c r="J366">
        <v>435254.37469999999</v>
      </c>
      <c r="K366">
        <v>264510.70899999997</v>
      </c>
      <c r="L366">
        <v>187.9555</v>
      </c>
      <c r="M366" s="3">
        <f t="shared" si="31"/>
        <v>-2.6833333307877183E-2</v>
      </c>
      <c r="N366" s="3">
        <f t="shared" si="31"/>
        <v>2.4533333256840706E-2</v>
      </c>
      <c r="O366" s="3">
        <f t="shared" si="27"/>
        <v>3.8833333333343489E-2</v>
      </c>
      <c r="P366">
        <f t="shared" si="28"/>
        <v>7.2002777641163099E-4</v>
      </c>
      <c r="Q366">
        <f t="shared" si="28"/>
        <v>6.018844406912062E-4</v>
      </c>
      <c r="R366">
        <f t="shared" si="28"/>
        <v>1.5080277777785665E-3</v>
      </c>
      <c r="S366">
        <f t="shared" si="29"/>
        <v>1.3219122171028372E-3</v>
      </c>
      <c r="T366">
        <f t="shared" si="30"/>
        <v>3.6358110747161179E-2</v>
      </c>
    </row>
    <row r="367" spans="1:20" x14ac:dyDescent="0.3">
      <c r="A367" s="2" t="s">
        <v>1168</v>
      </c>
      <c r="B367" s="6" t="s">
        <v>1048</v>
      </c>
      <c r="C367" s="2" t="s">
        <v>51</v>
      </c>
      <c r="D367" s="2" t="s">
        <v>52</v>
      </c>
      <c r="E367" s="8">
        <v>435254.40369999997</v>
      </c>
      <c r="F367" s="8">
        <v>264510.68770000007</v>
      </c>
      <c r="G367" s="8">
        <v>187.93233333333333</v>
      </c>
      <c r="J367">
        <v>435254.37469999999</v>
      </c>
      <c r="K367">
        <v>264510.70899999997</v>
      </c>
      <c r="L367">
        <v>187.9555</v>
      </c>
      <c r="M367" s="3">
        <f t="shared" si="31"/>
        <v>-2.8999999980442226E-2</v>
      </c>
      <c r="N367" s="3">
        <f t="shared" si="31"/>
        <v>2.1299999905750155E-2</v>
      </c>
      <c r="O367" s="3">
        <f t="shared" si="27"/>
        <v>2.3166666666668334E-2</v>
      </c>
      <c r="P367">
        <f t="shared" si="28"/>
        <v>8.4099999886564909E-4</v>
      </c>
      <c r="Q367">
        <f t="shared" si="28"/>
        <v>4.5368999598495663E-4</v>
      </c>
      <c r="R367">
        <f t="shared" si="28"/>
        <v>5.3669444444452165E-4</v>
      </c>
      <c r="S367">
        <f t="shared" si="29"/>
        <v>1.2946899948506057E-3</v>
      </c>
      <c r="T367">
        <f t="shared" si="30"/>
        <v>3.5981800883927495E-2</v>
      </c>
    </row>
    <row r="368" spans="1:20" x14ac:dyDescent="0.3">
      <c r="A368" s="2" t="s">
        <v>1168</v>
      </c>
      <c r="B368" s="6" t="s">
        <v>1049</v>
      </c>
      <c r="C368" s="2" t="s">
        <v>20</v>
      </c>
      <c r="D368" s="2" t="s">
        <v>30</v>
      </c>
      <c r="E368" s="8">
        <v>442293.80559999991</v>
      </c>
      <c r="F368" s="8">
        <v>259127.98356666663</v>
      </c>
      <c r="G368" s="8">
        <v>258.75799999999998</v>
      </c>
      <c r="J368">
        <v>442293.80479999998</v>
      </c>
      <c r="K368">
        <v>259127.9865</v>
      </c>
      <c r="L368">
        <v>258.71570000000003</v>
      </c>
      <c r="M368" s="3">
        <f t="shared" si="31"/>
        <v>-7.9999992158263922E-4</v>
      </c>
      <c r="N368" s="3">
        <f t="shared" si="31"/>
        <v>2.9333333659451455E-3</v>
      </c>
      <c r="O368" s="3">
        <f t="shared" si="27"/>
        <v>4.2299999999954707E-2</v>
      </c>
      <c r="P368">
        <f t="shared" si="28"/>
        <v>6.399998745322289E-7</v>
      </c>
      <c r="Q368">
        <f t="shared" si="28"/>
        <v>8.604444635767076E-6</v>
      </c>
      <c r="R368">
        <f t="shared" si="28"/>
        <v>1.7892899999961682E-3</v>
      </c>
      <c r="S368">
        <f t="shared" si="29"/>
        <v>9.2444445102993049E-6</v>
      </c>
      <c r="T368">
        <f t="shared" si="30"/>
        <v>3.0404678110940928E-3</v>
      </c>
    </row>
    <row r="369" spans="1:20" x14ac:dyDescent="0.3">
      <c r="A369" s="2" t="s">
        <v>1168</v>
      </c>
      <c r="B369" s="6" t="s">
        <v>1049</v>
      </c>
      <c r="C369" s="2" t="s">
        <v>20</v>
      </c>
      <c r="D369" s="2" t="s">
        <v>21</v>
      </c>
      <c r="E369" s="8">
        <v>442293.80986666662</v>
      </c>
      <c r="F369" s="8">
        <v>259127.98739999998</v>
      </c>
      <c r="G369" s="8">
        <v>258.77066666666667</v>
      </c>
      <c r="J369">
        <v>442293.80479999998</v>
      </c>
      <c r="K369">
        <v>259127.9865</v>
      </c>
      <c r="L369">
        <v>258.71570000000003</v>
      </c>
      <c r="M369" s="3">
        <f t="shared" si="31"/>
        <v>-5.066666635684669E-3</v>
      </c>
      <c r="N369" s="3">
        <f t="shared" si="31"/>
        <v>-8.9999998454004526E-4</v>
      </c>
      <c r="O369" s="3">
        <f t="shared" si="27"/>
        <v>5.496666666664396E-2</v>
      </c>
      <c r="P369">
        <f t="shared" si="28"/>
        <v>2.5671110797160203E-5</v>
      </c>
      <c r="Q369">
        <f t="shared" si="28"/>
        <v>8.0999997217208171E-7</v>
      </c>
      <c r="R369">
        <f t="shared" si="28"/>
        <v>3.0213344444419482E-3</v>
      </c>
      <c r="S369">
        <f t="shared" si="29"/>
        <v>2.6481110769332284E-5</v>
      </c>
      <c r="T369">
        <f t="shared" si="30"/>
        <v>5.1459800591658229E-3</v>
      </c>
    </row>
    <row r="370" spans="1:20" x14ac:dyDescent="0.3">
      <c r="A370" s="2" t="s">
        <v>1168</v>
      </c>
      <c r="B370" s="6" t="s">
        <v>1050</v>
      </c>
      <c r="C370" s="2" t="s">
        <v>20</v>
      </c>
      <c r="D370" s="2" t="s">
        <v>110</v>
      </c>
      <c r="E370" s="8">
        <v>442293.79846666666</v>
      </c>
      <c r="F370" s="8">
        <v>259127.98953333334</v>
      </c>
      <c r="G370" s="8">
        <v>258.77299999999997</v>
      </c>
      <c r="J370">
        <v>442293.80479999998</v>
      </c>
      <c r="K370">
        <v>259127.9865</v>
      </c>
      <c r="L370">
        <v>258.71570000000003</v>
      </c>
      <c r="M370" s="3">
        <f t="shared" si="31"/>
        <v>6.3333333237096667E-3</v>
      </c>
      <c r="N370" s="3">
        <f t="shared" si="31"/>
        <v>-3.0333333415910602E-3</v>
      </c>
      <c r="O370" s="3">
        <f t="shared" si="27"/>
        <v>5.7299999999941065E-2</v>
      </c>
      <c r="P370">
        <f t="shared" si="28"/>
        <v>4.0111110989211334E-5</v>
      </c>
      <c r="Q370">
        <f t="shared" si="28"/>
        <v>9.2011111612079873E-6</v>
      </c>
      <c r="R370">
        <f t="shared" si="28"/>
        <v>3.2832899999932462E-3</v>
      </c>
      <c r="S370">
        <f t="shared" si="29"/>
        <v>4.9312222150419321E-5</v>
      </c>
      <c r="T370">
        <f t="shared" si="30"/>
        <v>7.0222661691521863E-3</v>
      </c>
    </row>
    <row r="371" spans="1:20" x14ac:dyDescent="0.3">
      <c r="A371" s="2" t="s">
        <v>1168</v>
      </c>
      <c r="B371" s="6" t="s">
        <v>1050</v>
      </c>
      <c r="C371" s="2" t="s">
        <v>20</v>
      </c>
      <c r="D371" s="2" t="s">
        <v>37</v>
      </c>
      <c r="E371" s="8">
        <v>442293.8042666667</v>
      </c>
      <c r="F371" s="8">
        <v>259127.99806666665</v>
      </c>
      <c r="G371" s="8">
        <v>258.73833333333329</v>
      </c>
      <c r="J371">
        <v>442293.80479999998</v>
      </c>
      <c r="K371">
        <v>259127.9865</v>
      </c>
      <c r="L371">
        <v>258.71570000000003</v>
      </c>
      <c r="M371" s="3">
        <f t="shared" si="31"/>
        <v>5.3333328105509281E-4</v>
      </c>
      <c r="N371" s="3">
        <f t="shared" si="31"/>
        <v>-1.1566666653379798E-2</v>
      </c>
      <c r="O371" s="3">
        <f t="shared" si="27"/>
        <v>2.2633333333260452E-2</v>
      </c>
      <c r="P371">
        <f t="shared" si="28"/>
        <v>2.8444438868099062E-7</v>
      </c>
      <c r="Q371">
        <f t="shared" si="28"/>
        <v>1.3378777747040821E-4</v>
      </c>
      <c r="R371">
        <f t="shared" si="28"/>
        <v>5.1226777777447867E-4</v>
      </c>
      <c r="S371">
        <f t="shared" si="29"/>
        <v>1.3407222185908921E-4</v>
      </c>
      <c r="T371">
        <f t="shared" si="30"/>
        <v>1.1578955991758894E-2</v>
      </c>
    </row>
    <row r="372" spans="1:20" x14ac:dyDescent="0.3">
      <c r="A372" s="2" t="s">
        <v>1168</v>
      </c>
      <c r="B372" s="6" t="s">
        <v>1050</v>
      </c>
      <c r="C372" s="2" t="s">
        <v>20</v>
      </c>
      <c r="D372" s="2" t="s">
        <v>46</v>
      </c>
      <c r="E372" s="8">
        <v>442293.80826666666</v>
      </c>
      <c r="F372" s="8">
        <v>259127.99586666666</v>
      </c>
      <c r="G372" s="8">
        <v>258.75633333333332</v>
      </c>
      <c r="J372">
        <v>442293.80479999998</v>
      </c>
      <c r="K372">
        <v>259127.9865</v>
      </c>
      <c r="L372">
        <v>258.71570000000003</v>
      </c>
      <c r="M372" s="3">
        <f t="shared" si="31"/>
        <v>-3.4666666761040688E-3</v>
      </c>
      <c r="N372" s="3">
        <f t="shared" si="31"/>
        <v>-9.3666666653007269E-3</v>
      </c>
      <c r="O372" s="3">
        <f t="shared" si="27"/>
        <v>4.0633333333289556E-2</v>
      </c>
      <c r="P372">
        <f t="shared" si="28"/>
        <v>1.2017777843210432E-5</v>
      </c>
      <c r="Q372">
        <f t="shared" si="28"/>
        <v>8.7734444418855839E-5</v>
      </c>
      <c r="R372">
        <f t="shared" si="28"/>
        <v>1.6510677777742202E-3</v>
      </c>
      <c r="S372">
        <f t="shared" si="29"/>
        <v>9.9752222262066272E-5</v>
      </c>
      <c r="T372">
        <f t="shared" si="30"/>
        <v>9.9876034293551255E-3</v>
      </c>
    </row>
    <row r="373" spans="1:20" x14ac:dyDescent="0.3">
      <c r="A373" s="2" t="s">
        <v>1168</v>
      </c>
      <c r="B373" s="6" t="s">
        <v>1050</v>
      </c>
      <c r="C373" s="2" t="s">
        <v>51</v>
      </c>
      <c r="D373" s="2" t="s">
        <v>63</v>
      </c>
      <c r="E373" s="8">
        <v>442293.79900000006</v>
      </c>
      <c r="F373" s="8">
        <v>259127.99373333334</v>
      </c>
      <c r="G373" s="8">
        <v>258.71533333333332</v>
      </c>
      <c r="J373">
        <v>442293.80479999998</v>
      </c>
      <c r="K373">
        <v>259127.9865</v>
      </c>
      <c r="L373">
        <v>258.71570000000003</v>
      </c>
      <c r="M373" s="3">
        <f t="shared" si="31"/>
        <v>5.7999999262392521E-3</v>
      </c>
      <c r="N373" s="3">
        <f t="shared" si="31"/>
        <v>-7.2333333373535424E-3</v>
      </c>
      <c r="O373" s="3">
        <f t="shared" si="27"/>
        <v>3.6666666670726045E-4</v>
      </c>
      <c r="P373">
        <f t="shared" si="28"/>
        <v>3.363999914437533E-5</v>
      </c>
      <c r="Q373">
        <f t="shared" si="28"/>
        <v>5.2321111169270135E-5</v>
      </c>
      <c r="R373">
        <f t="shared" si="28"/>
        <v>1.3444444447421323E-7</v>
      </c>
      <c r="S373">
        <f t="shared" si="29"/>
        <v>8.5961110313645465E-5</v>
      </c>
      <c r="T373">
        <f t="shared" si="30"/>
        <v>9.2715214670325528E-3</v>
      </c>
    </row>
    <row r="374" spans="1:20" x14ac:dyDescent="0.3">
      <c r="A374" s="2" t="s">
        <v>1168</v>
      </c>
      <c r="B374" s="6" t="s">
        <v>1050</v>
      </c>
      <c r="C374" s="2" t="s">
        <v>51</v>
      </c>
      <c r="D374" s="2" t="s">
        <v>30</v>
      </c>
      <c r="E374" s="8">
        <v>442293.81469999999</v>
      </c>
      <c r="F374" s="8">
        <v>259127.98806666667</v>
      </c>
      <c r="G374" s="8">
        <v>258.70666666666665</v>
      </c>
      <c r="J374">
        <v>442293.80479999998</v>
      </c>
      <c r="K374">
        <v>259127.9865</v>
      </c>
      <c r="L374">
        <v>258.71570000000003</v>
      </c>
      <c r="M374" s="3">
        <f t="shared" si="31"/>
        <v>-9.9000000045634806E-3</v>
      </c>
      <c r="N374" s="3">
        <f t="shared" si="31"/>
        <v>-1.5666666731704026E-3</v>
      </c>
      <c r="O374" s="3">
        <f t="shared" si="27"/>
        <v>9.0333333333774135E-3</v>
      </c>
      <c r="P374">
        <f t="shared" si="28"/>
        <v>9.8010000090356913E-5</v>
      </c>
      <c r="Q374">
        <f t="shared" si="28"/>
        <v>2.4544444648228172E-6</v>
      </c>
      <c r="R374">
        <f t="shared" si="28"/>
        <v>8.1601111111907496E-5</v>
      </c>
      <c r="S374">
        <f t="shared" si="29"/>
        <v>1.0046444455517973E-4</v>
      </c>
      <c r="T374">
        <f t="shared" si="30"/>
        <v>1.0023195326600181E-2</v>
      </c>
    </row>
    <row r="375" spans="1:20" x14ac:dyDescent="0.3">
      <c r="A375" s="2" t="s">
        <v>1168</v>
      </c>
      <c r="B375" s="6" t="s">
        <v>1050</v>
      </c>
      <c r="C375" s="2" t="s">
        <v>51</v>
      </c>
      <c r="D375" s="2" t="s">
        <v>52</v>
      </c>
      <c r="E375" s="8">
        <v>442293.81226666667</v>
      </c>
      <c r="F375" s="8">
        <v>259127.99023333334</v>
      </c>
      <c r="G375" s="8">
        <v>258.72033333333337</v>
      </c>
      <c r="J375">
        <v>442293.80479999998</v>
      </c>
      <c r="K375">
        <v>259127.9865</v>
      </c>
      <c r="L375">
        <v>258.71570000000003</v>
      </c>
      <c r="M375" s="3">
        <f t="shared" si="31"/>
        <v>-7.4666666914708912E-3</v>
      </c>
      <c r="N375" s="3">
        <f t="shared" si="31"/>
        <v>-3.7333333457354456E-3</v>
      </c>
      <c r="O375" s="3">
        <f t="shared" si="27"/>
        <v>4.6333333333450355E-3</v>
      </c>
      <c r="P375">
        <f t="shared" si="28"/>
        <v>5.5751111481520862E-5</v>
      </c>
      <c r="Q375">
        <f t="shared" si="28"/>
        <v>1.3937777870380215E-5</v>
      </c>
      <c r="R375">
        <f t="shared" si="28"/>
        <v>2.1467777777886217E-5</v>
      </c>
      <c r="S375">
        <f t="shared" si="29"/>
        <v>6.9688889351901084E-5</v>
      </c>
      <c r="T375">
        <f t="shared" si="30"/>
        <v>8.3479871437311809E-3</v>
      </c>
    </row>
    <row r="376" spans="1:20" x14ac:dyDescent="0.3">
      <c r="A376" s="2" t="s">
        <v>1168</v>
      </c>
      <c r="B376" s="6" t="s">
        <v>1051</v>
      </c>
      <c r="C376" s="2" t="s">
        <v>20</v>
      </c>
      <c r="D376" s="2" t="s">
        <v>30</v>
      </c>
      <c r="E376" s="8">
        <v>447703.56340000004</v>
      </c>
      <c r="F376" s="8">
        <v>235293.48500000002</v>
      </c>
      <c r="G376" s="8">
        <v>112.111</v>
      </c>
      <c r="J376">
        <v>447703.56449999998</v>
      </c>
      <c r="K376">
        <v>235293.47459999999</v>
      </c>
      <c r="L376">
        <v>112.1345</v>
      </c>
      <c r="M376" s="3">
        <f t="shared" si="31"/>
        <v>1.0999999358318746E-3</v>
      </c>
      <c r="N376" s="3">
        <f t="shared" si="31"/>
        <v>-1.0400000028312206E-2</v>
      </c>
      <c r="O376" s="3">
        <f t="shared" si="27"/>
        <v>2.3499999999998522E-2</v>
      </c>
      <c r="P376">
        <f t="shared" si="28"/>
        <v>1.2099998588301283E-6</v>
      </c>
      <c r="Q376">
        <f t="shared" si="28"/>
        <v>1.0816000058889389E-4</v>
      </c>
      <c r="R376">
        <f t="shared" si="28"/>
        <v>5.5224999999993051E-4</v>
      </c>
      <c r="S376">
        <f t="shared" si="29"/>
        <v>1.0937000044772402E-4</v>
      </c>
      <c r="T376">
        <f t="shared" si="30"/>
        <v>1.0458011304627856E-2</v>
      </c>
    </row>
    <row r="377" spans="1:20" x14ac:dyDescent="0.3">
      <c r="A377" s="2" t="s">
        <v>1168</v>
      </c>
      <c r="B377" s="6" t="s">
        <v>1051</v>
      </c>
      <c r="C377" s="2" t="s">
        <v>20</v>
      </c>
      <c r="D377" s="2" t="s">
        <v>21</v>
      </c>
      <c r="E377" s="8">
        <v>447703.56949999998</v>
      </c>
      <c r="F377" s="8">
        <v>235293.48259999999</v>
      </c>
      <c r="G377" s="8">
        <v>112.11266666666666</v>
      </c>
      <c r="J377">
        <v>447703.56449999998</v>
      </c>
      <c r="K377">
        <v>235293.47459999999</v>
      </c>
      <c r="L377">
        <v>112.1345</v>
      </c>
      <c r="M377" s="3">
        <f t="shared" si="31"/>
        <v>-5.0000000046566129E-3</v>
      </c>
      <c r="N377" s="3">
        <f t="shared" si="31"/>
        <v>-8.0000000016298145E-3</v>
      </c>
      <c r="O377" s="3">
        <f t="shared" si="27"/>
        <v>2.1833333333347582E-2</v>
      </c>
      <c r="P377">
        <f t="shared" si="28"/>
        <v>2.5000000046566129E-5</v>
      </c>
      <c r="Q377">
        <f t="shared" si="28"/>
        <v>6.4000000026077038E-5</v>
      </c>
      <c r="R377">
        <f t="shared" si="28"/>
        <v>4.7669444444506663E-4</v>
      </c>
      <c r="S377">
        <f t="shared" si="29"/>
        <v>8.9000000072643167E-5</v>
      </c>
      <c r="T377">
        <f t="shared" si="30"/>
        <v>9.4339811359066845E-3</v>
      </c>
    </row>
    <row r="378" spans="1:20" x14ac:dyDescent="0.3">
      <c r="A378" s="2" t="s">
        <v>1168</v>
      </c>
      <c r="B378" s="6" t="s">
        <v>1052</v>
      </c>
      <c r="C378" s="2" t="s">
        <v>20</v>
      </c>
      <c r="D378" s="2" t="s">
        <v>110</v>
      </c>
      <c r="E378" s="8">
        <v>447703.57183333329</v>
      </c>
      <c r="F378" s="8">
        <v>235293.4798</v>
      </c>
      <c r="G378" s="8">
        <v>112.10733333333333</v>
      </c>
      <c r="J378">
        <v>447703.56449999998</v>
      </c>
      <c r="K378">
        <v>235293.47459999999</v>
      </c>
      <c r="L378">
        <v>112.1345</v>
      </c>
      <c r="M378" s="3">
        <f t="shared" si="31"/>
        <v>-7.3333333129994571E-3</v>
      </c>
      <c r="N378" s="3">
        <f t="shared" si="31"/>
        <v>-5.2000000141561031E-3</v>
      </c>
      <c r="O378" s="3">
        <f t="shared" si="27"/>
        <v>2.7166666666673223E-2</v>
      </c>
      <c r="P378">
        <f t="shared" si="28"/>
        <v>5.377777747954759E-5</v>
      </c>
      <c r="Q378">
        <f t="shared" si="28"/>
        <v>2.7040000147223473E-5</v>
      </c>
      <c r="R378">
        <f t="shared" si="28"/>
        <v>7.3802777777813393E-4</v>
      </c>
      <c r="S378">
        <f t="shared" si="29"/>
        <v>8.0817777626771063E-5</v>
      </c>
      <c r="T378">
        <f t="shared" si="30"/>
        <v>8.9898708348213254E-3</v>
      </c>
    </row>
    <row r="379" spans="1:20" x14ac:dyDescent="0.3">
      <c r="A379" s="2" t="s">
        <v>1168</v>
      </c>
      <c r="B379" s="6" t="s">
        <v>1052</v>
      </c>
      <c r="C379" s="2" t="s">
        <v>20</v>
      </c>
      <c r="D379" s="2" t="s">
        <v>37</v>
      </c>
      <c r="E379" s="8">
        <v>447703.56926666666</v>
      </c>
      <c r="F379" s="8">
        <v>235293.49479999999</v>
      </c>
      <c r="G379" s="8">
        <v>112.09266666666667</v>
      </c>
      <c r="J379">
        <v>447703.56449999998</v>
      </c>
      <c r="K379">
        <v>235293.47459999999</v>
      </c>
      <c r="L379">
        <v>112.1345</v>
      </c>
      <c r="M379" s="3">
        <f t="shared" si="31"/>
        <v>-4.7666666796430945E-3</v>
      </c>
      <c r="N379" s="3">
        <f t="shared" si="31"/>
        <v>-2.0199999999022111E-2</v>
      </c>
      <c r="O379" s="3">
        <f t="shared" si="27"/>
        <v>4.1833333333329392E-2</v>
      </c>
      <c r="P379">
        <f t="shared" si="28"/>
        <v>2.2721111234819724E-5</v>
      </c>
      <c r="Q379">
        <f t="shared" si="28"/>
        <v>4.0803999996049328E-4</v>
      </c>
      <c r="R379">
        <f t="shared" si="28"/>
        <v>1.7500277777774481E-3</v>
      </c>
      <c r="S379">
        <f t="shared" si="29"/>
        <v>4.3076111119531299E-4</v>
      </c>
      <c r="T379">
        <f t="shared" si="30"/>
        <v>2.0754785260158993E-2</v>
      </c>
    </row>
    <row r="380" spans="1:20" x14ac:dyDescent="0.3">
      <c r="A380" s="2" t="s">
        <v>1168</v>
      </c>
      <c r="B380" s="6" t="s">
        <v>1052</v>
      </c>
      <c r="C380" s="2" t="s">
        <v>20</v>
      </c>
      <c r="D380" s="2" t="s">
        <v>46</v>
      </c>
      <c r="E380" s="8">
        <v>447703.57886666665</v>
      </c>
      <c r="F380" s="8">
        <v>235293.48800000001</v>
      </c>
      <c r="G380" s="8">
        <v>112.09699999999999</v>
      </c>
      <c r="J380">
        <v>447703.56449999998</v>
      </c>
      <c r="K380">
        <v>235293.47459999999</v>
      </c>
      <c r="L380">
        <v>112.1345</v>
      </c>
      <c r="M380" s="3">
        <f t="shared" si="31"/>
        <v>-1.436666666995734E-2</v>
      </c>
      <c r="N380" s="3">
        <f t="shared" si="31"/>
        <v>-1.3400000025285408E-2</v>
      </c>
      <c r="O380" s="3">
        <f t="shared" si="27"/>
        <v>3.7500000000008527E-2</v>
      </c>
      <c r="P380">
        <f t="shared" si="28"/>
        <v>2.064011112056631E-4</v>
      </c>
      <c r="Q380">
        <f t="shared" si="28"/>
        <v>1.7956000067764893E-4</v>
      </c>
      <c r="R380">
        <f t="shared" si="28"/>
        <v>1.4062500000006394E-3</v>
      </c>
      <c r="S380">
        <f t="shared" si="29"/>
        <v>3.8596111188331206E-4</v>
      </c>
      <c r="T380">
        <f t="shared" si="30"/>
        <v>1.9645893002948785E-2</v>
      </c>
    </row>
    <row r="381" spans="1:20" x14ac:dyDescent="0.3">
      <c r="A381" s="2" t="s">
        <v>1168</v>
      </c>
      <c r="B381" s="6" t="s">
        <v>1052</v>
      </c>
      <c r="C381" s="2" t="s">
        <v>51</v>
      </c>
      <c r="D381" s="2" t="s">
        <v>63</v>
      </c>
      <c r="E381" s="8">
        <v>447703.56689999998</v>
      </c>
      <c r="F381" s="8">
        <v>235293.48523333334</v>
      </c>
      <c r="G381" s="8">
        <v>112.09699999999999</v>
      </c>
      <c r="J381">
        <v>447703.56449999998</v>
      </c>
      <c r="K381">
        <v>235293.47459999999</v>
      </c>
      <c r="L381">
        <v>112.1345</v>
      </c>
      <c r="M381" s="3">
        <f t="shared" si="31"/>
        <v>-2.3999999975785613E-3</v>
      </c>
      <c r="N381" s="3">
        <f t="shared" si="31"/>
        <v>-1.0633333353325725E-2</v>
      </c>
      <c r="O381" s="3">
        <f t="shared" si="27"/>
        <v>3.7500000000008527E-2</v>
      </c>
      <c r="P381">
        <f t="shared" si="28"/>
        <v>5.7599999883770943E-6</v>
      </c>
      <c r="Q381">
        <f t="shared" si="28"/>
        <v>1.130677782029493E-4</v>
      </c>
      <c r="R381">
        <f t="shared" si="28"/>
        <v>1.4062500000006394E-3</v>
      </c>
      <c r="S381">
        <f t="shared" si="29"/>
        <v>1.1882777819132639E-4</v>
      </c>
      <c r="T381">
        <f t="shared" si="30"/>
        <v>1.0900815482858445E-2</v>
      </c>
    </row>
    <row r="382" spans="1:20" x14ac:dyDescent="0.3">
      <c r="A382" s="2" t="s">
        <v>1168</v>
      </c>
      <c r="B382" s="6" t="s">
        <v>1052</v>
      </c>
      <c r="C382" s="2" t="s">
        <v>51</v>
      </c>
      <c r="D382" s="2" t="s">
        <v>30</v>
      </c>
      <c r="E382" s="8">
        <v>447703.56626666663</v>
      </c>
      <c r="F382" s="8">
        <v>235293.47843333334</v>
      </c>
      <c r="G382" s="8">
        <v>112.11033333333334</v>
      </c>
      <c r="J382">
        <v>447703.56449999998</v>
      </c>
      <c r="K382">
        <v>235293.47459999999</v>
      </c>
      <c r="L382">
        <v>112.1345</v>
      </c>
      <c r="M382" s="3">
        <f t="shared" si="31"/>
        <v>-1.7666666535660625E-3</v>
      </c>
      <c r="N382" s="3">
        <f t="shared" si="31"/>
        <v>-3.8333333504851907E-3</v>
      </c>
      <c r="O382" s="3">
        <f t="shared" si="27"/>
        <v>2.4166666666658898E-2</v>
      </c>
      <c r="P382">
        <f t="shared" si="28"/>
        <v>3.1211110648223097E-6</v>
      </c>
      <c r="Q382">
        <f t="shared" si="28"/>
        <v>1.4694444575942017E-5</v>
      </c>
      <c r="R382">
        <f t="shared" si="28"/>
        <v>5.8402777777740225E-4</v>
      </c>
      <c r="S382">
        <f t="shared" si="29"/>
        <v>1.7815555640764327E-5</v>
      </c>
      <c r="T382">
        <f t="shared" si="30"/>
        <v>4.2208477395855358E-3</v>
      </c>
    </row>
    <row r="383" spans="1:20" x14ac:dyDescent="0.3">
      <c r="A383" s="2" t="s">
        <v>1168</v>
      </c>
      <c r="B383" s="6" t="s">
        <v>1052</v>
      </c>
      <c r="C383" s="2" t="s">
        <v>51</v>
      </c>
      <c r="D383" s="2" t="s">
        <v>52</v>
      </c>
      <c r="E383" s="8">
        <v>447703.57590000005</v>
      </c>
      <c r="F383" s="8">
        <v>235293.48906666669</v>
      </c>
      <c r="G383" s="8">
        <v>112.11399999999999</v>
      </c>
      <c r="J383">
        <v>447703.56449999998</v>
      </c>
      <c r="K383">
        <v>235293.47459999999</v>
      </c>
      <c r="L383">
        <v>112.1345</v>
      </c>
      <c r="M383" s="3">
        <f t="shared" si="31"/>
        <v>-1.1400000075809658E-2</v>
      </c>
      <c r="N383" s="3">
        <f t="shared" si="31"/>
        <v>-1.4466666703810915E-2</v>
      </c>
      <c r="O383" s="3">
        <f t="shared" si="27"/>
        <v>2.0500000000012619E-2</v>
      </c>
      <c r="P383">
        <f t="shared" si="28"/>
        <v>1.2996000172846018E-4</v>
      </c>
      <c r="Q383">
        <f t="shared" si="28"/>
        <v>2.0928444551915137E-4</v>
      </c>
      <c r="R383">
        <f t="shared" si="28"/>
        <v>4.2025000000051738E-4</v>
      </c>
      <c r="S383">
        <f t="shared" si="29"/>
        <v>3.3924444724761155E-4</v>
      </c>
      <c r="T383">
        <f t="shared" si="30"/>
        <v>1.8418589719292069E-2</v>
      </c>
    </row>
    <row r="384" spans="1:20" x14ac:dyDescent="0.3">
      <c r="A384" s="2" t="s">
        <v>1168</v>
      </c>
      <c r="B384" s="6" t="s">
        <v>1052</v>
      </c>
      <c r="C384" s="2" t="s">
        <v>422</v>
      </c>
      <c r="D384" s="2" t="s">
        <v>423</v>
      </c>
      <c r="E384" s="8">
        <v>447703.58323333337</v>
      </c>
      <c r="F384" s="8">
        <v>235293.50543333334</v>
      </c>
      <c r="G384" s="8">
        <v>112.19733333333333</v>
      </c>
      <c r="J384">
        <v>447703.56449999998</v>
      </c>
      <c r="K384">
        <v>235293.47459999999</v>
      </c>
      <c r="L384">
        <v>112.1345</v>
      </c>
      <c r="M384" s="3">
        <f t="shared" si="31"/>
        <v>-1.8733333388809115E-2</v>
      </c>
      <c r="N384" s="3">
        <f t="shared" si="31"/>
        <v>-3.0833333352347836E-2</v>
      </c>
      <c r="O384" s="3">
        <f t="shared" si="27"/>
        <v>6.2833333333330188E-2</v>
      </c>
      <c r="P384">
        <f t="shared" si="28"/>
        <v>3.5093777985627039E-4</v>
      </c>
      <c r="Q384">
        <f t="shared" si="28"/>
        <v>9.506944456170054E-4</v>
      </c>
      <c r="R384">
        <f t="shared" si="28"/>
        <v>3.9480277777773822E-3</v>
      </c>
      <c r="S384">
        <f t="shared" si="29"/>
        <v>1.3016322254732757E-3</v>
      </c>
      <c r="T384">
        <f t="shared" si="30"/>
        <v>3.6078140548998307E-2</v>
      </c>
    </row>
    <row r="385" spans="1:20" x14ac:dyDescent="0.3">
      <c r="A385" s="2" t="s">
        <v>1168</v>
      </c>
      <c r="B385" s="6" t="s">
        <v>1053</v>
      </c>
      <c r="C385" s="2" t="s">
        <v>20</v>
      </c>
      <c r="D385" s="2" t="s">
        <v>30</v>
      </c>
      <c r="E385" s="8">
        <v>444626.24523333338</v>
      </c>
      <c r="F385" s="8">
        <v>225644.57816666667</v>
      </c>
      <c r="G385" s="8">
        <v>68.440666666666672</v>
      </c>
      <c r="J385">
        <v>444626.23670000001</v>
      </c>
      <c r="K385">
        <v>225644.56159999999</v>
      </c>
      <c r="L385">
        <v>68.438800000000001</v>
      </c>
      <c r="M385" s="3">
        <f t="shared" si="31"/>
        <v>-8.5333333699963987E-3</v>
      </c>
      <c r="N385" s="3">
        <f t="shared" si="31"/>
        <v>-1.6566666687140241E-2</v>
      </c>
      <c r="O385" s="3">
        <f t="shared" si="27"/>
        <v>1.8666666666717902E-3</v>
      </c>
      <c r="P385">
        <f t="shared" si="28"/>
        <v>7.2817778403494091E-5</v>
      </c>
      <c r="Q385">
        <f t="shared" si="28"/>
        <v>2.7445444512280221E-4</v>
      </c>
      <c r="R385">
        <f t="shared" si="28"/>
        <v>3.4844444444635721E-6</v>
      </c>
      <c r="S385">
        <f t="shared" si="29"/>
        <v>3.472722235262963E-4</v>
      </c>
      <c r="T385">
        <f t="shared" si="30"/>
        <v>1.8635241439978616E-2</v>
      </c>
    </row>
    <row r="386" spans="1:20" x14ac:dyDescent="0.3">
      <c r="A386" s="2" t="s">
        <v>1168</v>
      </c>
      <c r="B386" s="6" t="s">
        <v>1053</v>
      </c>
      <c r="C386" s="2" t="s">
        <v>20</v>
      </c>
      <c r="D386" s="2" t="s">
        <v>21</v>
      </c>
      <c r="E386" s="8">
        <v>444626.2624666667</v>
      </c>
      <c r="F386" s="8">
        <v>225644.5858</v>
      </c>
      <c r="G386" s="8">
        <v>68.414333333333332</v>
      </c>
      <c r="J386">
        <v>444626.23670000001</v>
      </c>
      <c r="K386">
        <v>225644.56159999999</v>
      </c>
      <c r="L386">
        <v>68.438800000000001</v>
      </c>
      <c r="M386" s="3">
        <f t="shared" si="31"/>
        <v>-2.5766666687559336E-2</v>
      </c>
      <c r="N386" s="3">
        <f t="shared" si="31"/>
        <v>-2.4200000014388934E-2</v>
      </c>
      <c r="O386" s="3">
        <f t="shared" si="27"/>
        <v>2.4466666666668857E-2</v>
      </c>
      <c r="P386">
        <f t="shared" si="28"/>
        <v>6.6392111218778005E-4</v>
      </c>
      <c r="Q386">
        <f t="shared" si="28"/>
        <v>5.8564000069642437E-4</v>
      </c>
      <c r="R386">
        <f t="shared" si="28"/>
        <v>5.9861777777788492E-4</v>
      </c>
      <c r="S386">
        <f t="shared" si="29"/>
        <v>1.2495611128842043E-3</v>
      </c>
      <c r="T386">
        <f t="shared" si="30"/>
        <v>3.5349131713299613E-2</v>
      </c>
    </row>
    <row r="387" spans="1:20" x14ac:dyDescent="0.3">
      <c r="A387" s="2" t="s">
        <v>1168</v>
      </c>
      <c r="B387" s="6" t="s">
        <v>1054</v>
      </c>
      <c r="C387" s="2" t="s">
        <v>20</v>
      </c>
      <c r="D387" s="2" t="s">
        <v>37</v>
      </c>
      <c r="E387" s="8">
        <v>444626.23546666669</v>
      </c>
      <c r="F387" s="8">
        <v>225644.58106666667</v>
      </c>
      <c r="G387" s="8">
        <v>68.412666666666667</v>
      </c>
      <c r="J387">
        <v>444626.23670000001</v>
      </c>
      <c r="K387">
        <v>225644.56159999999</v>
      </c>
      <c r="L387">
        <v>68.438800000000001</v>
      </c>
      <c r="M387" s="3">
        <f t="shared" si="31"/>
        <v>1.2333333143033087E-3</v>
      </c>
      <c r="N387" s="3">
        <f t="shared" si="31"/>
        <v>-1.9466666679363698E-2</v>
      </c>
      <c r="O387" s="3">
        <f t="shared" ref="O387:O450" si="32">ABS(L387-G387)</f>
        <v>2.6133333333334008E-2</v>
      </c>
      <c r="P387">
        <f t="shared" ref="P387:R450" si="33">POWER(M387,2)</f>
        <v>1.5211110641703841E-6</v>
      </c>
      <c r="Q387">
        <f t="shared" si="33"/>
        <v>3.7895111160544888E-4</v>
      </c>
      <c r="R387">
        <f t="shared" si="33"/>
        <v>6.8295111111114633E-4</v>
      </c>
      <c r="S387">
        <f t="shared" ref="S387:S450" si="34">P387+Q387</f>
        <v>3.8047222266961926E-4</v>
      </c>
      <c r="T387">
        <f t="shared" ref="T387:T450" si="35">SQRT(S387)</f>
        <v>1.9505697184915471E-2</v>
      </c>
    </row>
    <row r="388" spans="1:20" x14ac:dyDescent="0.3">
      <c r="A388" s="2" t="s">
        <v>1168</v>
      </c>
      <c r="B388" s="6" t="s">
        <v>1054</v>
      </c>
      <c r="C388" s="2" t="s">
        <v>20</v>
      </c>
      <c r="D388" s="2" t="s">
        <v>46</v>
      </c>
      <c r="E388" s="8">
        <v>444626.23556666664</v>
      </c>
      <c r="F388" s="8">
        <v>225644.58043333332</v>
      </c>
      <c r="G388" s="8">
        <v>68.410333333333327</v>
      </c>
      <c r="J388">
        <v>444626.23670000001</v>
      </c>
      <c r="K388">
        <v>225644.56159999999</v>
      </c>
      <c r="L388">
        <v>68.438800000000001</v>
      </c>
      <c r="M388" s="3">
        <f t="shared" si="31"/>
        <v>1.1333333677612245E-3</v>
      </c>
      <c r="N388" s="3">
        <f t="shared" si="31"/>
        <v>-1.8833333335351199E-2</v>
      </c>
      <c r="O388" s="3">
        <f t="shared" si="32"/>
        <v>2.8466666666673746E-2</v>
      </c>
      <c r="P388">
        <f t="shared" si="33"/>
        <v>1.284444522480999E-6</v>
      </c>
      <c r="Q388">
        <f t="shared" si="33"/>
        <v>3.5469444452045074E-4</v>
      </c>
      <c r="R388">
        <f t="shared" si="33"/>
        <v>8.1035111111151415E-4</v>
      </c>
      <c r="S388">
        <f t="shared" si="34"/>
        <v>3.5597888904293173E-4</v>
      </c>
      <c r="T388">
        <f t="shared" si="35"/>
        <v>1.8867402816575781E-2</v>
      </c>
    </row>
    <row r="389" spans="1:20" x14ac:dyDescent="0.3">
      <c r="A389" s="2" t="s">
        <v>1168</v>
      </c>
      <c r="B389" s="6" t="s">
        <v>1054</v>
      </c>
      <c r="C389" s="2" t="s">
        <v>51</v>
      </c>
      <c r="D389" s="2" t="s">
        <v>63</v>
      </c>
      <c r="E389" s="8">
        <v>444626.24273333332</v>
      </c>
      <c r="F389" s="8">
        <v>225644.58053333333</v>
      </c>
      <c r="G389" s="8">
        <v>68.403000000000006</v>
      </c>
      <c r="J389">
        <v>444626.23670000001</v>
      </c>
      <c r="K389">
        <v>225644.56159999999</v>
      </c>
      <c r="L389">
        <v>68.438800000000001</v>
      </c>
      <c r="M389" s="3">
        <f t="shared" si="31"/>
        <v>-6.0333333094604313E-3</v>
      </c>
      <c r="N389" s="3">
        <f t="shared" si="31"/>
        <v>-1.8933333340100944E-2</v>
      </c>
      <c r="O389" s="3">
        <f t="shared" si="32"/>
        <v>3.5799999999994725E-2</v>
      </c>
      <c r="P389">
        <f t="shared" si="33"/>
        <v>3.6401110823044758E-5</v>
      </c>
      <c r="Q389">
        <f t="shared" si="33"/>
        <v>3.5847111136737796E-4</v>
      </c>
      <c r="R389">
        <f t="shared" si="33"/>
        <v>1.2816399999996224E-3</v>
      </c>
      <c r="S389">
        <f t="shared" si="34"/>
        <v>3.9487222219042274E-4</v>
      </c>
      <c r="T389">
        <f t="shared" si="35"/>
        <v>1.9871392054670523E-2</v>
      </c>
    </row>
    <row r="390" spans="1:20" x14ac:dyDescent="0.3">
      <c r="A390" s="2" t="s">
        <v>1168</v>
      </c>
      <c r="B390" s="6" t="s">
        <v>1054</v>
      </c>
      <c r="C390" s="2" t="s">
        <v>51</v>
      </c>
      <c r="D390" s="2" t="s">
        <v>30</v>
      </c>
      <c r="E390" s="8">
        <v>444626.24183333333</v>
      </c>
      <c r="F390" s="8">
        <v>225644.57093333337</v>
      </c>
      <c r="G390" s="8">
        <v>68.408000000000001</v>
      </c>
      <c r="J390">
        <v>444626.23670000001</v>
      </c>
      <c r="K390">
        <v>225644.56159999999</v>
      </c>
      <c r="L390">
        <v>68.438800000000001</v>
      </c>
      <c r="M390" s="3">
        <f t="shared" si="31"/>
        <v>-5.1333333249203861E-3</v>
      </c>
      <c r="N390" s="3">
        <f t="shared" si="31"/>
        <v>-9.3333333788905293E-3</v>
      </c>
      <c r="O390" s="3">
        <f t="shared" si="32"/>
        <v>3.0799999999999272E-2</v>
      </c>
      <c r="P390">
        <f t="shared" si="33"/>
        <v>2.6351111024738186E-5</v>
      </c>
      <c r="Q390">
        <f t="shared" si="33"/>
        <v>8.711111196151211E-5</v>
      </c>
      <c r="R390">
        <f t="shared" si="33"/>
        <v>9.4863999999995517E-4</v>
      </c>
      <c r="S390">
        <f t="shared" si="34"/>
        <v>1.1346222298625029E-4</v>
      </c>
      <c r="T390">
        <f t="shared" si="35"/>
        <v>1.0651864765676021E-2</v>
      </c>
    </row>
    <row r="391" spans="1:20" x14ac:dyDescent="0.3">
      <c r="A391" s="2" t="s">
        <v>1168</v>
      </c>
      <c r="B391" s="6" t="s">
        <v>1054</v>
      </c>
      <c r="C391" s="2" t="s">
        <v>51</v>
      </c>
      <c r="D391" s="2" t="s">
        <v>52</v>
      </c>
      <c r="E391" s="8">
        <v>444626.2352</v>
      </c>
      <c r="F391" s="8">
        <v>225644.57219999997</v>
      </c>
      <c r="G391" s="8">
        <v>68.433666666666667</v>
      </c>
      <c r="J391">
        <v>444626.23670000001</v>
      </c>
      <c r="K391">
        <v>225644.56159999999</v>
      </c>
      <c r="L391">
        <v>68.438800000000001</v>
      </c>
      <c r="M391" s="3">
        <f t="shared" si="31"/>
        <v>1.500000013038516E-3</v>
      </c>
      <c r="N391" s="3">
        <f t="shared" si="31"/>
        <v>-1.0599999979604036E-2</v>
      </c>
      <c r="O391" s="3">
        <f t="shared" si="32"/>
        <v>5.1333333333332121E-3</v>
      </c>
      <c r="P391">
        <f t="shared" si="33"/>
        <v>2.2500000391155483E-6</v>
      </c>
      <c r="Q391">
        <f t="shared" si="33"/>
        <v>1.1235999956760555E-4</v>
      </c>
      <c r="R391">
        <f t="shared" si="33"/>
        <v>2.6351111111109865E-5</v>
      </c>
      <c r="S391">
        <f t="shared" si="34"/>
        <v>1.146099996067211E-4</v>
      </c>
      <c r="T391">
        <f t="shared" si="35"/>
        <v>1.0705605989700962E-2</v>
      </c>
    </row>
    <row r="392" spans="1:20" x14ac:dyDescent="0.3">
      <c r="A392" s="2" t="s">
        <v>1168</v>
      </c>
      <c r="B392" s="6" t="s">
        <v>1054</v>
      </c>
      <c r="C392" s="2" t="s">
        <v>422</v>
      </c>
      <c r="D392" s="2" t="s">
        <v>423</v>
      </c>
      <c r="E392" s="8">
        <v>444626.23633333336</v>
      </c>
      <c r="F392" s="8">
        <v>225644.5852</v>
      </c>
      <c r="G392" s="8">
        <v>68.545000000000002</v>
      </c>
      <c r="J392">
        <v>444626.23670000001</v>
      </c>
      <c r="K392">
        <v>225644.56159999999</v>
      </c>
      <c r="L392">
        <v>68.438800000000001</v>
      </c>
      <c r="M392" s="3">
        <f t="shared" si="31"/>
        <v>3.6666664527729154E-4</v>
      </c>
      <c r="N392" s="3">
        <f t="shared" si="31"/>
        <v>-2.3600000014994293E-2</v>
      </c>
      <c r="O392" s="3">
        <f t="shared" si="32"/>
        <v>0.10620000000000118</v>
      </c>
      <c r="P392">
        <f t="shared" si="33"/>
        <v>1.3444442875890314E-7</v>
      </c>
      <c r="Q392">
        <f t="shared" si="33"/>
        <v>5.5696000070773065E-4</v>
      </c>
      <c r="R392">
        <f t="shared" si="33"/>
        <v>1.127844000000025E-2</v>
      </c>
      <c r="S392">
        <f t="shared" si="34"/>
        <v>5.5709444513648957E-4</v>
      </c>
      <c r="T392">
        <f t="shared" si="35"/>
        <v>2.3602848242034045E-2</v>
      </c>
    </row>
    <row r="393" spans="1:20" x14ac:dyDescent="0.3">
      <c r="A393" s="2" t="s">
        <v>1168</v>
      </c>
      <c r="B393" s="6" t="s">
        <v>1055</v>
      </c>
      <c r="C393" s="2" t="s">
        <v>20</v>
      </c>
      <c r="D393" s="2" t="s">
        <v>30</v>
      </c>
      <c r="E393" s="8">
        <v>417902.98223333334</v>
      </c>
      <c r="F393" s="8">
        <v>221907.94110000003</v>
      </c>
      <c r="G393" s="8">
        <v>165.13233333333335</v>
      </c>
      <c r="J393">
        <v>417902.9952</v>
      </c>
      <c r="K393">
        <v>221907.91070000001</v>
      </c>
      <c r="L393">
        <v>165.14510000000001</v>
      </c>
      <c r="M393" s="3">
        <f t="shared" si="31"/>
        <v>1.2966666661668569E-2</v>
      </c>
      <c r="N393" s="3">
        <f t="shared" si="31"/>
        <v>-3.0400000017834827E-2</v>
      </c>
      <c r="O393" s="3">
        <f t="shared" si="32"/>
        <v>1.276666666666415E-2</v>
      </c>
      <c r="P393">
        <f t="shared" si="33"/>
        <v>1.681344443148271E-4</v>
      </c>
      <c r="Q393">
        <f t="shared" si="33"/>
        <v>9.2416000108435747E-4</v>
      </c>
      <c r="R393">
        <f t="shared" si="33"/>
        <v>1.6298777777771353E-4</v>
      </c>
      <c r="S393">
        <f t="shared" si="34"/>
        <v>1.0922944453991845E-3</v>
      </c>
      <c r="T393">
        <f t="shared" si="35"/>
        <v>3.3049878144997519E-2</v>
      </c>
    </row>
    <row r="394" spans="1:20" x14ac:dyDescent="0.3">
      <c r="A394" s="2" t="s">
        <v>1168</v>
      </c>
      <c r="B394" s="6" t="s">
        <v>1055</v>
      </c>
      <c r="C394" s="2" t="s">
        <v>20</v>
      </c>
      <c r="D394" s="2" t="s">
        <v>21</v>
      </c>
      <c r="E394" s="8">
        <v>417902.99599999998</v>
      </c>
      <c r="F394" s="8">
        <v>221907.93729999999</v>
      </c>
      <c r="G394" s="8">
        <v>165.09866666666667</v>
      </c>
      <c r="J394">
        <v>417902.9952</v>
      </c>
      <c r="K394">
        <v>221907.91070000001</v>
      </c>
      <c r="L394">
        <v>165.14510000000001</v>
      </c>
      <c r="M394" s="3">
        <f t="shared" si="31"/>
        <v>-7.9999997979030013E-4</v>
      </c>
      <c r="N394" s="3">
        <f t="shared" si="31"/>
        <v>-2.6599999982863665E-2</v>
      </c>
      <c r="O394" s="3">
        <f t="shared" si="32"/>
        <v>4.6433333333339988E-2</v>
      </c>
      <c r="P394">
        <f t="shared" si="33"/>
        <v>6.3999996766448062E-7</v>
      </c>
      <c r="Q394">
        <f t="shared" si="33"/>
        <v>7.0755999908834696E-4</v>
      </c>
      <c r="R394">
        <f t="shared" si="33"/>
        <v>2.1560544444450625E-3</v>
      </c>
      <c r="S394">
        <f t="shared" si="34"/>
        <v>7.0819999905601149E-4</v>
      </c>
      <c r="T394">
        <f t="shared" si="35"/>
        <v>2.6612027338329777E-2</v>
      </c>
    </row>
    <row r="395" spans="1:20" x14ac:dyDescent="0.3">
      <c r="A395" s="2" t="s">
        <v>1168</v>
      </c>
      <c r="B395" s="6" t="s">
        <v>1056</v>
      </c>
      <c r="C395" s="2" t="s">
        <v>20</v>
      </c>
      <c r="D395" s="2" t="s">
        <v>110</v>
      </c>
      <c r="E395" s="8">
        <v>417902.98066666658</v>
      </c>
      <c r="F395" s="8">
        <v>221907.93833333335</v>
      </c>
      <c r="G395" s="8">
        <v>165.10333333333332</v>
      </c>
      <c r="J395">
        <v>417902.9952</v>
      </c>
      <c r="K395">
        <v>221907.91070000001</v>
      </c>
      <c r="L395">
        <v>165.14510000000001</v>
      </c>
      <c r="M395" s="3">
        <f t="shared" si="31"/>
        <v>1.4533333422150463E-2</v>
      </c>
      <c r="N395" s="3">
        <f t="shared" si="31"/>
        <v>-2.7633333345875144E-2</v>
      </c>
      <c r="O395" s="3">
        <f t="shared" si="32"/>
        <v>4.1766666666688934E-2</v>
      </c>
      <c r="P395">
        <f t="shared" si="33"/>
        <v>2.1121778035939568E-4</v>
      </c>
      <c r="Q395">
        <f t="shared" si="33"/>
        <v>7.6360111180425513E-4</v>
      </c>
      <c r="R395">
        <f t="shared" si="33"/>
        <v>1.7444544444463045E-3</v>
      </c>
      <c r="S395">
        <f t="shared" si="34"/>
        <v>9.7481889216365081E-4</v>
      </c>
      <c r="T395">
        <f t="shared" si="35"/>
        <v>3.1222089810959978E-2</v>
      </c>
    </row>
    <row r="396" spans="1:20" x14ac:dyDescent="0.3">
      <c r="A396" s="2" t="s">
        <v>1168</v>
      </c>
      <c r="B396" s="6" t="s">
        <v>1056</v>
      </c>
      <c r="C396" s="2" t="s">
        <v>20</v>
      </c>
      <c r="D396" s="2" t="s">
        <v>37</v>
      </c>
      <c r="E396" s="8">
        <v>417902.9997333333</v>
      </c>
      <c r="F396" s="8">
        <v>221907.92983333333</v>
      </c>
      <c r="G396" s="8">
        <v>165.10733333333334</v>
      </c>
      <c r="J396">
        <v>417902.9952</v>
      </c>
      <c r="K396">
        <v>221907.91070000001</v>
      </c>
      <c r="L396">
        <v>165.14510000000001</v>
      </c>
      <c r="M396" s="3">
        <f t="shared" si="31"/>
        <v>-4.5333332964219153E-3</v>
      </c>
      <c r="N396" s="3">
        <f t="shared" si="31"/>
        <v>-1.9133333320496604E-2</v>
      </c>
      <c r="O396" s="3">
        <f t="shared" si="32"/>
        <v>3.7766666666669835E-2</v>
      </c>
      <c r="P396">
        <f t="shared" si="33"/>
        <v>2.0551110776447589E-5</v>
      </c>
      <c r="Q396">
        <f t="shared" si="33"/>
        <v>3.6608444395322561E-4</v>
      </c>
      <c r="R396">
        <f t="shared" si="33"/>
        <v>1.4263211111113503E-3</v>
      </c>
      <c r="S396">
        <f t="shared" si="34"/>
        <v>3.8663555472967319E-4</v>
      </c>
      <c r="T396">
        <f t="shared" si="35"/>
        <v>1.9663050494002021E-2</v>
      </c>
    </row>
    <row r="397" spans="1:20" x14ac:dyDescent="0.3">
      <c r="A397" s="2" t="s">
        <v>1168</v>
      </c>
      <c r="B397" s="6" t="s">
        <v>1056</v>
      </c>
      <c r="C397" s="2" t="s">
        <v>20</v>
      </c>
      <c r="D397" s="2" t="s">
        <v>46</v>
      </c>
      <c r="E397" s="8">
        <v>417902.99433333334</v>
      </c>
      <c r="F397" s="8">
        <v>221907.93963333333</v>
      </c>
      <c r="G397" s="8">
        <v>165.12666666666667</v>
      </c>
      <c r="J397">
        <v>417902.9952</v>
      </c>
      <c r="K397">
        <v>221907.91070000001</v>
      </c>
      <c r="L397">
        <v>165.14510000000001</v>
      </c>
      <c r="M397" s="3">
        <f t="shared" si="31"/>
        <v>8.6666666902601719E-4</v>
      </c>
      <c r="N397" s="3">
        <f t="shared" si="31"/>
        <v>-2.8933333320310339E-2</v>
      </c>
      <c r="O397" s="3">
        <f t="shared" si="32"/>
        <v>1.8433333333348401E-2</v>
      </c>
      <c r="P397">
        <f t="shared" si="33"/>
        <v>7.5111111520065202E-7</v>
      </c>
      <c r="Q397">
        <f t="shared" si="33"/>
        <v>8.3713777702418052E-4</v>
      </c>
      <c r="R397">
        <f t="shared" si="33"/>
        <v>3.3978777777833325E-4</v>
      </c>
      <c r="S397">
        <f t="shared" si="34"/>
        <v>8.3788888813938122E-4</v>
      </c>
      <c r="T397">
        <f t="shared" si="35"/>
        <v>2.8946310440872793E-2</v>
      </c>
    </row>
    <row r="398" spans="1:20" x14ac:dyDescent="0.3">
      <c r="A398" s="2" t="s">
        <v>1168</v>
      </c>
      <c r="B398" s="6" t="s">
        <v>1056</v>
      </c>
      <c r="C398" s="2" t="s">
        <v>51</v>
      </c>
      <c r="D398" s="2" t="s">
        <v>63</v>
      </c>
      <c r="E398" s="8">
        <v>417902.9777333333</v>
      </c>
      <c r="F398" s="8">
        <v>221907.93443333334</v>
      </c>
      <c r="G398" s="8">
        <v>165.15266666666665</v>
      </c>
      <c r="J398">
        <v>417902.9952</v>
      </c>
      <c r="K398">
        <v>221907.91070000001</v>
      </c>
      <c r="L398">
        <v>165.14510000000001</v>
      </c>
      <c r="M398" s="3">
        <f t="shared" si="31"/>
        <v>1.7466666700784117E-2</v>
      </c>
      <c r="N398" s="3">
        <f t="shared" si="31"/>
        <v>-2.3733333335258067E-2</v>
      </c>
      <c r="O398" s="3">
        <f t="shared" si="32"/>
        <v>7.5666666666336369E-3</v>
      </c>
      <c r="P398">
        <f t="shared" si="33"/>
        <v>3.0508444563628071E-4</v>
      </c>
      <c r="Q398">
        <f t="shared" si="33"/>
        <v>5.6327111120247177E-4</v>
      </c>
      <c r="R398">
        <f t="shared" si="33"/>
        <v>5.7254444443944597E-5</v>
      </c>
      <c r="S398">
        <f t="shared" si="34"/>
        <v>8.6835555683875253E-4</v>
      </c>
      <c r="T398">
        <f t="shared" si="35"/>
        <v>2.9467873300235845E-2</v>
      </c>
    </row>
    <row r="399" spans="1:20" x14ac:dyDescent="0.3">
      <c r="A399" s="2" t="s">
        <v>1168</v>
      </c>
      <c r="B399" s="6" t="s">
        <v>1056</v>
      </c>
      <c r="C399" s="2" t="s">
        <v>51</v>
      </c>
      <c r="D399" s="2" t="s">
        <v>30</v>
      </c>
      <c r="E399" s="8">
        <v>417902.99186666665</v>
      </c>
      <c r="F399" s="8">
        <v>221907.93436666662</v>
      </c>
      <c r="G399" s="8">
        <v>165.12100000000001</v>
      </c>
      <c r="J399">
        <v>417902.9952</v>
      </c>
      <c r="K399">
        <v>221907.91070000001</v>
      </c>
      <c r="L399">
        <v>165.14510000000001</v>
      </c>
      <c r="M399" s="3">
        <f t="shared" si="31"/>
        <v>3.3333333558402956E-3</v>
      </c>
      <c r="N399" s="3">
        <f t="shared" si="31"/>
        <v>-2.3666666616918519E-2</v>
      </c>
      <c r="O399" s="3">
        <f t="shared" si="32"/>
        <v>2.4100000000004229E-2</v>
      </c>
      <c r="P399">
        <f t="shared" si="33"/>
        <v>1.1111111261157526E-5</v>
      </c>
      <c r="Q399">
        <f t="shared" si="33"/>
        <v>5.6011110875636542E-4</v>
      </c>
      <c r="R399">
        <f t="shared" si="33"/>
        <v>5.8081000000020379E-4</v>
      </c>
      <c r="S399">
        <f t="shared" si="34"/>
        <v>5.71222220017523E-4</v>
      </c>
      <c r="T399">
        <f t="shared" si="35"/>
        <v>2.3900255647534882E-2</v>
      </c>
    </row>
    <row r="400" spans="1:20" x14ac:dyDescent="0.3">
      <c r="A400" s="2" t="s">
        <v>1168</v>
      </c>
      <c r="B400" s="6" t="s">
        <v>1056</v>
      </c>
      <c r="C400" s="2" t="s">
        <v>51</v>
      </c>
      <c r="D400" s="2" t="s">
        <v>52</v>
      </c>
      <c r="E400" s="8">
        <v>417902.99983333331</v>
      </c>
      <c r="F400" s="8">
        <v>221907.93436666668</v>
      </c>
      <c r="G400" s="8">
        <v>165.10800000000003</v>
      </c>
      <c r="J400">
        <v>417902.9952</v>
      </c>
      <c r="K400">
        <v>221907.91070000001</v>
      </c>
      <c r="L400">
        <v>165.14510000000001</v>
      </c>
      <c r="M400" s="3">
        <f t="shared" si="31"/>
        <v>-4.6333333011716604E-3</v>
      </c>
      <c r="N400" s="3">
        <f t="shared" si="31"/>
        <v>-2.366666667512618E-2</v>
      </c>
      <c r="O400" s="3">
        <f t="shared" si="32"/>
        <v>3.7099999999981037E-2</v>
      </c>
      <c r="P400">
        <f t="shared" si="33"/>
        <v>2.1467777479746277E-5</v>
      </c>
      <c r="Q400">
        <f t="shared" si="33"/>
        <v>5.6011111151152806E-4</v>
      </c>
      <c r="R400">
        <f t="shared" si="33"/>
        <v>1.3764099999985929E-3</v>
      </c>
      <c r="S400">
        <f t="shared" si="34"/>
        <v>5.8157888899127439E-4</v>
      </c>
      <c r="T400">
        <f t="shared" si="35"/>
        <v>2.4115946777833012E-2</v>
      </c>
    </row>
    <row r="401" spans="1:20" x14ac:dyDescent="0.3">
      <c r="A401" s="2" t="s">
        <v>1168</v>
      </c>
      <c r="B401" s="6" t="s">
        <v>1056</v>
      </c>
      <c r="C401" s="2" t="s">
        <v>422</v>
      </c>
      <c r="D401" s="2" t="s">
        <v>423</v>
      </c>
      <c r="E401" s="8">
        <v>417902.95956666669</v>
      </c>
      <c r="F401" s="8">
        <v>221907.92119999998</v>
      </c>
      <c r="G401" s="8">
        <v>165.15033333333335</v>
      </c>
      <c r="J401">
        <v>417902.9952</v>
      </c>
      <c r="K401">
        <v>221907.91070000001</v>
      </c>
      <c r="L401">
        <v>165.14510000000001</v>
      </c>
      <c r="M401" s="3">
        <f t="shared" si="31"/>
        <v>3.5633333318401128E-2</v>
      </c>
      <c r="N401" s="3">
        <f t="shared" si="31"/>
        <v>-1.049999997485429E-2</v>
      </c>
      <c r="O401" s="3">
        <f t="shared" si="32"/>
        <v>5.2333333333365317E-3</v>
      </c>
      <c r="P401">
        <f t="shared" si="33"/>
        <v>1.2697344433802759E-3</v>
      </c>
      <c r="Q401">
        <f t="shared" si="33"/>
        <v>1.102499994719401E-4</v>
      </c>
      <c r="R401">
        <f t="shared" si="33"/>
        <v>2.7387777777811256E-5</v>
      </c>
      <c r="S401">
        <f t="shared" si="34"/>
        <v>1.379984442852216E-3</v>
      </c>
      <c r="T401">
        <f t="shared" si="35"/>
        <v>3.7148141849252921E-2</v>
      </c>
    </row>
    <row r="402" spans="1:20" x14ac:dyDescent="0.3">
      <c r="A402" s="2" t="s">
        <v>1168</v>
      </c>
      <c r="B402" s="6" t="s">
        <v>1057</v>
      </c>
      <c r="C402" s="2" t="s">
        <v>20</v>
      </c>
      <c r="D402" s="2" t="s">
        <v>46</v>
      </c>
      <c r="E402" s="8">
        <v>409980.7114666666</v>
      </c>
      <c r="F402" s="8">
        <v>235132.42503333333</v>
      </c>
      <c r="G402" s="8">
        <v>123.33433333333333</v>
      </c>
      <c r="J402">
        <v>409980.6911</v>
      </c>
      <c r="K402">
        <v>235132.4277</v>
      </c>
      <c r="L402">
        <v>123.35769999999999</v>
      </c>
      <c r="M402" s="3">
        <f t="shared" ref="M402:N465" si="36">J402-E402</f>
        <v>-2.0366666605696082E-2</v>
      </c>
      <c r="N402" s="3">
        <f t="shared" si="36"/>
        <v>2.6666666672099382E-3</v>
      </c>
      <c r="O402" s="3">
        <f t="shared" si="32"/>
        <v>2.3366666666660763E-2</v>
      </c>
      <c r="P402">
        <f t="shared" si="33"/>
        <v>4.1480110862757597E-4</v>
      </c>
      <c r="Q402">
        <f t="shared" si="33"/>
        <v>7.1111111140085591E-6</v>
      </c>
      <c r="R402">
        <f t="shared" si="33"/>
        <v>5.4600111111083522E-4</v>
      </c>
      <c r="S402">
        <f t="shared" si="34"/>
        <v>4.2191221974158456E-4</v>
      </c>
      <c r="T402">
        <f t="shared" si="35"/>
        <v>2.0540501934996246E-2</v>
      </c>
    </row>
    <row r="403" spans="1:20" x14ac:dyDescent="0.3">
      <c r="A403" s="2" t="s">
        <v>1168</v>
      </c>
      <c r="B403" s="6" t="s">
        <v>1057</v>
      </c>
      <c r="C403" s="2" t="s">
        <v>20</v>
      </c>
      <c r="D403" s="2" t="s">
        <v>37</v>
      </c>
      <c r="E403" s="8">
        <v>409980.71406666661</v>
      </c>
      <c r="F403" s="8">
        <v>235132.42806666667</v>
      </c>
      <c r="G403" s="8">
        <v>123.33466666666668</v>
      </c>
      <c r="J403">
        <v>409980.6911</v>
      </c>
      <c r="K403">
        <v>235132.4277</v>
      </c>
      <c r="L403">
        <v>123.35769999999999</v>
      </c>
      <c r="M403" s="3">
        <f t="shared" si="36"/>
        <v>-2.2966666612774134E-2</v>
      </c>
      <c r="N403" s="3">
        <f t="shared" si="36"/>
        <v>-3.6666667438112199E-4</v>
      </c>
      <c r="O403" s="3">
        <f t="shared" si="32"/>
        <v>2.3033333333316364E-2</v>
      </c>
      <c r="P403">
        <f t="shared" si="33"/>
        <v>5.274677753023141E-4</v>
      </c>
      <c r="Q403">
        <f t="shared" si="33"/>
        <v>1.3444445010171174E-7</v>
      </c>
      <c r="R403">
        <f t="shared" si="33"/>
        <v>5.3053444444366269E-4</v>
      </c>
      <c r="S403">
        <f t="shared" si="34"/>
        <v>5.2760221975241576E-4</v>
      </c>
      <c r="T403">
        <f t="shared" si="35"/>
        <v>2.2969593373684608E-2</v>
      </c>
    </row>
    <row r="404" spans="1:20" x14ac:dyDescent="0.3">
      <c r="A404" s="2" t="s">
        <v>1168</v>
      </c>
      <c r="B404" s="6" t="s">
        <v>1058</v>
      </c>
      <c r="C404" s="2" t="s">
        <v>51</v>
      </c>
      <c r="D404" s="2" t="s">
        <v>63</v>
      </c>
      <c r="E404" s="8">
        <v>409980.68349999998</v>
      </c>
      <c r="F404" s="8">
        <v>235132.5135</v>
      </c>
      <c r="G404" s="8">
        <v>123.18900000000001</v>
      </c>
      <c r="J404">
        <v>409980.6911</v>
      </c>
      <c r="K404">
        <v>235132.4277</v>
      </c>
      <c r="L404">
        <v>123.35769999999999</v>
      </c>
      <c r="M404" s="3">
        <f t="shared" si="36"/>
        <v>7.6000000117346644E-3</v>
      </c>
      <c r="N404" s="3">
        <f t="shared" si="36"/>
        <v>-8.5800000000745058E-2</v>
      </c>
      <c r="O404" s="3">
        <f t="shared" si="32"/>
        <v>0.16869999999998697</v>
      </c>
      <c r="P404">
        <f t="shared" si="33"/>
        <v>5.77600001783669E-5</v>
      </c>
      <c r="Q404">
        <f t="shared" si="33"/>
        <v>7.3616400001278517E-3</v>
      </c>
      <c r="R404">
        <f t="shared" si="33"/>
        <v>2.8459689999995604E-2</v>
      </c>
      <c r="S404">
        <f t="shared" si="34"/>
        <v>7.4194000003062191E-3</v>
      </c>
      <c r="T404">
        <f t="shared" si="35"/>
        <v>8.6135939074849704E-2</v>
      </c>
    </row>
    <row r="405" spans="1:20" x14ac:dyDescent="0.3">
      <c r="A405" s="2" t="s">
        <v>1168</v>
      </c>
      <c r="B405" s="6" t="s">
        <v>1058</v>
      </c>
      <c r="C405" s="2" t="s">
        <v>51</v>
      </c>
      <c r="D405" s="2" t="s">
        <v>30</v>
      </c>
      <c r="E405" s="8">
        <v>409980.69819999998</v>
      </c>
      <c r="F405" s="8">
        <v>235132.43480000002</v>
      </c>
      <c r="G405" s="8">
        <v>123.33366666666666</v>
      </c>
      <c r="J405">
        <v>409980.6911</v>
      </c>
      <c r="K405">
        <v>235132.4277</v>
      </c>
      <c r="L405">
        <v>123.35769999999999</v>
      </c>
      <c r="M405" s="3">
        <f t="shared" si="36"/>
        <v>-7.0999999879859388E-3</v>
      </c>
      <c r="N405" s="3">
        <f t="shared" si="36"/>
        <v>-7.1000000170897692E-3</v>
      </c>
      <c r="O405" s="3">
        <f t="shared" si="32"/>
        <v>2.4033333333335349E-2</v>
      </c>
      <c r="P405">
        <f t="shared" si="33"/>
        <v>5.0409999829400328E-5</v>
      </c>
      <c r="Q405">
        <f t="shared" si="33"/>
        <v>5.0410000242674723E-5</v>
      </c>
      <c r="R405">
        <f t="shared" si="33"/>
        <v>5.7760111111120798E-4</v>
      </c>
      <c r="S405">
        <f t="shared" si="34"/>
        <v>1.0082000007207505E-4</v>
      </c>
      <c r="T405">
        <f t="shared" si="35"/>
        <v>1.0040916296438043E-2</v>
      </c>
    </row>
    <row r="406" spans="1:20" x14ac:dyDescent="0.3">
      <c r="A406" s="2" t="s">
        <v>1168</v>
      </c>
      <c r="B406" s="6" t="s">
        <v>1058</v>
      </c>
      <c r="C406" s="2" t="s">
        <v>51</v>
      </c>
      <c r="D406" s="2" t="s">
        <v>52</v>
      </c>
      <c r="E406" s="8">
        <v>409980.69219999999</v>
      </c>
      <c r="F406" s="8">
        <v>235132.41156666668</v>
      </c>
      <c r="G406" s="8">
        <v>123.33300000000001</v>
      </c>
      <c r="J406">
        <v>409980.6911</v>
      </c>
      <c r="K406">
        <v>235132.4277</v>
      </c>
      <c r="L406">
        <v>123.35769999999999</v>
      </c>
      <c r="M406" s="3">
        <f t="shared" si="36"/>
        <v>-1.0999999940395355E-3</v>
      </c>
      <c r="N406" s="3">
        <f t="shared" si="36"/>
        <v>1.6133333323523402E-2</v>
      </c>
      <c r="O406" s="3">
        <f t="shared" si="32"/>
        <v>2.4699999999981515E-2</v>
      </c>
      <c r="P406">
        <f t="shared" si="33"/>
        <v>1.2099999868869782E-6</v>
      </c>
      <c r="Q406">
        <f t="shared" si="33"/>
        <v>2.6028444412791067E-4</v>
      </c>
      <c r="R406">
        <f t="shared" si="33"/>
        <v>6.1008999999908687E-4</v>
      </c>
      <c r="S406">
        <f t="shared" si="34"/>
        <v>2.6149444411479765E-4</v>
      </c>
      <c r="T406">
        <f t="shared" si="35"/>
        <v>1.6170789842020632E-2</v>
      </c>
    </row>
    <row r="407" spans="1:20" x14ac:dyDescent="0.3">
      <c r="A407" s="2" t="s">
        <v>1168</v>
      </c>
      <c r="B407" s="6" t="s">
        <v>1058</v>
      </c>
      <c r="C407" s="2" t="s">
        <v>422</v>
      </c>
      <c r="D407" s="2" t="s">
        <v>423</v>
      </c>
      <c r="E407" s="8">
        <v>409980.69416666665</v>
      </c>
      <c r="F407" s="8">
        <v>235132.39346666666</v>
      </c>
      <c r="G407" s="8">
        <v>123.414</v>
      </c>
      <c r="J407">
        <v>409980.6911</v>
      </c>
      <c r="K407">
        <v>235132.4277</v>
      </c>
      <c r="L407">
        <v>123.35769999999999</v>
      </c>
      <c r="M407" s="3">
        <f t="shared" si="36"/>
        <v>-3.0666666571050882E-3</v>
      </c>
      <c r="N407" s="3">
        <f t="shared" si="36"/>
        <v>3.4233333339216188E-2</v>
      </c>
      <c r="O407" s="3">
        <f t="shared" si="32"/>
        <v>5.6300000000007344E-2</v>
      </c>
      <c r="P407">
        <f t="shared" si="33"/>
        <v>9.4044443858000968E-6</v>
      </c>
      <c r="Q407">
        <f t="shared" si="33"/>
        <v>1.1719211115138906E-3</v>
      </c>
      <c r="R407">
        <f t="shared" si="33"/>
        <v>3.1696900000008268E-3</v>
      </c>
      <c r="S407">
        <f t="shared" si="34"/>
        <v>1.1813255558996906E-3</v>
      </c>
      <c r="T407">
        <f t="shared" si="35"/>
        <v>3.4370416871194485E-2</v>
      </c>
    </row>
    <row r="408" spans="1:20" x14ac:dyDescent="0.3">
      <c r="A408" s="2" t="s">
        <v>1168</v>
      </c>
      <c r="B408" s="6" t="s">
        <v>1058</v>
      </c>
      <c r="C408" s="2" t="s">
        <v>20</v>
      </c>
      <c r="D408" s="2" t="s">
        <v>30</v>
      </c>
      <c r="E408" s="8">
        <v>409980.68349999998</v>
      </c>
      <c r="F408" s="8">
        <v>235132.42310000001</v>
      </c>
      <c r="G408" s="8">
        <v>123.33066666666666</v>
      </c>
      <c r="J408">
        <v>409980.6911</v>
      </c>
      <c r="K408">
        <v>235132.4277</v>
      </c>
      <c r="L408">
        <v>123.35769999999999</v>
      </c>
      <c r="M408" s="3">
        <f t="shared" si="36"/>
        <v>7.6000000117346644E-3</v>
      </c>
      <c r="N408" s="3">
        <f t="shared" si="36"/>
        <v>4.5999999856576324E-3</v>
      </c>
      <c r="O408" s="3">
        <f t="shared" si="32"/>
        <v>2.7033333333335463E-2</v>
      </c>
      <c r="P408">
        <f t="shared" si="33"/>
        <v>5.77600001783669E-5</v>
      </c>
      <c r="Q408">
        <f t="shared" si="33"/>
        <v>2.1159999868050218E-5</v>
      </c>
      <c r="R408">
        <f t="shared" si="33"/>
        <v>7.3080111111122623E-4</v>
      </c>
      <c r="S408">
        <f t="shared" si="34"/>
        <v>7.8920000046417117E-5</v>
      </c>
      <c r="T408">
        <f t="shared" si="35"/>
        <v>8.8836929284176139E-3</v>
      </c>
    </row>
    <row r="409" spans="1:20" x14ac:dyDescent="0.3">
      <c r="A409" s="2" t="s">
        <v>1168</v>
      </c>
      <c r="B409" s="6" t="s">
        <v>1058</v>
      </c>
      <c r="C409" s="2" t="s">
        <v>20</v>
      </c>
      <c r="D409" s="2" t="s">
        <v>21</v>
      </c>
      <c r="E409" s="8">
        <v>409980.68116666662</v>
      </c>
      <c r="F409" s="8">
        <v>235132.43313333331</v>
      </c>
      <c r="G409" s="8">
        <v>123.35433333333333</v>
      </c>
      <c r="J409">
        <v>409980.6911</v>
      </c>
      <c r="K409">
        <v>235132.4277</v>
      </c>
      <c r="L409">
        <v>123.35769999999999</v>
      </c>
      <c r="M409" s="3">
        <f t="shared" si="36"/>
        <v>9.9333333782851696E-3</v>
      </c>
      <c r="N409" s="3">
        <f t="shared" si="36"/>
        <v>-5.433333310065791E-3</v>
      </c>
      <c r="O409" s="3">
        <f t="shared" si="32"/>
        <v>3.3666666666647416E-3</v>
      </c>
      <c r="P409">
        <f t="shared" si="33"/>
        <v>9.867111200415426E-5</v>
      </c>
      <c r="Q409">
        <f t="shared" si="33"/>
        <v>2.9521110858270484E-5</v>
      </c>
      <c r="R409">
        <f t="shared" si="33"/>
        <v>1.1334444444431482E-5</v>
      </c>
      <c r="S409">
        <f t="shared" si="34"/>
        <v>1.2819222286242476E-4</v>
      </c>
      <c r="T409">
        <f t="shared" si="35"/>
        <v>1.1322200442600579E-2</v>
      </c>
    </row>
    <row r="410" spans="1:20" x14ac:dyDescent="0.3">
      <c r="A410" s="2" t="s">
        <v>1168</v>
      </c>
      <c r="B410" s="6" t="s">
        <v>1059</v>
      </c>
      <c r="C410" s="2" t="s">
        <v>20</v>
      </c>
      <c r="D410" s="2" t="s">
        <v>30</v>
      </c>
      <c r="E410" s="8">
        <v>380856.37856666668</v>
      </c>
      <c r="F410" s="8">
        <v>195002.21873333337</v>
      </c>
      <c r="G410" s="8">
        <v>42.624666666666663</v>
      </c>
      <c r="J410">
        <v>380856.38799999998</v>
      </c>
      <c r="K410">
        <v>195002.22390000001</v>
      </c>
      <c r="L410">
        <v>42.6815</v>
      </c>
      <c r="M410" s="3">
        <f t="shared" si="36"/>
        <v>9.433333296328783E-3</v>
      </c>
      <c r="N410" s="3">
        <f t="shared" si="36"/>
        <v>5.1666666404344141E-3</v>
      </c>
      <c r="O410" s="3">
        <f t="shared" si="32"/>
        <v>5.6833333333337066E-2</v>
      </c>
      <c r="P410">
        <f t="shared" si="33"/>
        <v>8.8987777079625264E-5</v>
      </c>
      <c r="Q410">
        <f t="shared" si="33"/>
        <v>2.6694444173377836E-5</v>
      </c>
      <c r="R410">
        <f t="shared" si="33"/>
        <v>3.230027777778202E-3</v>
      </c>
      <c r="S410">
        <f t="shared" si="34"/>
        <v>1.156822212530031E-4</v>
      </c>
      <c r="T410">
        <f t="shared" si="35"/>
        <v>1.0755566988913374E-2</v>
      </c>
    </row>
    <row r="411" spans="1:20" x14ac:dyDescent="0.3">
      <c r="A411" s="2" t="s">
        <v>1168</v>
      </c>
      <c r="B411" s="6" t="s">
        <v>1059</v>
      </c>
      <c r="C411" s="2" t="s">
        <v>20</v>
      </c>
      <c r="D411" s="2" t="s">
        <v>21</v>
      </c>
      <c r="E411" s="8">
        <v>380856.37660000002</v>
      </c>
      <c r="F411" s="8">
        <v>195002.21533333333</v>
      </c>
      <c r="G411" s="8">
        <v>42.605333333333334</v>
      </c>
      <c r="J411">
        <v>380856.38799999998</v>
      </c>
      <c r="K411">
        <v>195002.22390000001</v>
      </c>
      <c r="L411">
        <v>42.6815</v>
      </c>
      <c r="M411" s="3">
        <f t="shared" si="36"/>
        <v>1.1399999959394336E-2</v>
      </c>
      <c r="N411" s="3">
        <f t="shared" si="36"/>
        <v>8.5666666855104268E-3</v>
      </c>
      <c r="O411" s="3">
        <f t="shared" si="32"/>
        <v>7.6166666666665606E-2</v>
      </c>
      <c r="P411">
        <f t="shared" si="33"/>
        <v>1.2995999907419086E-4</v>
      </c>
      <c r="Q411">
        <f t="shared" si="33"/>
        <v>7.3387778100634198E-5</v>
      </c>
      <c r="R411">
        <f t="shared" si="33"/>
        <v>5.8013611111109491E-3</v>
      </c>
      <c r="S411">
        <f t="shared" si="34"/>
        <v>2.0334777717482505E-4</v>
      </c>
      <c r="T411">
        <f t="shared" si="35"/>
        <v>1.4260006212299666E-2</v>
      </c>
    </row>
    <row r="412" spans="1:20" x14ac:dyDescent="0.3">
      <c r="A412" s="2" t="s">
        <v>1168</v>
      </c>
      <c r="B412" s="6" t="s">
        <v>1060</v>
      </c>
      <c r="C412" s="2" t="s">
        <v>20</v>
      </c>
      <c r="D412" s="2" t="s">
        <v>110</v>
      </c>
      <c r="E412" s="8">
        <v>380856.39663333329</v>
      </c>
      <c r="F412" s="8">
        <v>195002.21476666667</v>
      </c>
      <c r="G412" s="8">
        <v>42.639999999999993</v>
      </c>
      <c r="J412">
        <v>380856.38799999998</v>
      </c>
      <c r="K412">
        <v>195002.22390000001</v>
      </c>
      <c r="L412">
        <v>42.6815</v>
      </c>
      <c r="M412" s="3">
        <f t="shared" si="36"/>
        <v>-8.6333333165384829E-3</v>
      </c>
      <c r="N412" s="3">
        <f t="shared" si="36"/>
        <v>9.1333333402872086E-3</v>
      </c>
      <c r="O412" s="3">
        <f t="shared" si="32"/>
        <v>4.150000000000631E-2</v>
      </c>
      <c r="P412">
        <f t="shared" si="33"/>
        <v>7.4534444154453357E-5</v>
      </c>
      <c r="Q412">
        <f t="shared" si="33"/>
        <v>8.3417777904801899E-5</v>
      </c>
      <c r="R412">
        <f t="shared" si="33"/>
        <v>1.7222500000005237E-3</v>
      </c>
      <c r="S412">
        <f t="shared" si="34"/>
        <v>1.5795222205925526E-4</v>
      </c>
      <c r="T412">
        <f t="shared" si="35"/>
        <v>1.2567904441841339E-2</v>
      </c>
    </row>
    <row r="413" spans="1:20" x14ac:dyDescent="0.3">
      <c r="A413" s="2" t="s">
        <v>1168</v>
      </c>
      <c r="B413" s="6" t="s">
        <v>1060</v>
      </c>
      <c r="C413" s="2" t="s">
        <v>20</v>
      </c>
      <c r="D413" s="2" t="s">
        <v>46</v>
      </c>
      <c r="E413" s="8">
        <v>380856.37929999997</v>
      </c>
      <c r="F413" s="8">
        <v>195002.22443333335</v>
      </c>
      <c r="G413" s="8">
        <v>42.673333333333325</v>
      </c>
      <c r="J413">
        <v>380856.38799999998</v>
      </c>
      <c r="K413">
        <v>195002.22390000001</v>
      </c>
      <c r="L413">
        <v>42.6815</v>
      </c>
      <c r="M413" s="3">
        <f t="shared" si="36"/>
        <v>8.7000000057742E-3</v>
      </c>
      <c r="N413" s="3">
        <f t="shared" si="36"/>
        <v>-5.3333333926275373E-4</v>
      </c>
      <c r="O413" s="3">
        <f t="shared" si="32"/>
        <v>8.1666666666748711E-3</v>
      </c>
      <c r="P413">
        <f t="shared" si="33"/>
        <v>7.5690000100471079E-5</v>
      </c>
      <c r="Q413">
        <f t="shared" si="33"/>
        <v>2.8444445076915956E-7</v>
      </c>
      <c r="R413">
        <f t="shared" si="33"/>
        <v>6.6694444444578453E-5</v>
      </c>
      <c r="S413">
        <f t="shared" si="34"/>
        <v>7.5974444551240236E-5</v>
      </c>
      <c r="T413">
        <f t="shared" si="35"/>
        <v>8.716332058339691E-3</v>
      </c>
    </row>
    <row r="414" spans="1:20" x14ac:dyDescent="0.3">
      <c r="A414" s="2" t="s">
        <v>1168</v>
      </c>
      <c r="B414" s="6" t="s">
        <v>1060</v>
      </c>
      <c r="C414" s="2" t="s">
        <v>51</v>
      </c>
      <c r="D414" s="2" t="s">
        <v>63</v>
      </c>
      <c r="E414" s="8">
        <v>380856.35559999995</v>
      </c>
      <c r="F414" s="8">
        <v>195002.34253333334</v>
      </c>
      <c r="G414" s="8">
        <v>42.573666666666661</v>
      </c>
      <c r="J414">
        <v>380856.38799999998</v>
      </c>
      <c r="K414">
        <v>195002.22390000001</v>
      </c>
      <c r="L414">
        <v>42.6815</v>
      </c>
      <c r="M414" s="3">
        <f t="shared" si="36"/>
        <v>3.2400000025518239E-2</v>
      </c>
      <c r="N414" s="3">
        <f t="shared" si="36"/>
        <v>-0.11863333333167247</v>
      </c>
      <c r="O414" s="3">
        <f t="shared" si="32"/>
        <v>0.107833333333339</v>
      </c>
      <c r="P414">
        <f t="shared" si="33"/>
        <v>1.0497600016535818E-3</v>
      </c>
      <c r="Q414">
        <f t="shared" si="33"/>
        <v>1.4073867777383712E-2</v>
      </c>
      <c r="R414">
        <f t="shared" si="33"/>
        <v>1.1628027777779E-2</v>
      </c>
      <c r="S414">
        <f t="shared" si="34"/>
        <v>1.5123627779037294E-2</v>
      </c>
      <c r="T414">
        <f t="shared" si="35"/>
        <v>0.12297815976439594</v>
      </c>
    </row>
    <row r="415" spans="1:20" x14ac:dyDescent="0.3">
      <c r="A415" s="2" t="s">
        <v>1168</v>
      </c>
      <c r="B415" s="6" t="s">
        <v>1060</v>
      </c>
      <c r="C415" s="2" t="s">
        <v>51</v>
      </c>
      <c r="D415" s="2" t="s">
        <v>30</v>
      </c>
      <c r="E415" s="8">
        <v>380856.39000000007</v>
      </c>
      <c r="F415" s="8">
        <v>195002.22603333334</v>
      </c>
      <c r="G415" s="8">
        <v>42.693999999999996</v>
      </c>
      <c r="J415">
        <v>380856.38799999998</v>
      </c>
      <c r="K415">
        <v>195002.22390000001</v>
      </c>
      <c r="L415">
        <v>42.6815</v>
      </c>
      <c r="M415" s="3">
        <f t="shared" si="36"/>
        <v>-2.0000000949949026E-3</v>
      </c>
      <c r="N415" s="3">
        <f t="shared" si="36"/>
        <v>-2.1333333279471844E-3</v>
      </c>
      <c r="O415" s="3">
        <f t="shared" si="32"/>
        <v>1.2499999999995737E-2</v>
      </c>
      <c r="P415">
        <f t="shared" si="33"/>
        <v>4.0000003799796195E-6</v>
      </c>
      <c r="Q415">
        <f t="shared" si="33"/>
        <v>4.5511110881302092E-6</v>
      </c>
      <c r="R415">
        <f t="shared" si="33"/>
        <v>1.5624999999989343E-4</v>
      </c>
      <c r="S415">
        <f t="shared" si="34"/>
        <v>8.5511114681098278E-6</v>
      </c>
      <c r="T415">
        <f t="shared" si="35"/>
        <v>2.9242283543030336E-3</v>
      </c>
    </row>
    <row r="416" spans="1:20" x14ac:dyDescent="0.3">
      <c r="A416" s="2" t="s">
        <v>1168</v>
      </c>
      <c r="B416" s="6" t="s">
        <v>1060</v>
      </c>
      <c r="C416" s="2" t="s">
        <v>51</v>
      </c>
      <c r="D416" s="2" t="s">
        <v>52</v>
      </c>
      <c r="E416" s="8">
        <v>380856.39196666662</v>
      </c>
      <c r="F416" s="8">
        <v>195002.22180000003</v>
      </c>
      <c r="G416" s="8">
        <v>42.694333333333333</v>
      </c>
      <c r="J416">
        <v>380856.38799999998</v>
      </c>
      <c r="K416">
        <v>195002.22390000001</v>
      </c>
      <c r="L416">
        <v>42.6815</v>
      </c>
      <c r="M416" s="3">
        <f t="shared" si="36"/>
        <v>-3.9666666416451335E-3</v>
      </c>
      <c r="N416" s="3">
        <f t="shared" si="36"/>
        <v>2.0999999833293259E-3</v>
      </c>
      <c r="O416" s="3">
        <f t="shared" si="32"/>
        <v>1.283333333333303E-2</v>
      </c>
      <c r="P416">
        <f t="shared" si="33"/>
        <v>1.5734444245940282E-5</v>
      </c>
      <c r="Q416">
        <f t="shared" si="33"/>
        <v>4.4099999299831691E-6</v>
      </c>
      <c r="R416">
        <f t="shared" si="33"/>
        <v>1.6469444444443666E-4</v>
      </c>
      <c r="S416">
        <f t="shared" si="34"/>
        <v>2.0144444175923451E-5</v>
      </c>
      <c r="T416">
        <f t="shared" si="35"/>
        <v>4.488256251142915E-3</v>
      </c>
    </row>
    <row r="417" spans="1:20" x14ac:dyDescent="0.3">
      <c r="A417" s="2" t="s">
        <v>1168</v>
      </c>
      <c r="B417" s="6" t="s">
        <v>1061</v>
      </c>
      <c r="C417" s="2" t="s">
        <v>20</v>
      </c>
      <c r="D417" s="2" t="s">
        <v>30</v>
      </c>
      <c r="E417" s="8">
        <v>382362.08296666667</v>
      </c>
      <c r="F417" s="8">
        <v>184668.11223333332</v>
      </c>
      <c r="G417" s="8">
        <v>29.344333333333335</v>
      </c>
      <c r="J417">
        <v>382362.10840000003</v>
      </c>
      <c r="K417">
        <v>184668.14360000001</v>
      </c>
      <c r="L417">
        <v>29.3629</v>
      </c>
      <c r="M417" s="3">
        <f t="shared" si="36"/>
        <v>2.5433333357796073E-2</v>
      </c>
      <c r="N417" s="3">
        <f t="shared" si="36"/>
        <v>3.136666669161059E-2</v>
      </c>
      <c r="O417" s="3">
        <f t="shared" si="32"/>
        <v>1.8566666666664844E-2</v>
      </c>
      <c r="P417">
        <f t="shared" si="33"/>
        <v>6.4685444568878241E-4</v>
      </c>
      <c r="Q417">
        <f t="shared" si="33"/>
        <v>9.8386777934259331E-4</v>
      </c>
      <c r="R417">
        <f t="shared" si="33"/>
        <v>3.4472111111104342E-4</v>
      </c>
      <c r="S417">
        <f t="shared" si="34"/>
        <v>1.6307222250313757E-3</v>
      </c>
      <c r="T417">
        <f t="shared" si="35"/>
        <v>4.0382201834860069E-2</v>
      </c>
    </row>
    <row r="418" spans="1:20" x14ac:dyDescent="0.3">
      <c r="A418" s="2" t="s">
        <v>1168</v>
      </c>
      <c r="B418" s="6" t="s">
        <v>1061</v>
      </c>
      <c r="C418" s="2" t="s">
        <v>20</v>
      </c>
      <c r="D418" s="2" t="s">
        <v>21</v>
      </c>
      <c r="E418" s="8">
        <v>382362.08276666672</v>
      </c>
      <c r="F418" s="8">
        <v>184668.11869999999</v>
      </c>
      <c r="G418" s="8">
        <v>29.338333333333335</v>
      </c>
      <c r="J418">
        <v>382362.10840000003</v>
      </c>
      <c r="K418">
        <v>184668.14360000001</v>
      </c>
      <c r="L418">
        <v>29.3629</v>
      </c>
      <c r="M418" s="3">
        <f t="shared" si="36"/>
        <v>2.5633333309087902E-2</v>
      </c>
      <c r="N418" s="3">
        <f t="shared" si="36"/>
        <v>2.4900000018533319E-2</v>
      </c>
      <c r="O418" s="3">
        <f t="shared" si="32"/>
        <v>2.4566666666665071E-2</v>
      </c>
      <c r="P418">
        <f t="shared" si="33"/>
        <v>6.5706777653479534E-4</v>
      </c>
      <c r="Q418">
        <f t="shared" si="33"/>
        <v>6.2001000092295935E-4</v>
      </c>
      <c r="R418">
        <f t="shared" si="33"/>
        <v>6.0352111111103268E-4</v>
      </c>
      <c r="S418">
        <f t="shared" si="34"/>
        <v>1.2770777774577546E-3</v>
      </c>
      <c r="T418">
        <f t="shared" si="35"/>
        <v>3.5736225002898032E-2</v>
      </c>
    </row>
    <row r="419" spans="1:20" x14ac:dyDescent="0.3">
      <c r="A419" s="2" t="s">
        <v>1168</v>
      </c>
      <c r="B419" s="6" t="s">
        <v>1062</v>
      </c>
      <c r="C419" s="2" t="s">
        <v>20</v>
      </c>
      <c r="D419" s="2" t="s">
        <v>110</v>
      </c>
      <c r="E419" s="8">
        <v>382362.08616666665</v>
      </c>
      <c r="F419" s="8">
        <v>184668.11953333335</v>
      </c>
      <c r="G419" s="8">
        <v>29.340000000000003</v>
      </c>
      <c r="J419">
        <v>382362.10840000003</v>
      </c>
      <c r="K419">
        <v>184668.14360000001</v>
      </c>
      <c r="L419">
        <v>29.3629</v>
      </c>
      <c r="M419" s="3">
        <f t="shared" si="36"/>
        <v>2.2233333380427212E-2</v>
      </c>
      <c r="N419" s="3">
        <f t="shared" si="36"/>
        <v>2.406666666502133E-2</v>
      </c>
      <c r="O419" s="3">
        <f t="shared" si="32"/>
        <v>2.2899999999996368E-2</v>
      </c>
      <c r="P419">
        <f t="shared" si="33"/>
        <v>4.9432111320521889E-4</v>
      </c>
      <c r="Q419">
        <f t="shared" si="33"/>
        <v>5.7920444436524896E-4</v>
      </c>
      <c r="R419">
        <f t="shared" si="33"/>
        <v>5.2440999999983369E-4</v>
      </c>
      <c r="S419">
        <f t="shared" si="34"/>
        <v>1.0735255575704677E-3</v>
      </c>
      <c r="T419">
        <f t="shared" si="35"/>
        <v>3.2764699869989158E-2</v>
      </c>
    </row>
    <row r="420" spans="1:20" x14ac:dyDescent="0.3">
      <c r="A420" s="2" t="s">
        <v>1168</v>
      </c>
      <c r="B420" s="6" t="s">
        <v>1062</v>
      </c>
      <c r="C420" s="2" t="s">
        <v>20</v>
      </c>
      <c r="D420" s="2" t="s">
        <v>37</v>
      </c>
      <c r="E420" s="8">
        <v>382362.07593333331</v>
      </c>
      <c r="F420" s="8">
        <v>184668.11173333332</v>
      </c>
      <c r="G420" s="8">
        <v>29.353666666666669</v>
      </c>
      <c r="J420">
        <v>382362.10840000003</v>
      </c>
      <c r="K420">
        <v>184668.14360000001</v>
      </c>
      <c r="L420">
        <v>29.3629</v>
      </c>
      <c r="M420" s="3">
        <f t="shared" si="36"/>
        <v>3.2466666714753956E-2</v>
      </c>
      <c r="N420" s="3">
        <f t="shared" si="36"/>
        <v>3.1866666686255485E-2</v>
      </c>
      <c r="O420" s="3">
        <f t="shared" si="32"/>
        <v>9.2333333333307621E-3</v>
      </c>
      <c r="P420">
        <f t="shared" si="33"/>
        <v>1.0540844475669124E-3</v>
      </c>
      <c r="Q420">
        <f t="shared" si="33"/>
        <v>1.0154844456929052E-3</v>
      </c>
      <c r="R420">
        <f t="shared" si="33"/>
        <v>8.5254444444396969E-5</v>
      </c>
      <c r="S420">
        <f t="shared" si="34"/>
        <v>2.0695688932598176E-3</v>
      </c>
      <c r="T420">
        <f t="shared" si="35"/>
        <v>4.549251469483543E-2</v>
      </c>
    </row>
    <row r="421" spans="1:20" x14ac:dyDescent="0.3">
      <c r="A421" s="2" t="s">
        <v>1168</v>
      </c>
      <c r="B421" s="6" t="s">
        <v>1062</v>
      </c>
      <c r="C421" s="2" t="s">
        <v>20</v>
      </c>
      <c r="D421" s="2" t="s">
        <v>46</v>
      </c>
      <c r="E421" s="8">
        <v>382362.08056666673</v>
      </c>
      <c r="F421" s="8">
        <v>184668.11203333331</v>
      </c>
      <c r="G421" s="8">
        <v>29.365666666666666</v>
      </c>
      <c r="J421">
        <v>382362.10840000003</v>
      </c>
      <c r="K421">
        <v>184668.14360000001</v>
      </c>
      <c r="L421">
        <v>29.3629</v>
      </c>
      <c r="M421" s="3">
        <f t="shared" si="36"/>
        <v>2.7833333297166973E-2</v>
      </c>
      <c r="N421" s="3">
        <f t="shared" si="36"/>
        <v>3.156666670111008E-2</v>
      </c>
      <c r="O421" s="3">
        <f t="shared" si="32"/>
        <v>2.7666666666661399E-3</v>
      </c>
      <c r="P421">
        <f t="shared" si="33"/>
        <v>7.7469444243118374E-4</v>
      </c>
      <c r="Q421">
        <f t="shared" si="33"/>
        <v>9.9645444661897197E-4</v>
      </c>
      <c r="R421">
        <f t="shared" si="33"/>
        <v>7.6544444444415293E-6</v>
      </c>
      <c r="S421">
        <f t="shared" si="34"/>
        <v>1.7711488890501557E-3</v>
      </c>
      <c r="T421">
        <f t="shared" si="35"/>
        <v>4.2085019770105321E-2</v>
      </c>
    </row>
    <row r="422" spans="1:20" x14ac:dyDescent="0.3">
      <c r="A422" s="2" t="s">
        <v>1168</v>
      </c>
      <c r="B422" s="6" t="s">
        <v>1062</v>
      </c>
      <c r="C422" s="2" t="s">
        <v>51</v>
      </c>
      <c r="D422" s="2" t="s">
        <v>63</v>
      </c>
      <c r="E422" s="8">
        <v>382362.07780000003</v>
      </c>
      <c r="F422" s="8">
        <v>184668.11419999998</v>
      </c>
      <c r="G422" s="8">
        <v>29.343</v>
      </c>
      <c r="J422">
        <v>382362.10840000003</v>
      </c>
      <c r="K422">
        <v>184668.14360000001</v>
      </c>
      <c r="L422">
        <v>29.3629</v>
      </c>
      <c r="M422" s="3">
        <f t="shared" si="36"/>
        <v>3.0599999998230487E-2</v>
      </c>
      <c r="N422" s="3">
        <f t="shared" si="36"/>
        <v>2.9400000028545037E-2</v>
      </c>
      <c r="O422" s="3">
        <f t="shared" si="32"/>
        <v>1.9899999999999807E-2</v>
      </c>
      <c r="P422">
        <f t="shared" si="33"/>
        <v>9.3635999989170578E-4</v>
      </c>
      <c r="Q422">
        <f t="shared" si="33"/>
        <v>8.6436000167844818E-4</v>
      </c>
      <c r="R422">
        <f t="shared" si="33"/>
        <v>3.9600999999999233E-4</v>
      </c>
      <c r="S422">
        <f t="shared" si="34"/>
        <v>1.800720001570154E-3</v>
      </c>
      <c r="T422">
        <f t="shared" si="35"/>
        <v>4.2434891322709355E-2</v>
      </c>
    </row>
    <row r="423" spans="1:20" x14ac:dyDescent="0.3">
      <c r="A423" s="2" t="s">
        <v>1168</v>
      </c>
      <c r="B423" s="6" t="s">
        <v>1062</v>
      </c>
      <c r="C423" s="2" t="s">
        <v>51</v>
      </c>
      <c r="D423" s="2" t="s">
        <v>30</v>
      </c>
      <c r="E423" s="8">
        <v>382362.08560000005</v>
      </c>
      <c r="F423" s="8">
        <v>184668.11470000003</v>
      </c>
      <c r="G423" s="8">
        <v>29.339333333333332</v>
      </c>
      <c r="J423">
        <v>382362.10840000003</v>
      </c>
      <c r="K423">
        <v>184668.14360000001</v>
      </c>
      <c r="L423">
        <v>29.3629</v>
      </c>
      <c r="M423" s="3">
        <f t="shared" si="36"/>
        <v>2.2799999976996332E-2</v>
      </c>
      <c r="N423" s="3">
        <f t="shared" si="36"/>
        <v>2.8899999975692481E-2</v>
      </c>
      <c r="O423" s="3">
        <f t="shared" si="32"/>
        <v>2.3566666666667402E-2</v>
      </c>
      <c r="P423">
        <f t="shared" si="33"/>
        <v>5.1983999895103281E-4</v>
      </c>
      <c r="Q423">
        <f t="shared" si="33"/>
        <v>8.3520999859502541E-4</v>
      </c>
      <c r="R423">
        <f t="shared" si="33"/>
        <v>5.5538777777781238E-4</v>
      </c>
      <c r="S423">
        <f t="shared" si="34"/>
        <v>1.3550499975460582E-3</v>
      </c>
      <c r="T423">
        <f t="shared" si="35"/>
        <v>3.6811003756296271E-2</v>
      </c>
    </row>
    <row r="424" spans="1:20" x14ac:dyDescent="0.3">
      <c r="A424" s="2" t="s">
        <v>1168</v>
      </c>
      <c r="B424" s="6" t="s">
        <v>1062</v>
      </c>
      <c r="C424" s="2" t="s">
        <v>51</v>
      </c>
      <c r="D424" s="2" t="s">
        <v>52</v>
      </c>
      <c r="E424" s="8">
        <v>382362.08623333328</v>
      </c>
      <c r="F424" s="8">
        <v>184668.11603333332</v>
      </c>
      <c r="G424" s="8">
        <v>29.350999999999999</v>
      </c>
      <c r="J424">
        <v>382362.10840000003</v>
      </c>
      <c r="K424">
        <v>184668.14360000001</v>
      </c>
      <c r="L424">
        <v>29.3629</v>
      </c>
      <c r="M424" s="3">
        <f t="shared" si="36"/>
        <v>2.2166666749399155E-2</v>
      </c>
      <c r="N424" s="3">
        <f t="shared" si="36"/>
        <v>2.7566666685743257E-2</v>
      </c>
      <c r="O424" s="3">
        <f t="shared" si="32"/>
        <v>1.1900000000000688E-2</v>
      </c>
      <c r="P424">
        <f t="shared" si="33"/>
        <v>4.9136111477891809E-4</v>
      </c>
      <c r="Q424">
        <f t="shared" si="33"/>
        <v>7.599211121628672E-4</v>
      </c>
      <c r="R424">
        <f t="shared" si="33"/>
        <v>1.4161000000001637E-4</v>
      </c>
      <c r="S424">
        <f t="shared" si="34"/>
        <v>1.2512822269417853E-3</v>
      </c>
      <c r="T424">
        <f t="shared" si="35"/>
        <v>3.5373467838788232E-2</v>
      </c>
    </row>
    <row r="425" spans="1:20" x14ac:dyDescent="0.3">
      <c r="A425" s="2" t="s">
        <v>1168</v>
      </c>
      <c r="B425" s="6" t="s">
        <v>1062</v>
      </c>
      <c r="C425" s="2" t="s">
        <v>422</v>
      </c>
      <c r="D425" s="2" t="s">
        <v>423</v>
      </c>
      <c r="E425" s="8">
        <v>382362.07483333332</v>
      </c>
      <c r="F425" s="8">
        <v>184668.11436666665</v>
      </c>
      <c r="G425" s="8">
        <v>29.374666666666666</v>
      </c>
      <c r="J425">
        <v>382362.10840000003</v>
      </c>
      <c r="K425">
        <v>184668.14360000001</v>
      </c>
      <c r="L425">
        <v>29.3629</v>
      </c>
      <c r="M425" s="3">
        <f t="shared" si="36"/>
        <v>3.3566666708793491E-2</v>
      </c>
      <c r="N425" s="3">
        <f t="shared" si="36"/>
        <v>2.9233333363663405E-2</v>
      </c>
      <c r="O425" s="3">
        <f t="shared" si="32"/>
        <v>1.1766666666666481E-2</v>
      </c>
      <c r="P425">
        <f t="shared" si="33"/>
        <v>1.1267211139392253E-3</v>
      </c>
      <c r="Q425">
        <f t="shared" si="33"/>
        <v>8.54587779551076E-4</v>
      </c>
      <c r="R425">
        <f t="shared" si="33"/>
        <v>1.3845444444444009E-4</v>
      </c>
      <c r="S425">
        <f t="shared" si="34"/>
        <v>1.981308893490301E-3</v>
      </c>
      <c r="T425">
        <f t="shared" si="35"/>
        <v>4.4511896089588242E-2</v>
      </c>
    </row>
    <row r="426" spans="1:20" x14ac:dyDescent="0.3">
      <c r="A426" s="2" t="s">
        <v>1168</v>
      </c>
      <c r="B426" s="6" t="s">
        <v>1063</v>
      </c>
      <c r="C426" s="2" t="s">
        <v>20</v>
      </c>
      <c r="D426" s="2" t="s">
        <v>30</v>
      </c>
      <c r="E426" s="8">
        <v>406199.93900000001</v>
      </c>
      <c r="F426" s="8">
        <v>183285.24143333334</v>
      </c>
      <c r="G426" s="8">
        <v>38.973333333333329</v>
      </c>
      <c r="J426">
        <v>406199.924</v>
      </c>
      <c r="K426">
        <v>183285.23809999999</v>
      </c>
      <c r="L426">
        <v>38.968200000000003</v>
      </c>
      <c r="M426" s="3">
        <f t="shared" si="36"/>
        <v>-1.5000000013969839E-2</v>
      </c>
      <c r="N426" s="3">
        <f t="shared" si="36"/>
        <v>-3.3333333558402956E-3</v>
      </c>
      <c r="O426" s="3">
        <f t="shared" si="32"/>
        <v>5.1333333333261066E-3</v>
      </c>
      <c r="P426">
        <f t="shared" si="33"/>
        <v>2.2500000041909515E-4</v>
      </c>
      <c r="Q426">
        <f t="shared" si="33"/>
        <v>1.1111111261157526E-5</v>
      </c>
      <c r="R426">
        <f t="shared" si="33"/>
        <v>2.6351111111036918E-5</v>
      </c>
      <c r="S426">
        <f t="shared" si="34"/>
        <v>2.3611111168025267E-4</v>
      </c>
      <c r="T426">
        <f t="shared" si="35"/>
        <v>1.53659074473411E-2</v>
      </c>
    </row>
    <row r="427" spans="1:20" x14ac:dyDescent="0.3">
      <c r="A427" s="2" t="s">
        <v>1168</v>
      </c>
      <c r="B427" s="6" t="s">
        <v>1063</v>
      </c>
      <c r="C427" s="2" t="s">
        <v>20</v>
      </c>
      <c r="D427" s="2" t="s">
        <v>21</v>
      </c>
      <c r="E427" s="8">
        <v>406199.92669999995</v>
      </c>
      <c r="F427" s="8">
        <v>183285.23733333335</v>
      </c>
      <c r="G427" s="8">
        <v>38.99</v>
      </c>
      <c r="J427">
        <v>406199.924</v>
      </c>
      <c r="K427">
        <v>183285.23809999999</v>
      </c>
      <c r="L427">
        <v>38.968200000000003</v>
      </c>
      <c r="M427" s="3">
        <f t="shared" si="36"/>
        <v>-2.6999999536201358E-3</v>
      </c>
      <c r="N427" s="3">
        <f t="shared" si="36"/>
        <v>7.666666351724416E-4</v>
      </c>
      <c r="O427" s="3">
        <f t="shared" si="32"/>
        <v>2.1799999999998931E-2</v>
      </c>
      <c r="P427">
        <f t="shared" si="33"/>
        <v>7.2899997495487354E-6</v>
      </c>
      <c r="Q427">
        <f t="shared" si="33"/>
        <v>5.8777772948663367E-7</v>
      </c>
      <c r="R427">
        <f t="shared" si="33"/>
        <v>4.7523999999995342E-4</v>
      </c>
      <c r="S427">
        <f t="shared" si="34"/>
        <v>7.8777774790353682E-6</v>
      </c>
      <c r="T427">
        <f t="shared" si="35"/>
        <v>2.8067378714506574E-3</v>
      </c>
    </row>
    <row r="428" spans="1:20" x14ac:dyDescent="0.3">
      <c r="A428" s="2" t="s">
        <v>1168</v>
      </c>
      <c r="B428" s="6" t="s">
        <v>1064</v>
      </c>
      <c r="C428" s="2" t="s">
        <v>20</v>
      </c>
      <c r="D428" s="2" t="s">
        <v>110</v>
      </c>
      <c r="E428" s="8">
        <v>406199.93236666668</v>
      </c>
      <c r="F428" s="8">
        <v>183285.23816666668</v>
      </c>
      <c r="G428" s="8">
        <v>38.976999999999997</v>
      </c>
      <c r="J428">
        <v>406199.924</v>
      </c>
      <c r="K428">
        <v>183285.23809999999</v>
      </c>
      <c r="L428">
        <v>38.968200000000003</v>
      </c>
      <c r="M428" s="3">
        <f t="shared" si="36"/>
        <v>-8.3666666760109365E-3</v>
      </c>
      <c r="N428" s="3">
        <f t="shared" si="36"/>
        <v>-6.6666689235717058E-5</v>
      </c>
      <c r="O428" s="3">
        <f t="shared" si="32"/>
        <v>8.7999999999937017E-3</v>
      </c>
      <c r="P428">
        <f t="shared" si="33"/>
        <v>7.000111126747189E-5</v>
      </c>
      <c r="Q428">
        <f t="shared" si="33"/>
        <v>4.4444474536516727E-9</v>
      </c>
      <c r="R428">
        <f t="shared" si="33"/>
        <v>7.7439999999889144E-5</v>
      </c>
      <c r="S428">
        <f t="shared" si="34"/>
        <v>7.0005555714925538E-5</v>
      </c>
      <c r="T428">
        <f t="shared" si="35"/>
        <v>8.3669322762243946E-3</v>
      </c>
    </row>
    <row r="429" spans="1:20" x14ac:dyDescent="0.3">
      <c r="A429" s="2" t="s">
        <v>1168</v>
      </c>
      <c r="B429" s="6" t="s">
        <v>1064</v>
      </c>
      <c r="C429" s="2" t="s">
        <v>20</v>
      </c>
      <c r="D429" s="2" t="s">
        <v>37</v>
      </c>
      <c r="E429" s="8">
        <v>406199.93950000004</v>
      </c>
      <c r="F429" s="8">
        <v>183285.23849999998</v>
      </c>
      <c r="G429" s="8">
        <v>38.985999999999997</v>
      </c>
      <c r="J429">
        <v>406199.924</v>
      </c>
      <c r="K429">
        <v>183285.23809999999</v>
      </c>
      <c r="L429">
        <v>38.968200000000003</v>
      </c>
      <c r="M429" s="3">
        <f t="shared" si="36"/>
        <v>-1.5500000037718564E-2</v>
      </c>
      <c r="N429" s="3">
        <f t="shared" si="36"/>
        <v>-3.9999998989515007E-4</v>
      </c>
      <c r="O429" s="3">
        <f t="shared" si="32"/>
        <v>1.7799999999994043E-2</v>
      </c>
      <c r="P429">
        <f t="shared" si="33"/>
        <v>2.4025000116927549E-4</v>
      </c>
      <c r="Q429">
        <f t="shared" si="33"/>
        <v>1.5999999191612015E-7</v>
      </c>
      <c r="R429">
        <f t="shared" si="33"/>
        <v>3.1683999999978791E-4</v>
      </c>
      <c r="S429">
        <f t="shared" si="34"/>
        <v>2.4041000116119162E-4</v>
      </c>
      <c r="T429">
        <f t="shared" si="35"/>
        <v>1.5505160468734002E-2</v>
      </c>
    </row>
    <row r="430" spans="1:20" x14ac:dyDescent="0.3">
      <c r="A430" s="2" t="s">
        <v>1168</v>
      </c>
      <c r="B430" s="6" t="s">
        <v>1064</v>
      </c>
      <c r="C430" s="2" t="s">
        <v>20</v>
      </c>
      <c r="D430" s="2" t="s">
        <v>46</v>
      </c>
      <c r="E430" s="8">
        <v>406199.93526666664</v>
      </c>
      <c r="F430" s="8">
        <v>183285.24176666667</v>
      </c>
      <c r="G430" s="8">
        <v>38.983666666666664</v>
      </c>
      <c r="J430">
        <v>406199.924</v>
      </c>
      <c r="K430">
        <v>183285.23809999999</v>
      </c>
      <c r="L430">
        <v>38.968200000000003</v>
      </c>
      <c r="M430" s="3">
        <f t="shared" si="36"/>
        <v>-1.1266666639130563E-2</v>
      </c>
      <c r="N430" s="3">
        <f t="shared" si="36"/>
        <v>-3.666666685603559E-3</v>
      </c>
      <c r="O430" s="3">
        <f t="shared" si="32"/>
        <v>1.5466666666661411E-2</v>
      </c>
      <c r="P430">
        <f t="shared" si="33"/>
        <v>1.2693777715729756E-4</v>
      </c>
      <c r="Q430">
        <f t="shared" si="33"/>
        <v>1.3444444583314989E-5</v>
      </c>
      <c r="R430">
        <f t="shared" si="33"/>
        <v>2.3921777777761519E-4</v>
      </c>
      <c r="S430">
        <f t="shared" si="34"/>
        <v>1.4038222174061256E-4</v>
      </c>
      <c r="T430">
        <f t="shared" si="35"/>
        <v>1.1848300373497144E-2</v>
      </c>
    </row>
    <row r="431" spans="1:20" x14ac:dyDescent="0.3">
      <c r="A431" s="2" t="s">
        <v>1168</v>
      </c>
      <c r="B431" s="6" t="s">
        <v>1064</v>
      </c>
      <c r="C431" s="2" t="s">
        <v>51</v>
      </c>
      <c r="D431" s="2" t="s">
        <v>63</v>
      </c>
      <c r="E431" s="8">
        <v>406199.80470000004</v>
      </c>
      <c r="F431" s="8">
        <v>183285.20360000001</v>
      </c>
      <c r="G431" s="8">
        <v>38.928000000000004</v>
      </c>
      <c r="J431">
        <v>406199.924</v>
      </c>
      <c r="K431">
        <v>183285.23809999999</v>
      </c>
      <c r="L431">
        <v>38.968200000000003</v>
      </c>
      <c r="M431" s="3">
        <f t="shared" si="36"/>
        <v>0.11929999996209517</v>
      </c>
      <c r="N431" s="3">
        <f t="shared" si="36"/>
        <v>3.4499999979743734E-2</v>
      </c>
      <c r="O431" s="3">
        <f t="shared" si="32"/>
        <v>4.0199999999998681E-2</v>
      </c>
      <c r="P431">
        <f t="shared" si="33"/>
        <v>1.4232489990955909E-2</v>
      </c>
      <c r="Q431">
        <f t="shared" si="33"/>
        <v>1.1902499986023176E-3</v>
      </c>
      <c r="R431">
        <f t="shared" si="33"/>
        <v>1.616039999999894E-3</v>
      </c>
      <c r="S431">
        <f t="shared" si="34"/>
        <v>1.5422739989558227E-2</v>
      </c>
      <c r="T431">
        <f t="shared" si="35"/>
        <v>0.12418832469100397</v>
      </c>
    </row>
    <row r="432" spans="1:20" x14ac:dyDescent="0.3">
      <c r="A432" s="2" t="s">
        <v>1168</v>
      </c>
      <c r="B432" s="6" t="s">
        <v>1064</v>
      </c>
      <c r="C432" s="2" t="s">
        <v>51</v>
      </c>
      <c r="D432" s="2" t="s">
        <v>30</v>
      </c>
      <c r="E432" s="8">
        <v>406199.91766666668</v>
      </c>
      <c r="F432" s="8">
        <v>183285.23523333334</v>
      </c>
      <c r="G432" s="8">
        <v>38.914999999999999</v>
      </c>
      <c r="J432">
        <v>406199.924</v>
      </c>
      <c r="K432">
        <v>183285.23809999999</v>
      </c>
      <c r="L432">
        <v>38.968200000000003</v>
      </c>
      <c r="M432" s="3">
        <f t="shared" si="36"/>
        <v>6.3333333237096667E-3</v>
      </c>
      <c r="N432" s="3">
        <f t="shared" si="36"/>
        <v>2.866666647605598E-3</v>
      </c>
      <c r="O432" s="3">
        <f t="shared" si="32"/>
        <v>5.3200000000003911E-2</v>
      </c>
      <c r="P432">
        <f t="shared" si="33"/>
        <v>4.0111110989211334E-5</v>
      </c>
      <c r="Q432">
        <f t="shared" si="33"/>
        <v>8.2177776684943176E-6</v>
      </c>
      <c r="R432">
        <f t="shared" si="33"/>
        <v>2.8302400000004163E-3</v>
      </c>
      <c r="S432">
        <f t="shared" si="34"/>
        <v>4.8328888657705652E-5</v>
      </c>
      <c r="T432">
        <f t="shared" si="35"/>
        <v>6.9518982053612989E-3</v>
      </c>
    </row>
    <row r="433" spans="1:20" x14ac:dyDescent="0.3">
      <c r="A433" s="2" t="s">
        <v>1168</v>
      </c>
      <c r="B433" s="6" t="s">
        <v>1064</v>
      </c>
      <c r="C433" s="2" t="s">
        <v>51</v>
      </c>
      <c r="D433" s="2" t="s">
        <v>52</v>
      </c>
      <c r="E433" s="8">
        <v>406199.92843333335</v>
      </c>
      <c r="F433" s="8">
        <v>183285.23449999999</v>
      </c>
      <c r="G433" s="8">
        <v>38.891333333333336</v>
      </c>
      <c r="J433">
        <v>406199.924</v>
      </c>
      <c r="K433">
        <v>183285.23809999999</v>
      </c>
      <c r="L433">
        <v>38.968200000000003</v>
      </c>
      <c r="M433" s="3">
        <f t="shared" si="36"/>
        <v>-4.4333333498798311E-3</v>
      </c>
      <c r="N433" s="3">
        <f t="shared" si="36"/>
        <v>3.599999996367842E-3</v>
      </c>
      <c r="O433" s="3">
        <f t="shared" si="32"/>
        <v>7.6866666666667527E-2</v>
      </c>
      <c r="P433">
        <f t="shared" si="33"/>
        <v>1.9654444591156725E-5</v>
      </c>
      <c r="Q433">
        <f t="shared" si="33"/>
        <v>1.2959999973848462E-5</v>
      </c>
      <c r="R433">
        <f t="shared" si="33"/>
        <v>5.9084844444445769E-3</v>
      </c>
      <c r="S433">
        <f t="shared" si="34"/>
        <v>3.2614444565005187E-5</v>
      </c>
      <c r="T433">
        <f t="shared" si="35"/>
        <v>5.7109057569710592E-3</v>
      </c>
    </row>
    <row r="434" spans="1:20" x14ac:dyDescent="0.3">
      <c r="A434" s="2" t="s">
        <v>1168</v>
      </c>
      <c r="B434" s="6" t="s">
        <v>1065</v>
      </c>
      <c r="C434" s="2" t="s">
        <v>20</v>
      </c>
      <c r="D434" s="2" t="s">
        <v>30</v>
      </c>
      <c r="E434" s="8">
        <v>408620.66400000005</v>
      </c>
      <c r="F434" s="8">
        <v>192578.1777</v>
      </c>
      <c r="G434" s="8">
        <v>41.444333333333333</v>
      </c>
      <c r="J434">
        <v>408620.61119999998</v>
      </c>
      <c r="K434">
        <v>192578.1575</v>
      </c>
      <c r="L434">
        <v>41.438200000000002</v>
      </c>
      <c r="M434" s="3">
        <f t="shared" si="36"/>
        <v>-5.2800000063143671E-2</v>
      </c>
      <c r="N434" s="3">
        <f t="shared" si="36"/>
        <v>-2.0199999999022111E-2</v>
      </c>
      <c r="O434" s="3">
        <f t="shared" si="32"/>
        <v>6.1333333333308815E-3</v>
      </c>
      <c r="P434">
        <f t="shared" si="33"/>
        <v>2.7878400066679715E-3</v>
      </c>
      <c r="Q434">
        <f t="shared" si="33"/>
        <v>4.0803999996049328E-4</v>
      </c>
      <c r="R434">
        <f t="shared" si="33"/>
        <v>3.76177777777477E-5</v>
      </c>
      <c r="S434">
        <f t="shared" si="34"/>
        <v>3.1958800066284646E-3</v>
      </c>
      <c r="T434">
        <f t="shared" si="35"/>
        <v>5.6532114825366866E-2</v>
      </c>
    </row>
    <row r="435" spans="1:20" x14ac:dyDescent="0.3">
      <c r="A435" s="2" t="s">
        <v>1168</v>
      </c>
      <c r="B435" s="6" t="s">
        <v>1065</v>
      </c>
      <c r="C435" s="2" t="s">
        <v>20</v>
      </c>
      <c r="D435" s="2" t="s">
        <v>21</v>
      </c>
      <c r="E435" s="8">
        <v>408620.66073333332</v>
      </c>
      <c r="F435" s="8">
        <v>192578.17610000001</v>
      </c>
      <c r="G435" s="8">
        <v>41.45</v>
      </c>
      <c r="J435">
        <v>408620.61119999998</v>
      </c>
      <c r="K435">
        <v>192578.1575</v>
      </c>
      <c r="L435">
        <v>41.438200000000002</v>
      </c>
      <c r="M435" s="3">
        <f t="shared" si="36"/>
        <v>-4.9533333338331431E-2</v>
      </c>
      <c r="N435" s="3">
        <f t="shared" si="36"/>
        <v>-1.8600000010337681E-2</v>
      </c>
      <c r="O435" s="3">
        <f t="shared" si="32"/>
        <v>1.1800000000000921E-2</v>
      </c>
      <c r="P435">
        <f t="shared" si="33"/>
        <v>2.4535511116062559E-3</v>
      </c>
      <c r="Q435">
        <f t="shared" si="33"/>
        <v>3.4596000038456171E-4</v>
      </c>
      <c r="R435">
        <f t="shared" si="33"/>
        <v>1.3924000000002174E-4</v>
      </c>
      <c r="S435">
        <f t="shared" si="34"/>
        <v>2.7995111119908178E-3</v>
      </c>
      <c r="T435">
        <f t="shared" si="35"/>
        <v>5.2910406462158444E-2</v>
      </c>
    </row>
    <row r="436" spans="1:20" x14ac:dyDescent="0.3">
      <c r="A436" s="2" t="s">
        <v>1168</v>
      </c>
      <c r="B436" s="6" t="s">
        <v>1066</v>
      </c>
      <c r="C436" s="2" t="s">
        <v>20</v>
      </c>
      <c r="D436" s="2" t="s">
        <v>110</v>
      </c>
      <c r="E436" s="8">
        <v>408620.67723333329</v>
      </c>
      <c r="F436" s="8">
        <v>192578.19326666664</v>
      </c>
      <c r="G436" s="8">
        <v>41.45933333333334</v>
      </c>
      <c r="J436">
        <v>408620.61119999998</v>
      </c>
      <c r="K436">
        <v>192578.1575</v>
      </c>
      <c r="L436">
        <v>41.438200000000002</v>
      </c>
      <c r="M436" s="3">
        <f t="shared" si="36"/>
        <v>-6.6033333307132125E-2</v>
      </c>
      <c r="N436" s="3">
        <f t="shared" si="36"/>
        <v>-3.5766666638664901E-2</v>
      </c>
      <c r="O436" s="3">
        <f t="shared" si="32"/>
        <v>2.1133333333338555E-2</v>
      </c>
      <c r="P436">
        <f t="shared" si="33"/>
        <v>4.3604011076508048E-3</v>
      </c>
      <c r="Q436">
        <f t="shared" si="33"/>
        <v>1.2792544424413848E-3</v>
      </c>
      <c r="R436">
        <f t="shared" si="33"/>
        <v>4.4661777777799848E-4</v>
      </c>
      <c r="S436">
        <f t="shared" si="34"/>
        <v>5.6396555500921892E-3</v>
      </c>
      <c r="T436">
        <f t="shared" si="35"/>
        <v>7.5097640110007385E-2</v>
      </c>
    </row>
    <row r="437" spans="1:20" x14ac:dyDescent="0.3">
      <c r="A437" s="2" t="s">
        <v>1168</v>
      </c>
      <c r="B437" s="6" t="s">
        <v>1066</v>
      </c>
      <c r="C437" s="2" t="s">
        <v>20</v>
      </c>
      <c r="D437" s="2" t="s">
        <v>37</v>
      </c>
      <c r="E437" s="8">
        <v>408620.65539999999</v>
      </c>
      <c r="F437" s="8">
        <v>192578.17703333334</v>
      </c>
      <c r="G437" s="8">
        <v>41.43566666666667</v>
      </c>
      <c r="J437">
        <v>408620.61119999998</v>
      </c>
      <c r="K437">
        <v>192578.1575</v>
      </c>
      <c r="L437">
        <v>41.438200000000002</v>
      </c>
      <c r="M437" s="3">
        <f t="shared" si="36"/>
        <v>-4.4200000003911555E-2</v>
      </c>
      <c r="N437" s="3">
        <f t="shared" si="36"/>
        <v>-1.9533333339495584E-2</v>
      </c>
      <c r="O437" s="3">
        <f t="shared" si="32"/>
        <v>2.5333333333321661E-3</v>
      </c>
      <c r="P437">
        <f t="shared" si="33"/>
        <v>1.9536400003457815E-3</v>
      </c>
      <c r="Q437">
        <f t="shared" si="33"/>
        <v>3.8155111135184972E-4</v>
      </c>
      <c r="R437">
        <f t="shared" si="33"/>
        <v>6.4177777777718638E-6</v>
      </c>
      <c r="S437">
        <f t="shared" si="34"/>
        <v>2.3351911116976311E-3</v>
      </c>
      <c r="T437">
        <f t="shared" si="35"/>
        <v>4.8323815160825526E-2</v>
      </c>
    </row>
    <row r="438" spans="1:20" x14ac:dyDescent="0.3">
      <c r="A438" s="2" t="s">
        <v>1168</v>
      </c>
      <c r="B438" s="6" t="s">
        <v>1066</v>
      </c>
      <c r="C438" s="2" t="s">
        <v>20</v>
      </c>
      <c r="D438" s="2" t="s">
        <v>46</v>
      </c>
      <c r="E438" s="8">
        <v>408620.65539999999</v>
      </c>
      <c r="F438" s="8">
        <v>192578.17246666667</v>
      </c>
      <c r="G438" s="8">
        <v>41.425999999999995</v>
      </c>
      <c r="J438">
        <v>408620.61119999998</v>
      </c>
      <c r="K438">
        <v>192578.1575</v>
      </c>
      <c r="L438">
        <v>41.438200000000002</v>
      </c>
      <c r="M438" s="3">
        <f t="shared" si="36"/>
        <v>-4.4200000003911555E-2</v>
      </c>
      <c r="N438" s="3">
        <f t="shared" si="36"/>
        <v>-1.496666666935198E-2</v>
      </c>
      <c r="O438" s="3">
        <f t="shared" si="32"/>
        <v>1.2200000000007094E-2</v>
      </c>
      <c r="P438">
        <f t="shared" si="33"/>
        <v>1.9536400003457815E-3</v>
      </c>
      <c r="Q438">
        <f t="shared" si="33"/>
        <v>2.2400111119149149E-4</v>
      </c>
      <c r="R438">
        <f t="shared" si="33"/>
        <v>1.4884000000017308E-4</v>
      </c>
      <c r="S438">
        <f t="shared" si="34"/>
        <v>2.177641111537273E-3</v>
      </c>
      <c r="T438">
        <f t="shared" si="35"/>
        <v>4.6665202362544976E-2</v>
      </c>
    </row>
    <row r="439" spans="1:20" x14ac:dyDescent="0.3">
      <c r="A439" s="2" t="s">
        <v>1168</v>
      </c>
      <c r="B439" s="6" t="s">
        <v>1066</v>
      </c>
      <c r="C439" s="2" t="s">
        <v>51</v>
      </c>
      <c r="D439" s="2" t="s">
        <v>63</v>
      </c>
      <c r="E439" s="8">
        <v>408620.62370000005</v>
      </c>
      <c r="F439" s="8">
        <v>192578.16613333335</v>
      </c>
      <c r="G439" s="8">
        <v>41.422333333333334</v>
      </c>
      <c r="J439">
        <v>408620.61119999998</v>
      </c>
      <c r="K439">
        <v>192578.1575</v>
      </c>
      <c r="L439">
        <v>41.438200000000002</v>
      </c>
      <c r="M439" s="3">
        <f t="shared" si="36"/>
        <v>-1.2500000069849193E-2</v>
      </c>
      <c r="N439" s="3">
        <f t="shared" si="36"/>
        <v>-8.6333333456423134E-3</v>
      </c>
      <c r="O439" s="3">
        <f t="shared" si="32"/>
        <v>1.5866666666667584E-2</v>
      </c>
      <c r="P439">
        <f t="shared" si="33"/>
        <v>1.5625000174622982E-4</v>
      </c>
      <c r="Q439">
        <f t="shared" si="33"/>
        <v>7.4534444656979506E-5</v>
      </c>
      <c r="R439">
        <f t="shared" si="33"/>
        <v>2.5175111111114024E-4</v>
      </c>
      <c r="S439">
        <f t="shared" si="34"/>
        <v>2.3078444640320931E-4</v>
      </c>
      <c r="T439">
        <f t="shared" si="35"/>
        <v>1.5191591305824722E-2</v>
      </c>
    </row>
    <row r="440" spans="1:20" x14ac:dyDescent="0.3">
      <c r="A440" s="2" t="s">
        <v>1168</v>
      </c>
      <c r="B440" s="6" t="s">
        <v>1066</v>
      </c>
      <c r="C440" s="2" t="s">
        <v>51</v>
      </c>
      <c r="D440" s="2" t="s">
        <v>30</v>
      </c>
      <c r="E440" s="8">
        <v>408620.63993333332</v>
      </c>
      <c r="F440" s="8">
        <v>192578.16760000002</v>
      </c>
      <c r="G440" s="8">
        <v>41.436</v>
      </c>
      <c r="J440">
        <v>408620.61119999998</v>
      </c>
      <c r="K440">
        <v>192578.1575</v>
      </c>
      <c r="L440">
        <v>41.438200000000002</v>
      </c>
      <c r="M440" s="3">
        <f t="shared" si="36"/>
        <v>-2.873333333991468E-2</v>
      </c>
      <c r="N440" s="3">
        <f t="shared" si="36"/>
        <v>-1.0100000014062971E-2</v>
      </c>
      <c r="O440" s="3">
        <f t="shared" si="32"/>
        <v>2.2000000000019782E-3</v>
      </c>
      <c r="P440">
        <f t="shared" si="33"/>
        <v>8.2560444482265242E-4</v>
      </c>
      <c r="Q440">
        <f t="shared" si="33"/>
        <v>1.0201000028407201E-4</v>
      </c>
      <c r="R440">
        <f t="shared" si="33"/>
        <v>4.8400000000087035E-6</v>
      </c>
      <c r="S440">
        <f t="shared" si="34"/>
        <v>9.2761444510672448E-4</v>
      </c>
      <c r="T440">
        <f t="shared" si="35"/>
        <v>3.0456763536310362E-2</v>
      </c>
    </row>
    <row r="441" spans="1:20" x14ac:dyDescent="0.3">
      <c r="A441" s="2" t="s">
        <v>1168</v>
      </c>
      <c r="B441" s="6" t="s">
        <v>1066</v>
      </c>
      <c r="C441" s="2" t="s">
        <v>51</v>
      </c>
      <c r="D441" s="2" t="s">
        <v>52</v>
      </c>
      <c r="E441" s="8">
        <v>408620.64963333332</v>
      </c>
      <c r="F441" s="8">
        <v>192578.18523333335</v>
      </c>
      <c r="G441" s="8">
        <v>41.529333333333334</v>
      </c>
      <c r="J441">
        <v>408620.61119999998</v>
      </c>
      <c r="K441">
        <v>192578.1575</v>
      </c>
      <c r="L441">
        <v>41.438200000000002</v>
      </c>
      <c r="M441" s="3">
        <f t="shared" si="36"/>
        <v>-3.843333333497867E-2</v>
      </c>
      <c r="N441" s="3">
        <f t="shared" si="36"/>
        <v>-2.7733333350624889E-2</v>
      </c>
      <c r="O441" s="3">
        <f t="shared" si="32"/>
        <v>9.1133333333331734E-2</v>
      </c>
      <c r="P441">
        <f t="shared" si="33"/>
        <v>1.4771211112375826E-3</v>
      </c>
      <c r="Q441">
        <f t="shared" si="33"/>
        <v>7.6913777873688274E-4</v>
      </c>
      <c r="R441">
        <f t="shared" si="33"/>
        <v>8.3052844444441529E-3</v>
      </c>
      <c r="S441">
        <f t="shared" si="34"/>
        <v>2.2462588899744653E-3</v>
      </c>
      <c r="T441">
        <f t="shared" si="35"/>
        <v>4.7394713734492215E-2</v>
      </c>
    </row>
    <row r="442" spans="1:20" x14ac:dyDescent="0.3">
      <c r="A442" s="2" t="s">
        <v>1168</v>
      </c>
      <c r="B442" s="6" t="s">
        <v>1066</v>
      </c>
      <c r="C442" s="2" t="s">
        <v>422</v>
      </c>
      <c r="D442" s="2" t="s">
        <v>423</v>
      </c>
      <c r="E442" s="8">
        <v>408620.60719999997</v>
      </c>
      <c r="F442" s="8">
        <v>192578.04216666668</v>
      </c>
      <c r="G442" s="8">
        <v>41.284333333333336</v>
      </c>
      <c r="J442">
        <v>408620.61119999998</v>
      </c>
      <c r="K442">
        <v>192578.1575</v>
      </c>
      <c r="L442">
        <v>41.438200000000002</v>
      </c>
      <c r="M442" s="3">
        <f t="shared" si="36"/>
        <v>4.0000000153668225E-3</v>
      </c>
      <c r="N442" s="3">
        <f t="shared" si="36"/>
        <v>0.11533333332045004</v>
      </c>
      <c r="O442" s="3">
        <f t="shared" si="32"/>
        <v>0.15386666666666571</v>
      </c>
      <c r="P442">
        <f t="shared" si="33"/>
        <v>1.600000012293458E-5</v>
      </c>
      <c r="Q442">
        <f t="shared" si="33"/>
        <v>1.3301777774806031E-2</v>
      </c>
      <c r="R442">
        <f t="shared" si="33"/>
        <v>2.3674951111110815E-2</v>
      </c>
      <c r="S442">
        <f t="shared" si="34"/>
        <v>1.3317777774928966E-2</v>
      </c>
      <c r="T442">
        <f t="shared" si="35"/>
        <v>0.11540267663676163</v>
      </c>
    </row>
    <row r="443" spans="1:20" x14ac:dyDescent="0.3">
      <c r="A443" s="2" t="s">
        <v>1168</v>
      </c>
      <c r="B443" s="6" t="s">
        <v>1067</v>
      </c>
      <c r="C443" s="2" t="s">
        <v>20</v>
      </c>
      <c r="D443" s="2" t="s">
        <v>30</v>
      </c>
      <c r="E443" s="8">
        <v>432692.07406666671</v>
      </c>
      <c r="F443" s="8">
        <v>194608.79236666669</v>
      </c>
      <c r="G443" s="8">
        <v>89.199666666666687</v>
      </c>
      <c r="J443">
        <v>432692.09159999999</v>
      </c>
      <c r="K443">
        <v>194608.7898</v>
      </c>
      <c r="L443">
        <v>89.228300000000004</v>
      </c>
      <c r="M443" s="3">
        <f t="shared" si="36"/>
        <v>1.7533333273604512E-2</v>
      </c>
      <c r="N443" s="3">
        <f t="shared" si="36"/>
        <v>-2.5666666915640235E-3</v>
      </c>
      <c r="O443" s="3">
        <f t="shared" si="32"/>
        <v>2.8633333333317523E-2</v>
      </c>
      <c r="P443">
        <f t="shared" si="33"/>
        <v>3.0741777568328712E-4</v>
      </c>
      <c r="Q443">
        <f t="shared" si="33"/>
        <v>6.5877779055842101E-6</v>
      </c>
      <c r="R443">
        <f t="shared" si="33"/>
        <v>8.1986777777687237E-4</v>
      </c>
      <c r="S443">
        <f t="shared" si="34"/>
        <v>3.1400555358887132E-4</v>
      </c>
      <c r="T443">
        <f t="shared" si="35"/>
        <v>1.7720201849552145E-2</v>
      </c>
    </row>
    <row r="444" spans="1:20" x14ac:dyDescent="0.3">
      <c r="A444" s="2" t="s">
        <v>1168</v>
      </c>
      <c r="B444" s="6" t="s">
        <v>1067</v>
      </c>
      <c r="C444" s="2" t="s">
        <v>20</v>
      </c>
      <c r="D444" s="2" t="s">
        <v>21</v>
      </c>
      <c r="E444" s="8">
        <v>432692.08030000003</v>
      </c>
      <c r="F444" s="8">
        <v>194608.78506666666</v>
      </c>
      <c r="G444" s="8">
        <v>89.203333333333333</v>
      </c>
      <c r="J444">
        <v>432692.09159999999</v>
      </c>
      <c r="K444">
        <v>194608.7898</v>
      </c>
      <c r="L444">
        <v>89.228300000000004</v>
      </c>
      <c r="M444" s="3">
        <f t="shared" si="36"/>
        <v>1.1299999954644591E-2</v>
      </c>
      <c r="N444" s="3">
        <f t="shared" si="36"/>
        <v>4.733333335025236E-3</v>
      </c>
      <c r="O444" s="3">
        <f t="shared" si="32"/>
        <v>2.4966666666671244E-2</v>
      </c>
      <c r="P444">
        <f t="shared" si="33"/>
        <v>1.2768999897496775E-4</v>
      </c>
      <c r="Q444">
        <f t="shared" si="33"/>
        <v>2.2404444460461122E-5</v>
      </c>
      <c r="R444">
        <f t="shared" si="33"/>
        <v>6.2333444444467303E-4</v>
      </c>
      <c r="S444">
        <f t="shared" si="34"/>
        <v>1.5009444343542887E-4</v>
      </c>
      <c r="T444">
        <f t="shared" si="35"/>
        <v>1.2251303744313454E-2</v>
      </c>
    </row>
    <row r="445" spans="1:20" x14ac:dyDescent="0.3">
      <c r="A445" s="2" t="s">
        <v>1168</v>
      </c>
      <c r="B445" s="6" t="s">
        <v>1068</v>
      </c>
      <c r="C445" s="2" t="s">
        <v>20</v>
      </c>
      <c r="D445" s="2" t="s">
        <v>110</v>
      </c>
      <c r="E445" s="8">
        <v>432692.06700000004</v>
      </c>
      <c r="F445" s="8">
        <v>194608.77873333334</v>
      </c>
      <c r="G445" s="8">
        <v>89.179666666666662</v>
      </c>
      <c r="J445">
        <v>432692.09159999999</v>
      </c>
      <c r="K445">
        <v>194608.7898</v>
      </c>
      <c r="L445">
        <v>89.228300000000004</v>
      </c>
      <c r="M445" s="3">
        <f t="shared" si="36"/>
        <v>2.4599999946076423E-2</v>
      </c>
      <c r="N445" s="3">
        <f t="shared" si="36"/>
        <v>1.1066666658734903E-2</v>
      </c>
      <c r="O445" s="3">
        <f t="shared" si="32"/>
        <v>4.8633333333341966E-2</v>
      </c>
      <c r="P445">
        <f t="shared" si="33"/>
        <v>6.0515999734695998E-4</v>
      </c>
      <c r="Q445">
        <f t="shared" si="33"/>
        <v>1.2247111093555474E-4</v>
      </c>
      <c r="R445">
        <f t="shared" si="33"/>
        <v>2.3652011111119507E-3</v>
      </c>
      <c r="S445">
        <f t="shared" si="34"/>
        <v>7.2763110828251475E-4</v>
      </c>
      <c r="T445">
        <f t="shared" si="35"/>
        <v>2.6974638241921145E-2</v>
      </c>
    </row>
    <row r="446" spans="1:20" x14ac:dyDescent="0.3">
      <c r="A446" s="2" t="s">
        <v>1168</v>
      </c>
      <c r="B446" s="6" t="s">
        <v>1068</v>
      </c>
      <c r="C446" s="2" t="s">
        <v>20</v>
      </c>
      <c r="D446" s="2" t="s">
        <v>37</v>
      </c>
      <c r="E446" s="8">
        <v>432692.07769999997</v>
      </c>
      <c r="F446" s="8">
        <v>194608.76846666669</v>
      </c>
      <c r="G446" s="8">
        <v>89.218666666666664</v>
      </c>
      <c r="J446">
        <v>432692.09159999999</v>
      </c>
      <c r="K446">
        <v>194608.7898</v>
      </c>
      <c r="L446">
        <v>89.228300000000004</v>
      </c>
      <c r="M446" s="3">
        <f t="shared" si="36"/>
        <v>1.3900000019930303E-2</v>
      </c>
      <c r="N446" s="3">
        <f t="shared" si="36"/>
        <v>2.1333333308575675E-2</v>
      </c>
      <c r="O446" s="3">
        <f t="shared" si="32"/>
        <v>9.633333333340488E-3</v>
      </c>
      <c r="P446">
        <f t="shared" si="33"/>
        <v>1.9321000055406241E-4</v>
      </c>
      <c r="Q446">
        <f t="shared" si="33"/>
        <v>4.5511111005478436E-4</v>
      </c>
      <c r="R446">
        <f t="shared" si="33"/>
        <v>9.2801111111248953E-5</v>
      </c>
      <c r="S446">
        <f t="shared" si="34"/>
        <v>6.4832111060884683E-4</v>
      </c>
      <c r="T446">
        <f t="shared" si="35"/>
        <v>2.5462150549567623E-2</v>
      </c>
    </row>
    <row r="447" spans="1:20" x14ac:dyDescent="0.3">
      <c r="A447" s="2" t="s">
        <v>1168</v>
      </c>
      <c r="B447" s="6" t="s">
        <v>1068</v>
      </c>
      <c r="C447" s="2" t="s">
        <v>20</v>
      </c>
      <c r="D447" s="2" t="s">
        <v>46</v>
      </c>
      <c r="E447" s="8">
        <v>432692.08756666671</v>
      </c>
      <c r="F447" s="8">
        <v>194608.77029999997</v>
      </c>
      <c r="G447" s="8">
        <v>89.210666666666668</v>
      </c>
      <c r="J447">
        <v>432692.09159999999</v>
      </c>
      <c r="K447">
        <v>194608.7898</v>
      </c>
      <c r="L447">
        <v>89.228300000000004</v>
      </c>
      <c r="M447" s="3">
        <f t="shared" si="36"/>
        <v>4.0333332726731896E-3</v>
      </c>
      <c r="N447" s="3">
        <f t="shared" si="36"/>
        <v>1.9500000023981556E-2</v>
      </c>
      <c r="O447" s="3">
        <f t="shared" si="32"/>
        <v>1.7633333333336054E-2</v>
      </c>
      <c r="P447">
        <f t="shared" si="33"/>
        <v>1.6267777288452622E-5</v>
      </c>
      <c r="Q447">
        <f t="shared" si="33"/>
        <v>3.8025000093528072E-4</v>
      </c>
      <c r="R447">
        <f t="shared" si="33"/>
        <v>3.1093444444454038E-4</v>
      </c>
      <c r="S447">
        <f t="shared" si="34"/>
        <v>3.9651777822373332E-4</v>
      </c>
      <c r="T447">
        <f t="shared" si="35"/>
        <v>1.9912754159676992E-2</v>
      </c>
    </row>
    <row r="448" spans="1:20" x14ac:dyDescent="0.3">
      <c r="A448" s="2" t="s">
        <v>1168</v>
      </c>
      <c r="B448" s="6" t="s">
        <v>1068</v>
      </c>
      <c r="C448" s="2" t="s">
        <v>51</v>
      </c>
      <c r="D448" s="2" t="s">
        <v>63</v>
      </c>
      <c r="E448" s="8">
        <v>432692.08859999996</v>
      </c>
      <c r="F448" s="8">
        <v>194608.77533333332</v>
      </c>
      <c r="G448" s="8">
        <v>89.111666666666665</v>
      </c>
      <c r="J448">
        <v>432692.09159999999</v>
      </c>
      <c r="K448">
        <v>194608.7898</v>
      </c>
      <c r="L448">
        <v>89.228300000000004</v>
      </c>
      <c r="M448" s="3">
        <f t="shared" si="36"/>
        <v>3.0000000260770321E-3</v>
      </c>
      <c r="N448" s="3">
        <f t="shared" si="36"/>
        <v>1.4466666674707085E-2</v>
      </c>
      <c r="O448" s="3">
        <f t="shared" si="32"/>
        <v>0.11663333333333981</v>
      </c>
      <c r="P448">
        <f t="shared" si="33"/>
        <v>9.0000001564621932E-6</v>
      </c>
      <c r="Q448">
        <f t="shared" si="33"/>
        <v>2.0928444467708054E-4</v>
      </c>
      <c r="R448">
        <f t="shared" si="33"/>
        <v>1.3603334444445954E-2</v>
      </c>
      <c r="S448">
        <f t="shared" si="34"/>
        <v>2.1828444483354274E-4</v>
      </c>
      <c r="T448">
        <f t="shared" si="35"/>
        <v>1.4774452437689281E-2</v>
      </c>
    </row>
    <row r="449" spans="1:20" x14ac:dyDescent="0.3">
      <c r="A449" s="2" t="s">
        <v>1168</v>
      </c>
      <c r="B449" s="6" t="s">
        <v>1068</v>
      </c>
      <c r="C449" s="2" t="s">
        <v>51</v>
      </c>
      <c r="D449" s="2" t="s">
        <v>30</v>
      </c>
      <c r="E449" s="8">
        <v>432692.08633333334</v>
      </c>
      <c r="F449" s="8">
        <v>194608.77673333333</v>
      </c>
      <c r="G449" s="8">
        <v>89.109666666666669</v>
      </c>
      <c r="J449">
        <v>432692.09159999999</v>
      </c>
      <c r="K449">
        <v>194608.7898</v>
      </c>
      <c r="L449">
        <v>89.228300000000004</v>
      </c>
      <c r="M449" s="3">
        <f t="shared" si="36"/>
        <v>5.2666666451841593E-3</v>
      </c>
      <c r="N449" s="3">
        <f t="shared" si="36"/>
        <v>1.3066666666418314E-2</v>
      </c>
      <c r="O449" s="3">
        <f t="shared" si="32"/>
        <v>0.11863333333333514</v>
      </c>
      <c r="P449">
        <f t="shared" si="33"/>
        <v>2.7737777551495367E-5</v>
      </c>
      <c r="Q449">
        <f t="shared" si="33"/>
        <v>1.7073777777128749E-4</v>
      </c>
      <c r="R449">
        <f t="shared" si="33"/>
        <v>1.4073867777778207E-2</v>
      </c>
      <c r="S449">
        <f t="shared" si="34"/>
        <v>1.9847555532278286E-4</v>
      </c>
      <c r="T449">
        <f t="shared" si="35"/>
        <v>1.4088135267762829E-2</v>
      </c>
    </row>
    <row r="450" spans="1:20" x14ac:dyDescent="0.3">
      <c r="A450" s="2" t="s">
        <v>1168</v>
      </c>
      <c r="B450" s="6" t="s">
        <v>1068</v>
      </c>
      <c r="C450" s="2" t="s">
        <v>51</v>
      </c>
      <c r="D450" s="2" t="s">
        <v>52</v>
      </c>
      <c r="E450" s="8">
        <v>432692.08616666665</v>
      </c>
      <c r="F450" s="8">
        <v>194608.75976666668</v>
      </c>
      <c r="G450" s="8">
        <v>89.096999999999994</v>
      </c>
      <c r="J450">
        <v>432692.09159999999</v>
      </c>
      <c r="K450">
        <v>194608.7898</v>
      </c>
      <c r="L450">
        <v>89.228300000000004</v>
      </c>
      <c r="M450" s="3">
        <f t="shared" si="36"/>
        <v>5.4333333391696215E-3</v>
      </c>
      <c r="N450" s="3">
        <f t="shared" si="36"/>
        <v>3.0033333314349875E-2</v>
      </c>
      <c r="O450" s="3">
        <f t="shared" si="32"/>
        <v>0.13130000000001019</v>
      </c>
      <c r="P450">
        <f t="shared" si="33"/>
        <v>2.9521111174532109E-5</v>
      </c>
      <c r="Q450">
        <f t="shared" si="33"/>
        <v>9.0200110997083803E-4</v>
      </c>
      <c r="R450">
        <f t="shared" si="33"/>
        <v>1.7239690000002673E-2</v>
      </c>
      <c r="S450">
        <f t="shared" si="34"/>
        <v>9.3152222114537019E-4</v>
      </c>
      <c r="T450">
        <f t="shared" si="35"/>
        <v>3.0520848958463954E-2</v>
      </c>
    </row>
    <row r="451" spans="1:20" x14ac:dyDescent="0.3">
      <c r="A451" s="2" t="s">
        <v>1168</v>
      </c>
      <c r="B451" s="6" t="s">
        <v>1068</v>
      </c>
      <c r="C451" s="2" t="s">
        <v>422</v>
      </c>
      <c r="D451" s="2" t="s">
        <v>423</v>
      </c>
      <c r="E451" s="8">
        <v>432692.07336666668</v>
      </c>
      <c r="F451" s="8">
        <v>194608.74766666666</v>
      </c>
      <c r="G451" s="8">
        <v>89.287666666666667</v>
      </c>
      <c r="J451">
        <v>432692.09159999999</v>
      </c>
      <c r="K451">
        <v>194608.7898</v>
      </c>
      <c r="L451">
        <v>89.228300000000004</v>
      </c>
      <c r="M451" s="3">
        <f t="shared" si="36"/>
        <v>1.8233333306852728E-2</v>
      </c>
      <c r="N451" s="3">
        <f t="shared" si="36"/>
        <v>4.2133333336096257E-2</v>
      </c>
      <c r="O451" s="3">
        <f t="shared" ref="O451:O514" si="37">ABS(L451-G451)</f>
        <v>5.9366666666662127E-2</v>
      </c>
      <c r="P451">
        <f t="shared" ref="P451:R514" si="38">POWER(M451,2)</f>
        <v>3.3245444347878504E-4</v>
      </c>
      <c r="Q451">
        <f t="shared" si="38"/>
        <v>1.7752177780106001E-3</v>
      </c>
      <c r="R451">
        <f t="shared" si="38"/>
        <v>3.5244011111105721E-3</v>
      </c>
      <c r="S451">
        <f t="shared" ref="S451:S514" si="39">P451+Q451</f>
        <v>2.1076722214893851E-3</v>
      </c>
      <c r="T451">
        <f t="shared" ref="T451:T514" si="40">SQRT(S451)</f>
        <v>4.5909391430178914E-2</v>
      </c>
    </row>
    <row r="452" spans="1:20" x14ac:dyDescent="0.3">
      <c r="A452" s="2" t="s">
        <v>1168</v>
      </c>
      <c r="B452" s="6" t="s">
        <v>1069</v>
      </c>
      <c r="C452" s="2" t="s">
        <v>20</v>
      </c>
      <c r="D452" s="2" t="s">
        <v>30</v>
      </c>
      <c r="E452" s="8">
        <v>453515.71093333332</v>
      </c>
      <c r="F452" s="8">
        <v>199183.73750000002</v>
      </c>
      <c r="G452" s="8">
        <v>123.613</v>
      </c>
      <c r="J452">
        <v>453515.71549999999</v>
      </c>
      <c r="K452">
        <v>199183.68109999999</v>
      </c>
      <c r="L452">
        <v>123.6305</v>
      </c>
      <c r="M452" s="3">
        <f t="shared" si="36"/>
        <v>4.5666666701436043E-3</v>
      </c>
      <c r="N452" s="3">
        <f t="shared" si="36"/>
        <v>-5.6400000030407682E-2</v>
      </c>
      <c r="O452" s="3">
        <f t="shared" si="37"/>
        <v>1.7499999999998295E-2</v>
      </c>
      <c r="P452">
        <f t="shared" si="38"/>
        <v>2.0854444476200475E-5</v>
      </c>
      <c r="Q452">
        <f t="shared" si="38"/>
        <v>3.1809600034299864E-3</v>
      </c>
      <c r="R452">
        <f t="shared" si="38"/>
        <v>3.062499999999403E-4</v>
      </c>
      <c r="S452">
        <f t="shared" si="39"/>
        <v>3.2018144479061868E-3</v>
      </c>
      <c r="T452">
        <f t="shared" si="40"/>
        <v>5.6584577827409714E-2</v>
      </c>
    </row>
    <row r="453" spans="1:20" x14ac:dyDescent="0.3">
      <c r="A453" s="2" t="s">
        <v>1168</v>
      </c>
      <c r="B453" s="6" t="s">
        <v>1069</v>
      </c>
      <c r="C453" s="2" t="s">
        <v>45</v>
      </c>
      <c r="D453" s="2" t="s">
        <v>21</v>
      </c>
      <c r="E453" s="8">
        <v>453515.72056666669</v>
      </c>
      <c r="F453" s="8">
        <v>199183.73596666669</v>
      </c>
      <c r="G453" s="8">
        <v>123.63633333333333</v>
      </c>
      <c r="J453">
        <v>453515.71549999999</v>
      </c>
      <c r="K453">
        <v>199183.68109999999</v>
      </c>
      <c r="L453">
        <v>123.6305</v>
      </c>
      <c r="M453" s="3">
        <f t="shared" si="36"/>
        <v>-5.0666666938923299E-3</v>
      </c>
      <c r="N453" s="3">
        <f t="shared" si="36"/>
        <v>-5.4866666701855138E-2</v>
      </c>
      <c r="O453" s="3">
        <f t="shared" si="37"/>
        <v>5.8333333333280279E-3</v>
      </c>
      <c r="P453">
        <f t="shared" si="38"/>
        <v>2.5671111386997833E-5</v>
      </c>
      <c r="Q453">
        <f t="shared" si="38"/>
        <v>3.0103511149724592E-3</v>
      </c>
      <c r="R453">
        <f t="shared" si="38"/>
        <v>3.4027777777715881E-5</v>
      </c>
      <c r="S453">
        <f t="shared" si="39"/>
        <v>3.036022226359457E-3</v>
      </c>
      <c r="T453">
        <f t="shared" si="40"/>
        <v>5.5100110946888818E-2</v>
      </c>
    </row>
    <row r="454" spans="1:20" x14ac:dyDescent="0.3">
      <c r="A454" s="2" t="s">
        <v>1168</v>
      </c>
      <c r="B454" s="6" t="s">
        <v>1070</v>
      </c>
      <c r="C454" s="2" t="s">
        <v>20</v>
      </c>
      <c r="D454" s="2" t="s">
        <v>37</v>
      </c>
      <c r="E454" s="8">
        <v>453515.70076666662</v>
      </c>
      <c r="F454" s="8">
        <v>199183.73156666665</v>
      </c>
      <c r="G454" s="8">
        <v>123.61966666666667</v>
      </c>
      <c r="J454">
        <v>453515.71549999999</v>
      </c>
      <c r="K454">
        <v>199183.68109999999</v>
      </c>
      <c r="L454">
        <v>123.6305</v>
      </c>
      <c r="M454" s="3">
        <f t="shared" si="36"/>
        <v>1.4733333373442292E-2</v>
      </c>
      <c r="N454" s="3">
        <f t="shared" si="36"/>
        <v>-5.0466666667489335E-2</v>
      </c>
      <c r="O454" s="3">
        <f t="shared" si="37"/>
        <v>1.083333333332348E-2</v>
      </c>
      <c r="P454">
        <f t="shared" si="38"/>
        <v>2.1707111229298843E-4</v>
      </c>
      <c r="Q454">
        <f t="shared" si="38"/>
        <v>2.5468844445274792E-3</v>
      </c>
      <c r="R454">
        <f t="shared" si="38"/>
        <v>1.1736111111089763E-4</v>
      </c>
      <c r="S454">
        <f t="shared" si="39"/>
        <v>2.7639555568204676E-3</v>
      </c>
      <c r="T454">
        <f t="shared" si="40"/>
        <v>5.2573335036123277E-2</v>
      </c>
    </row>
    <row r="455" spans="1:20" x14ac:dyDescent="0.3">
      <c r="A455" s="2" t="s">
        <v>1168</v>
      </c>
      <c r="B455" s="6" t="s">
        <v>1070</v>
      </c>
      <c r="C455" s="2" t="s">
        <v>20</v>
      </c>
      <c r="D455" s="2" t="s">
        <v>46</v>
      </c>
      <c r="E455" s="8">
        <v>453515.69113333331</v>
      </c>
      <c r="F455" s="8">
        <v>199183.72726666662</v>
      </c>
      <c r="G455" s="8">
        <v>123.61399999999999</v>
      </c>
      <c r="J455">
        <v>453515.71549999999</v>
      </c>
      <c r="K455">
        <v>199183.68109999999</v>
      </c>
      <c r="L455">
        <v>123.6305</v>
      </c>
      <c r="M455" s="3">
        <f t="shared" si="36"/>
        <v>2.4366666679270566E-2</v>
      </c>
      <c r="N455" s="3">
        <f t="shared" si="36"/>
        <v>-4.6166666637873277E-2</v>
      </c>
      <c r="O455" s="3">
        <f t="shared" si="37"/>
        <v>1.6500000000007731E-2</v>
      </c>
      <c r="P455">
        <f t="shared" si="38"/>
        <v>5.9373444505867443E-4</v>
      </c>
      <c r="Q455">
        <f t="shared" si="38"/>
        <v>2.1313611084525213E-3</v>
      </c>
      <c r="R455">
        <f t="shared" si="38"/>
        <v>2.7225000000025509E-4</v>
      </c>
      <c r="S455">
        <f t="shared" si="39"/>
        <v>2.7250955535111955E-3</v>
      </c>
      <c r="T455">
        <f t="shared" si="40"/>
        <v>5.2202447773176265E-2</v>
      </c>
    </row>
    <row r="456" spans="1:20" x14ac:dyDescent="0.3">
      <c r="A456" s="2" t="s">
        <v>1168</v>
      </c>
      <c r="B456" s="6" t="s">
        <v>1070</v>
      </c>
      <c r="C456" s="2" t="s">
        <v>51</v>
      </c>
      <c r="D456" s="2" t="s">
        <v>30</v>
      </c>
      <c r="E456" s="8">
        <v>453515.70066666667</v>
      </c>
      <c r="F456" s="8">
        <v>199183.73353333338</v>
      </c>
      <c r="G456" s="8">
        <v>123.61233333333332</v>
      </c>
      <c r="J456">
        <v>453515.71549999999</v>
      </c>
      <c r="K456">
        <v>199183.68109999999</v>
      </c>
      <c r="L456">
        <v>123.6305</v>
      </c>
      <c r="M456" s="3">
        <f t="shared" si="36"/>
        <v>1.4833333319984376E-2</v>
      </c>
      <c r="N456" s="3">
        <f t="shared" si="36"/>
        <v>-5.2433333388762549E-2</v>
      </c>
      <c r="O456" s="3">
        <f t="shared" si="37"/>
        <v>1.8166666666672882E-2</v>
      </c>
      <c r="P456">
        <f t="shared" si="38"/>
        <v>2.2002777738175871E-4</v>
      </c>
      <c r="Q456">
        <f t="shared" si="38"/>
        <v>2.7492544502571215E-3</v>
      </c>
      <c r="R456">
        <f t="shared" si="38"/>
        <v>3.3002777777800356E-4</v>
      </c>
      <c r="S456">
        <f t="shared" si="39"/>
        <v>2.9692822276388801E-3</v>
      </c>
      <c r="T456">
        <f t="shared" si="40"/>
        <v>5.4491120631153113E-2</v>
      </c>
    </row>
    <row r="457" spans="1:20" x14ac:dyDescent="0.3">
      <c r="A457" s="2" t="s">
        <v>1168</v>
      </c>
      <c r="B457" s="6" t="s">
        <v>1070</v>
      </c>
      <c r="C457" s="2" t="s">
        <v>51</v>
      </c>
      <c r="D457" s="2" t="s">
        <v>52</v>
      </c>
      <c r="E457" s="8">
        <v>453515.69116666663</v>
      </c>
      <c r="F457" s="8">
        <v>199183.73109999998</v>
      </c>
      <c r="G457" s="8">
        <v>123.60266666666666</v>
      </c>
      <c r="J457">
        <v>453515.71549999999</v>
      </c>
      <c r="K457">
        <v>199183.68109999999</v>
      </c>
      <c r="L457">
        <v>123.6305</v>
      </c>
      <c r="M457" s="3">
        <f t="shared" si="36"/>
        <v>2.4333333363756537E-2</v>
      </c>
      <c r="N457" s="3">
        <f t="shared" si="36"/>
        <v>-4.9999999988358468E-2</v>
      </c>
      <c r="O457" s="3">
        <f t="shared" si="37"/>
        <v>2.7833333333333599E-2</v>
      </c>
      <c r="P457">
        <f t="shared" si="38"/>
        <v>5.9211111259170699E-4</v>
      </c>
      <c r="Q457">
        <f t="shared" si="38"/>
        <v>2.4999999988358466E-3</v>
      </c>
      <c r="R457">
        <f t="shared" si="38"/>
        <v>7.7469444444445924E-4</v>
      </c>
      <c r="S457">
        <f t="shared" si="39"/>
        <v>3.0921111114275536E-3</v>
      </c>
      <c r="T457">
        <f t="shared" si="40"/>
        <v>5.5606754188925231E-2</v>
      </c>
    </row>
    <row r="458" spans="1:20" x14ac:dyDescent="0.3">
      <c r="A458" s="2" t="s">
        <v>1168</v>
      </c>
      <c r="B458" s="6" t="s">
        <v>1071</v>
      </c>
      <c r="C458" s="2" t="s">
        <v>20</v>
      </c>
      <c r="D458" s="2" t="s">
        <v>30</v>
      </c>
      <c r="E458" s="8">
        <v>427884.1225</v>
      </c>
      <c r="F458" s="8">
        <v>180956.51813333333</v>
      </c>
      <c r="G458" s="8">
        <v>117.87166666666667</v>
      </c>
      <c r="J458">
        <v>427884.14250000002</v>
      </c>
      <c r="K458">
        <v>180956.5238</v>
      </c>
      <c r="L458">
        <v>117.84780000000001</v>
      </c>
      <c r="M458" s="3">
        <f t="shared" si="36"/>
        <v>2.0000000018626451E-2</v>
      </c>
      <c r="N458" s="3">
        <f t="shared" si="36"/>
        <v>5.6666666641831398E-3</v>
      </c>
      <c r="O458" s="3">
        <f t="shared" si="37"/>
        <v>2.386666666666315E-2</v>
      </c>
      <c r="P458">
        <f t="shared" si="38"/>
        <v>4.0000000074505806E-4</v>
      </c>
      <c r="Q458">
        <f t="shared" si="38"/>
        <v>3.2111111082964473E-5</v>
      </c>
      <c r="R458">
        <f t="shared" si="38"/>
        <v>5.6961777777760991E-4</v>
      </c>
      <c r="S458">
        <f t="shared" si="39"/>
        <v>4.3211111182802253E-4</v>
      </c>
      <c r="T458">
        <f t="shared" si="40"/>
        <v>2.0787282454135809E-2</v>
      </c>
    </row>
    <row r="459" spans="1:20" x14ac:dyDescent="0.3">
      <c r="A459" s="2" t="s">
        <v>1168</v>
      </c>
      <c r="B459" s="6" t="s">
        <v>1071</v>
      </c>
      <c r="C459" s="2" t="s">
        <v>20</v>
      </c>
      <c r="D459" s="2" t="s">
        <v>21</v>
      </c>
      <c r="E459" s="8">
        <v>427884.12176666665</v>
      </c>
      <c r="F459" s="8">
        <v>180956.51983333332</v>
      </c>
      <c r="G459" s="8">
        <v>117.88</v>
      </c>
      <c r="J459">
        <v>427884.14250000002</v>
      </c>
      <c r="K459">
        <v>180956.5238</v>
      </c>
      <c r="L459">
        <v>117.84780000000001</v>
      </c>
      <c r="M459" s="3">
        <f t="shared" si="36"/>
        <v>2.0733333367388695E-2</v>
      </c>
      <c r="N459" s="3">
        <f t="shared" si="36"/>
        <v>3.966666670748964E-3</v>
      </c>
      <c r="O459" s="3">
        <f t="shared" si="37"/>
        <v>3.2199999999988904E-2</v>
      </c>
      <c r="P459">
        <f t="shared" si="38"/>
        <v>4.2987111252327349E-4</v>
      </c>
      <c r="Q459">
        <f t="shared" si="38"/>
        <v>1.5734444476830669E-5</v>
      </c>
      <c r="R459">
        <f t="shared" si="38"/>
        <v>1.0368399999992853E-3</v>
      </c>
      <c r="S459">
        <f t="shared" si="39"/>
        <v>4.4560555700010415E-4</v>
      </c>
      <c r="T459">
        <f t="shared" si="40"/>
        <v>2.1109371307552107E-2</v>
      </c>
    </row>
    <row r="460" spans="1:20" x14ac:dyDescent="0.3">
      <c r="A460" s="2" t="s">
        <v>1168</v>
      </c>
      <c r="B460" s="6" t="s">
        <v>1072</v>
      </c>
      <c r="C460" s="2" t="s">
        <v>20</v>
      </c>
      <c r="D460" s="2" t="s">
        <v>110</v>
      </c>
      <c r="E460" s="8">
        <v>427884.12013333337</v>
      </c>
      <c r="F460" s="8">
        <v>180956.52226666667</v>
      </c>
      <c r="G460" s="8">
        <v>117.88100000000001</v>
      </c>
      <c r="J460">
        <v>427884.14250000002</v>
      </c>
      <c r="K460">
        <v>180956.5238</v>
      </c>
      <c r="L460">
        <v>117.84780000000001</v>
      </c>
      <c r="M460" s="3">
        <f t="shared" si="36"/>
        <v>2.2366666642483324E-2</v>
      </c>
      <c r="N460" s="3">
        <f t="shared" si="36"/>
        <v>1.5333333285525441E-3</v>
      </c>
      <c r="O460" s="3">
        <f t="shared" si="37"/>
        <v>3.320000000000789E-2</v>
      </c>
      <c r="P460">
        <f t="shared" si="38"/>
        <v>5.0026777669597629E-4</v>
      </c>
      <c r="Q460">
        <f t="shared" si="38"/>
        <v>2.3511110964500242E-6</v>
      </c>
      <c r="R460">
        <f t="shared" si="38"/>
        <v>1.1022400000005239E-3</v>
      </c>
      <c r="S460">
        <f t="shared" si="39"/>
        <v>5.026188877924263E-4</v>
      </c>
      <c r="T460">
        <f t="shared" si="40"/>
        <v>2.2419163405275101E-2</v>
      </c>
    </row>
    <row r="461" spans="1:20" x14ac:dyDescent="0.3">
      <c r="A461" s="2" t="s">
        <v>1168</v>
      </c>
      <c r="B461" s="6" t="s">
        <v>1072</v>
      </c>
      <c r="C461" s="2" t="s">
        <v>20</v>
      </c>
      <c r="D461" s="2" t="s">
        <v>37</v>
      </c>
      <c r="E461" s="8">
        <v>427884.12276666664</v>
      </c>
      <c r="F461" s="8">
        <v>180956.52293333333</v>
      </c>
      <c r="G461" s="8">
        <v>117.87533333333333</v>
      </c>
      <c r="J461">
        <v>427884.14250000002</v>
      </c>
      <c r="K461">
        <v>180956.5238</v>
      </c>
      <c r="L461">
        <v>117.84780000000001</v>
      </c>
      <c r="M461" s="3">
        <f t="shared" si="36"/>
        <v>1.9733333378098905E-2</v>
      </c>
      <c r="N461" s="3">
        <f t="shared" si="36"/>
        <v>8.6666666902601719E-4</v>
      </c>
      <c r="O461" s="3">
        <f t="shared" si="37"/>
        <v>2.753333333332364E-2</v>
      </c>
      <c r="P461">
        <f t="shared" si="38"/>
        <v>3.8940444621119233E-4</v>
      </c>
      <c r="Q461">
        <f t="shared" si="38"/>
        <v>7.5111111520065202E-7</v>
      </c>
      <c r="R461">
        <f t="shared" si="38"/>
        <v>7.5808444444391062E-4</v>
      </c>
      <c r="S461">
        <f t="shared" si="39"/>
        <v>3.9015555732639298E-4</v>
      </c>
      <c r="T461">
        <f t="shared" si="40"/>
        <v>1.9752355741186747E-2</v>
      </c>
    </row>
    <row r="462" spans="1:20" x14ac:dyDescent="0.3">
      <c r="A462" s="2" t="s">
        <v>1168</v>
      </c>
      <c r="B462" s="6" t="s">
        <v>1072</v>
      </c>
      <c r="C462" s="2" t="s">
        <v>20</v>
      </c>
      <c r="D462" s="2" t="s">
        <v>46</v>
      </c>
      <c r="E462" s="8">
        <v>427884.12533333339</v>
      </c>
      <c r="F462" s="8">
        <v>180956.52300000002</v>
      </c>
      <c r="G462" s="8">
        <v>117.87700000000001</v>
      </c>
      <c r="J462">
        <v>427884.14250000002</v>
      </c>
      <c r="K462">
        <v>180956.5238</v>
      </c>
      <c r="L462">
        <v>117.84780000000001</v>
      </c>
      <c r="M462" s="3">
        <f t="shared" si="36"/>
        <v>1.7166666628327221E-2</v>
      </c>
      <c r="N462" s="3">
        <f t="shared" si="36"/>
        <v>7.9999997979030013E-4</v>
      </c>
      <c r="O462" s="3">
        <f t="shared" si="37"/>
        <v>2.9200000000003001E-2</v>
      </c>
      <c r="P462">
        <f t="shared" si="38"/>
        <v>2.9469444312812346E-4</v>
      </c>
      <c r="Q462">
        <f t="shared" si="38"/>
        <v>6.3999996766448062E-7</v>
      </c>
      <c r="R462">
        <f t="shared" si="38"/>
        <v>8.5264000000017531E-4</v>
      </c>
      <c r="S462">
        <f t="shared" si="39"/>
        <v>2.9533444309578794E-4</v>
      </c>
      <c r="T462">
        <f t="shared" si="40"/>
        <v>1.7185297294367297E-2</v>
      </c>
    </row>
    <row r="463" spans="1:20" x14ac:dyDescent="0.3">
      <c r="A463" s="2" t="s">
        <v>1168</v>
      </c>
      <c r="B463" s="6" t="s">
        <v>1072</v>
      </c>
      <c r="C463" s="2" t="s">
        <v>51</v>
      </c>
      <c r="D463" s="2" t="s">
        <v>63</v>
      </c>
      <c r="E463" s="8">
        <v>427884.12443333335</v>
      </c>
      <c r="F463" s="8">
        <v>180956.52196666668</v>
      </c>
      <c r="G463" s="8">
        <v>117.79266666666668</v>
      </c>
      <c r="J463">
        <v>427884.14250000002</v>
      </c>
      <c r="K463">
        <v>180956.5238</v>
      </c>
      <c r="L463">
        <v>117.84780000000001</v>
      </c>
      <c r="M463" s="3">
        <f t="shared" si="36"/>
        <v>1.8066666671074927E-2</v>
      </c>
      <c r="N463" s="3">
        <f t="shared" si="36"/>
        <v>1.8333333136979491E-3</v>
      </c>
      <c r="O463" s="3">
        <f t="shared" si="37"/>
        <v>5.513333333333037E-2</v>
      </c>
      <c r="P463">
        <f t="shared" si="38"/>
        <v>3.2640444460372957E-4</v>
      </c>
      <c r="Q463">
        <f t="shared" si="38"/>
        <v>3.3611110391147025E-6</v>
      </c>
      <c r="R463">
        <f t="shared" si="38"/>
        <v>3.0396844444441178E-3</v>
      </c>
      <c r="S463">
        <f t="shared" si="39"/>
        <v>3.2976555564284427E-4</v>
      </c>
      <c r="T463">
        <f t="shared" si="40"/>
        <v>1.8159448109533623E-2</v>
      </c>
    </row>
    <row r="464" spans="1:20" x14ac:dyDescent="0.3">
      <c r="A464" s="2" t="s">
        <v>1168</v>
      </c>
      <c r="B464" s="6" t="s">
        <v>1072</v>
      </c>
      <c r="C464" s="2" t="s">
        <v>51</v>
      </c>
      <c r="D464" s="2" t="s">
        <v>30</v>
      </c>
      <c r="E464" s="8">
        <v>427884.12690000003</v>
      </c>
      <c r="F464" s="8">
        <v>180956.5233</v>
      </c>
      <c r="G464" s="8">
        <v>117.78766666666667</v>
      </c>
      <c r="J464">
        <v>427884.14250000002</v>
      </c>
      <c r="K464">
        <v>180956.5238</v>
      </c>
      <c r="L464">
        <v>117.84780000000001</v>
      </c>
      <c r="M464" s="3">
        <f t="shared" si="36"/>
        <v>1.5599999984260648E-2</v>
      </c>
      <c r="N464" s="3">
        <f t="shared" si="36"/>
        <v>4.999999946448952E-4</v>
      </c>
      <c r="O464" s="3">
        <f t="shared" si="37"/>
        <v>6.0133333333340033E-2</v>
      </c>
      <c r="P464">
        <f t="shared" si="38"/>
        <v>2.4335999950893223E-4</v>
      </c>
      <c r="Q464">
        <f t="shared" si="38"/>
        <v>2.4999999464489522E-7</v>
      </c>
      <c r="R464">
        <f t="shared" si="38"/>
        <v>3.6160177777785837E-3</v>
      </c>
      <c r="S464">
        <f t="shared" si="39"/>
        <v>2.4360999950357712E-4</v>
      </c>
      <c r="T464">
        <f t="shared" si="40"/>
        <v>1.5608010747804383E-2</v>
      </c>
    </row>
    <row r="465" spans="1:20" x14ac:dyDescent="0.3">
      <c r="A465" s="2" t="s">
        <v>1168</v>
      </c>
      <c r="B465" s="6" t="s">
        <v>1072</v>
      </c>
      <c r="C465" s="2" t="s">
        <v>51</v>
      </c>
      <c r="D465" s="2" t="s">
        <v>52</v>
      </c>
      <c r="E465" s="8">
        <v>427884.12643333332</v>
      </c>
      <c r="F465" s="8">
        <v>180956.52063333336</v>
      </c>
      <c r="G465" s="8">
        <v>117.78399999999999</v>
      </c>
      <c r="J465">
        <v>427884.14250000002</v>
      </c>
      <c r="K465">
        <v>180956.5238</v>
      </c>
      <c r="L465">
        <v>117.84780000000001</v>
      </c>
      <c r="M465" s="3">
        <f t="shared" si="36"/>
        <v>1.6066666692495346E-2</v>
      </c>
      <c r="N465" s="3">
        <f t="shared" si="36"/>
        <v>3.1666666327510029E-3</v>
      </c>
      <c r="O465" s="3">
        <f t="shared" si="37"/>
        <v>6.3800000000014734E-2</v>
      </c>
      <c r="P465">
        <f t="shared" si="38"/>
        <v>2.5813777860773934E-4</v>
      </c>
      <c r="Q465">
        <f t="shared" si="38"/>
        <v>1.0027777562978574E-5</v>
      </c>
      <c r="R465">
        <f t="shared" si="38"/>
        <v>4.0704400000018803E-3</v>
      </c>
      <c r="S465">
        <f t="shared" si="39"/>
        <v>2.6816555617071794E-4</v>
      </c>
      <c r="T465">
        <f t="shared" si="40"/>
        <v>1.6375761239426946E-2</v>
      </c>
    </row>
    <row r="466" spans="1:20" x14ac:dyDescent="0.3">
      <c r="A466" s="2" t="s">
        <v>1168</v>
      </c>
      <c r="B466" s="6" t="s">
        <v>1072</v>
      </c>
      <c r="C466" s="2" t="s">
        <v>422</v>
      </c>
      <c r="D466" s="2" t="s">
        <v>423</v>
      </c>
      <c r="E466" s="8">
        <v>427884.12280000001</v>
      </c>
      <c r="F466" s="8">
        <v>180956.5165</v>
      </c>
      <c r="G466" s="8">
        <v>117.97533333333335</v>
      </c>
      <c r="J466">
        <v>427884.14250000002</v>
      </c>
      <c r="K466">
        <v>180956.5238</v>
      </c>
      <c r="L466">
        <v>117.84780000000001</v>
      </c>
      <c r="M466" s="3">
        <f t="shared" ref="M466:N529" si="41">J466-E466</f>
        <v>1.9700000004377216E-2</v>
      </c>
      <c r="N466" s="3">
        <f t="shared" si="41"/>
        <v>7.299999997485429E-3</v>
      </c>
      <c r="O466" s="3">
        <f t="shared" si="37"/>
        <v>0.12753333333334638</v>
      </c>
      <c r="P466">
        <f t="shared" si="38"/>
        <v>3.8809000017246231E-4</v>
      </c>
      <c r="Q466">
        <f t="shared" si="38"/>
        <v>5.3289999963287261E-5</v>
      </c>
      <c r="R466">
        <f t="shared" si="38"/>
        <v>1.6264751111114438E-2</v>
      </c>
      <c r="S466">
        <f t="shared" si="39"/>
        <v>4.413800001357496E-4</v>
      </c>
      <c r="T466">
        <f t="shared" si="40"/>
        <v>2.1009045674084046E-2</v>
      </c>
    </row>
    <row r="467" spans="1:20" x14ac:dyDescent="0.3">
      <c r="A467" s="2" t="s">
        <v>1168</v>
      </c>
      <c r="B467" s="6" t="s">
        <v>1073</v>
      </c>
      <c r="C467" s="2" t="s">
        <v>20</v>
      </c>
      <c r="D467" s="2" t="s">
        <v>30</v>
      </c>
      <c r="E467" s="8">
        <v>438845.51719999994</v>
      </c>
      <c r="F467" s="8">
        <v>179637.17763333334</v>
      </c>
      <c r="G467" s="8">
        <v>70.367999999999995</v>
      </c>
      <c r="J467">
        <v>438845.5269</v>
      </c>
      <c r="K467">
        <v>179637.18150000001</v>
      </c>
      <c r="L467">
        <v>70.384399999999999</v>
      </c>
      <c r="M467" s="3">
        <f t="shared" si="41"/>
        <v>9.7000000532716513E-3</v>
      </c>
      <c r="N467" s="3">
        <f t="shared" si="41"/>
        <v>3.8666666659992188E-3</v>
      </c>
      <c r="O467" s="3">
        <f t="shared" si="37"/>
        <v>1.6400000000004411E-2</v>
      </c>
      <c r="P467">
        <f t="shared" si="38"/>
        <v>9.4090001033470037E-5</v>
      </c>
      <c r="Q467">
        <f t="shared" si="38"/>
        <v>1.4951111105949514E-5</v>
      </c>
      <c r="R467">
        <f t="shared" si="38"/>
        <v>2.6896000000014469E-4</v>
      </c>
      <c r="S467">
        <f t="shared" si="39"/>
        <v>1.0904111213941955E-4</v>
      </c>
      <c r="T467">
        <f t="shared" si="40"/>
        <v>1.0442275237677828E-2</v>
      </c>
    </row>
    <row r="468" spans="1:20" x14ac:dyDescent="0.3">
      <c r="A468" s="2" t="s">
        <v>1168</v>
      </c>
      <c r="B468" s="6" t="s">
        <v>1073</v>
      </c>
      <c r="C468" s="2" t="s">
        <v>20</v>
      </c>
      <c r="D468" s="2" t="s">
        <v>21</v>
      </c>
      <c r="E468" s="8">
        <v>438845.51843333332</v>
      </c>
      <c r="F468" s="8">
        <v>179637.16899999999</v>
      </c>
      <c r="G468" s="8">
        <v>70.357000000000014</v>
      </c>
      <c r="J468">
        <v>438845.5269</v>
      </c>
      <c r="K468">
        <v>179637.18150000001</v>
      </c>
      <c r="L468">
        <v>70.384399999999999</v>
      </c>
      <c r="M468" s="3">
        <f t="shared" si="41"/>
        <v>8.4666666807606816E-3</v>
      </c>
      <c r="N468" s="3">
        <f t="shared" si="41"/>
        <v>1.2500000011641532E-2</v>
      </c>
      <c r="O468" s="3">
        <f t="shared" si="37"/>
        <v>2.739999999998588E-2</v>
      </c>
      <c r="P468">
        <f t="shared" si="38"/>
        <v>7.1684444683103098E-5</v>
      </c>
      <c r="Q468">
        <f t="shared" si="38"/>
        <v>1.562500002910383E-4</v>
      </c>
      <c r="R468">
        <f t="shared" si="38"/>
        <v>7.5075999999922626E-4</v>
      </c>
      <c r="S468">
        <f t="shared" si="39"/>
        <v>2.2793444497414141E-4</v>
      </c>
      <c r="T468">
        <f t="shared" si="40"/>
        <v>1.5097497970661941E-2</v>
      </c>
    </row>
    <row r="469" spans="1:20" x14ac:dyDescent="0.3">
      <c r="A469" s="2" t="s">
        <v>1168</v>
      </c>
      <c r="B469" s="6" t="s">
        <v>1074</v>
      </c>
      <c r="C469" s="2" t="s">
        <v>20</v>
      </c>
      <c r="D469" s="2" t="s">
        <v>37</v>
      </c>
      <c r="E469" s="8">
        <v>438845.51610000007</v>
      </c>
      <c r="F469" s="8">
        <v>179637.16810000001</v>
      </c>
      <c r="G469" s="8">
        <v>70.366</v>
      </c>
      <c r="J469">
        <v>438845.5269</v>
      </c>
      <c r="K469">
        <v>179637.18150000001</v>
      </c>
      <c r="L469">
        <v>70.384399999999999</v>
      </c>
      <c r="M469" s="3">
        <f t="shared" si="41"/>
        <v>1.0799999930895865E-2</v>
      </c>
      <c r="N469" s="3">
        <f t="shared" si="41"/>
        <v>1.3399999996181577E-2</v>
      </c>
      <c r="O469" s="3">
        <f t="shared" si="37"/>
        <v>1.839999999999975E-2</v>
      </c>
      <c r="P469">
        <f t="shared" si="38"/>
        <v>1.1663999850735069E-4</v>
      </c>
      <c r="Q469">
        <f t="shared" si="38"/>
        <v>1.7955999989766627E-4</v>
      </c>
      <c r="R469">
        <f t="shared" si="38"/>
        <v>3.385599999999908E-4</v>
      </c>
      <c r="S469">
        <f t="shared" si="39"/>
        <v>2.9619999840501695E-4</v>
      </c>
      <c r="T469">
        <f t="shared" si="40"/>
        <v>1.7210461888195125E-2</v>
      </c>
    </row>
    <row r="470" spans="1:20" x14ac:dyDescent="0.3">
      <c r="A470" s="2" t="s">
        <v>1168</v>
      </c>
      <c r="B470" s="6" t="s">
        <v>1074</v>
      </c>
      <c r="C470" s="2" t="s">
        <v>20</v>
      </c>
      <c r="D470" s="2" t="s">
        <v>46</v>
      </c>
      <c r="E470" s="8">
        <v>438845.52743333328</v>
      </c>
      <c r="F470" s="8">
        <v>179637.16620000001</v>
      </c>
      <c r="G470" s="8">
        <v>70.326666666666668</v>
      </c>
      <c r="J470">
        <v>438845.5269</v>
      </c>
      <c r="K470">
        <v>179637.18150000001</v>
      </c>
      <c r="L470">
        <v>70.384399999999999</v>
      </c>
      <c r="M470" s="3">
        <f t="shared" si="41"/>
        <v>-5.3333328105509281E-4</v>
      </c>
      <c r="N470" s="3">
        <f t="shared" si="41"/>
        <v>1.5299999999115244E-2</v>
      </c>
      <c r="O470" s="3">
        <f t="shared" si="37"/>
        <v>5.7733333333331416E-2</v>
      </c>
      <c r="P470">
        <f t="shared" si="38"/>
        <v>2.8444438868099062E-7</v>
      </c>
      <c r="Q470">
        <f t="shared" si="38"/>
        <v>2.3408999997292645E-4</v>
      </c>
      <c r="R470">
        <f t="shared" si="38"/>
        <v>3.3331377777775562E-3</v>
      </c>
      <c r="S470">
        <f t="shared" si="39"/>
        <v>2.3437444436160744E-4</v>
      </c>
      <c r="T470">
        <f t="shared" si="40"/>
        <v>1.5309292745310198E-2</v>
      </c>
    </row>
    <row r="471" spans="1:20" x14ac:dyDescent="0.3">
      <c r="A471" s="2" t="s">
        <v>1168</v>
      </c>
      <c r="B471" s="6" t="s">
        <v>1074</v>
      </c>
      <c r="C471" s="2" t="s">
        <v>51</v>
      </c>
      <c r="D471" s="2" t="s">
        <v>63</v>
      </c>
      <c r="E471" s="8">
        <v>438845.52753333328</v>
      </c>
      <c r="F471" s="8">
        <v>179637.15386666669</v>
      </c>
      <c r="G471" s="8">
        <v>70.265000000000001</v>
      </c>
      <c r="J471">
        <v>438845.5269</v>
      </c>
      <c r="K471">
        <v>179637.18150000001</v>
      </c>
      <c r="L471">
        <v>70.384399999999999</v>
      </c>
      <c r="M471" s="3">
        <f t="shared" si="41"/>
        <v>-6.3333328580483794E-4</v>
      </c>
      <c r="N471" s="3">
        <f t="shared" si="41"/>
        <v>2.7633333316771314E-2</v>
      </c>
      <c r="O471" s="3">
        <f t="shared" si="37"/>
        <v>0.11939999999999884</v>
      </c>
      <c r="P471">
        <f t="shared" si="38"/>
        <v>4.0111105090835254E-7</v>
      </c>
      <c r="Q471">
        <f t="shared" si="38"/>
        <v>7.6360111019578352E-4</v>
      </c>
      <c r="R471">
        <f t="shared" si="38"/>
        <v>1.4256359999999723E-2</v>
      </c>
      <c r="S471">
        <f t="shared" si="39"/>
        <v>7.6400222124669193E-4</v>
      </c>
      <c r="T471">
        <f t="shared" si="40"/>
        <v>2.764059010308376E-2</v>
      </c>
    </row>
    <row r="472" spans="1:20" x14ac:dyDescent="0.3">
      <c r="A472" s="2" t="s">
        <v>1168</v>
      </c>
      <c r="B472" s="6" t="s">
        <v>1074</v>
      </c>
      <c r="C472" s="2" t="s">
        <v>51</v>
      </c>
      <c r="D472" s="2" t="s">
        <v>30</v>
      </c>
      <c r="E472" s="8">
        <v>438845.54729999998</v>
      </c>
      <c r="F472" s="8">
        <v>179637.15103333336</v>
      </c>
      <c r="G472" s="8">
        <v>70.25833333333334</v>
      </c>
      <c r="J472">
        <v>438845.5269</v>
      </c>
      <c r="K472">
        <v>179637.18150000001</v>
      </c>
      <c r="L472">
        <v>70.384399999999999</v>
      </c>
      <c r="M472" s="3">
        <f t="shared" si="41"/>
        <v>-2.0399999979417771E-2</v>
      </c>
      <c r="N472" s="3">
        <f t="shared" si="41"/>
        <v>3.0466666648862883E-2</v>
      </c>
      <c r="O472" s="3">
        <f t="shared" si="37"/>
        <v>0.12606666666665944</v>
      </c>
      <c r="P472">
        <f t="shared" si="38"/>
        <v>4.1615999916024509E-4</v>
      </c>
      <c r="Q472">
        <f t="shared" si="38"/>
        <v>9.2821777669293388E-4</v>
      </c>
      <c r="R472">
        <f t="shared" si="38"/>
        <v>1.5892804444442625E-2</v>
      </c>
      <c r="S472">
        <f t="shared" si="39"/>
        <v>1.3443777758531789E-3</v>
      </c>
      <c r="T472">
        <f t="shared" si="40"/>
        <v>3.6665757538242395E-2</v>
      </c>
    </row>
    <row r="473" spans="1:20" x14ac:dyDescent="0.3">
      <c r="A473" s="2" t="s">
        <v>1168</v>
      </c>
      <c r="B473" s="6" t="s">
        <v>1074</v>
      </c>
      <c r="C473" s="2" t="s">
        <v>51</v>
      </c>
      <c r="D473" s="2" t="s">
        <v>52</v>
      </c>
      <c r="E473" s="8">
        <v>438845.53243333334</v>
      </c>
      <c r="F473" s="8">
        <v>179637.15923333334</v>
      </c>
      <c r="G473" s="8">
        <v>70.193333333333328</v>
      </c>
      <c r="J473">
        <v>438845.5269</v>
      </c>
      <c r="K473">
        <v>179637.18150000001</v>
      </c>
      <c r="L473">
        <v>70.384399999999999</v>
      </c>
      <c r="M473" s="3">
        <f t="shared" si="41"/>
        <v>-5.5333333439193666E-3</v>
      </c>
      <c r="N473" s="3">
        <f t="shared" si="41"/>
        <v>2.2266666666837409E-2</v>
      </c>
      <c r="O473" s="3">
        <f t="shared" si="37"/>
        <v>0.19106666666667138</v>
      </c>
      <c r="P473">
        <f t="shared" si="38"/>
        <v>3.0617777894929876E-5</v>
      </c>
      <c r="Q473">
        <f t="shared" si="38"/>
        <v>4.9580444445204816E-4</v>
      </c>
      <c r="R473">
        <f t="shared" si="38"/>
        <v>3.6506471111112909E-2</v>
      </c>
      <c r="S473">
        <f t="shared" si="39"/>
        <v>5.2642222234697798E-4</v>
      </c>
      <c r="T473">
        <f t="shared" si="40"/>
        <v>2.2943892920491458E-2</v>
      </c>
    </row>
    <row r="474" spans="1:20" x14ac:dyDescent="0.3">
      <c r="A474" s="2" t="s">
        <v>1168</v>
      </c>
      <c r="B474" s="6" t="s">
        <v>1074</v>
      </c>
      <c r="C474" s="2" t="s">
        <v>422</v>
      </c>
      <c r="D474" s="2" t="s">
        <v>423</v>
      </c>
      <c r="E474" s="8">
        <v>438845.55253333336</v>
      </c>
      <c r="F474" s="8">
        <v>179637.17539999998</v>
      </c>
      <c r="G474" s="8">
        <v>70.303999999999988</v>
      </c>
      <c r="J474">
        <v>438845.5269</v>
      </c>
      <c r="K474">
        <v>179637.18150000001</v>
      </c>
      <c r="L474">
        <v>70.384399999999999</v>
      </c>
      <c r="M474" s="3">
        <f t="shared" si="41"/>
        <v>-2.5633333367295563E-2</v>
      </c>
      <c r="N474" s="3">
        <f t="shared" si="41"/>
        <v>6.1000000277999789E-3</v>
      </c>
      <c r="O474" s="3">
        <f t="shared" si="37"/>
        <v>8.0400000000011573E-2</v>
      </c>
      <c r="P474">
        <f t="shared" si="38"/>
        <v>6.5706777951890808E-4</v>
      </c>
      <c r="Q474">
        <f t="shared" si="38"/>
        <v>3.7210000339159742E-5</v>
      </c>
      <c r="R474">
        <f t="shared" si="38"/>
        <v>6.4641600000018614E-3</v>
      </c>
      <c r="S474">
        <f t="shared" si="39"/>
        <v>6.9427777985806786E-4</v>
      </c>
      <c r="T474">
        <f t="shared" si="40"/>
        <v>2.6349151406792361E-2</v>
      </c>
    </row>
    <row r="475" spans="1:20" x14ac:dyDescent="0.3">
      <c r="A475" s="2" t="s">
        <v>1168</v>
      </c>
      <c r="B475" s="6" t="s">
        <v>1074</v>
      </c>
      <c r="C475" s="2" t="s">
        <v>20</v>
      </c>
      <c r="D475" s="2" t="s">
        <v>110</v>
      </c>
      <c r="E475" s="8">
        <v>438845.55036666663</v>
      </c>
      <c r="F475" s="8">
        <v>179637.19173333331</v>
      </c>
      <c r="G475" s="8">
        <v>70.33</v>
      </c>
      <c r="J475">
        <v>438845.5269</v>
      </c>
      <c r="K475">
        <v>179637.18150000001</v>
      </c>
      <c r="L475">
        <v>70.384399999999999</v>
      </c>
      <c r="M475" s="3">
        <f t="shared" si="41"/>
        <v>-2.3466666636522859E-2</v>
      </c>
      <c r="N475" s="3">
        <f t="shared" si="41"/>
        <v>-1.0233333305222914E-2</v>
      </c>
      <c r="O475" s="3">
        <f t="shared" si="37"/>
        <v>5.4400000000001114E-2</v>
      </c>
      <c r="P475">
        <f t="shared" si="38"/>
        <v>5.5068444302969514E-4</v>
      </c>
      <c r="Q475">
        <f t="shared" si="38"/>
        <v>1.0472111053578452E-4</v>
      </c>
      <c r="R475">
        <f t="shared" si="38"/>
        <v>2.9593600000001213E-3</v>
      </c>
      <c r="S475">
        <f t="shared" si="39"/>
        <v>6.5540555356547966E-4</v>
      </c>
      <c r="T475">
        <f t="shared" si="40"/>
        <v>2.5600889702615408E-2</v>
      </c>
    </row>
    <row r="476" spans="1:20" x14ac:dyDescent="0.3">
      <c r="A476" s="2" t="s">
        <v>1168</v>
      </c>
      <c r="B476" s="6" t="s">
        <v>1075</v>
      </c>
      <c r="C476" s="2" t="s">
        <v>20</v>
      </c>
      <c r="D476" s="2" t="s">
        <v>30</v>
      </c>
      <c r="E476" s="8">
        <v>442058.06630000001</v>
      </c>
      <c r="F476" s="8">
        <v>169095.63283333334</v>
      </c>
      <c r="G476" s="8">
        <v>105.82</v>
      </c>
      <c r="J476">
        <v>442058.05820000003</v>
      </c>
      <c r="K476">
        <v>169095.60699999999</v>
      </c>
      <c r="L476">
        <v>105.8759</v>
      </c>
      <c r="M476" s="3">
        <f t="shared" si="41"/>
        <v>-8.0999999772757292E-3</v>
      </c>
      <c r="N476" s="3">
        <f t="shared" si="41"/>
        <v>-2.5833333347691223E-2</v>
      </c>
      <c r="O476" s="3">
        <f t="shared" si="37"/>
        <v>5.5900000000008276E-2</v>
      </c>
      <c r="P476">
        <f t="shared" si="38"/>
        <v>6.5609999631866813E-5</v>
      </c>
      <c r="Q476">
        <f t="shared" si="38"/>
        <v>6.6736111185293544E-4</v>
      </c>
      <c r="R476">
        <f t="shared" si="38"/>
        <v>3.1248100000009255E-3</v>
      </c>
      <c r="S476">
        <f t="shared" si="39"/>
        <v>7.3297111148480231E-4</v>
      </c>
      <c r="T476">
        <f t="shared" si="40"/>
        <v>2.7073439225277648E-2</v>
      </c>
    </row>
    <row r="477" spans="1:20" x14ac:dyDescent="0.3">
      <c r="A477" s="2" t="s">
        <v>1168</v>
      </c>
      <c r="B477" s="6" t="s">
        <v>1075</v>
      </c>
      <c r="C477" s="2" t="s">
        <v>20</v>
      </c>
      <c r="D477" s="2" t="s">
        <v>21</v>
      </c>
      <c r="E477" s="8">
        <v>442058.07686666661</v>
      </c>
      <c r="F477" s="8">
        <v>169095.62210000001</v>
      </c>
      <c r="G477" s="8">
        <v>105.79966666666667</v>
      </c>
      <c r="J477">
        <v>442058.05820000003</v>
      </c>
      <c r="K477">
        <v>169095.60699999999</v>
      </c>
      <c r="L477">
        <v>105.8759</v>
      </c>
      <c r="M477" s="3">
        <f t="shared" si="41"/>
        <v>-1.8666666583158076E-2</v>
      </c>
      <c r="N477" s="3">
        <f t="shared" si="41"/>
        <v>-1.5100000018719584E-2</v>
      </c>
      <c r="O477" s="3">
        <f t="shared" si="37"/>
        <v>7.6233333333334485E-2</v>
      </c>
      <c r="P477">
        <f t="shared" si="38"/>
        <v>3.4844444132679038E-4</v>
      </c>
      <c r="Q477">
        <f t="shared" si="38"/>
        <v>2.2801000056533143E-4</v>
      </c>
      <c r="R477">
        <f t="shared" si="38"/>
        <v>5.8115211111112869E-3</v>
      </c>
      <c r="S477">
        <f t="shared" si="39"/>
        <v>5.7645444189212175E-4</v>
      </c>
      <c r="T477">
        <f t="shared" si="40"/>
        <v>2.4009465672774181E-2</v>
      </c>
    </row>
    <row r="478" spans="1:20" x14ac:dyDescent="0.3">
      <c r="A478" s="2" t="s">
        <v>1168</v>
      </c>
      <c r="B478" s="6" t="s">
        <v>1076</v>
      </c>
      <c r="C478" s="2" t="s">
        <v>20</v>
      </c>
      <c r="D478" s="2" t="s">
        <v>110</v>
      </c>
      <c r="E478" s="8">
        <v>442058.04019999999</v>
      </c>
      <c r="F478" s="8">
        <v>169095.61936666668</v>
      </c>
      <c r="G478" s="8">
        <v>105.79066666666667</v>
      </c>
      <c r="J478">
        <v>442058.05820000003</v>
      </c>
      <c r="K478">
        <v>169095.60699999999</v>
      </c>
      <c r="L478">
        <v>105.8759</v>
      </c>
      <c r="M478" s="3">
        <f t="shared" si="41"/>
        <v>1.8000000040046871E-2</v>
      </c>
      <c r="N478" s="3">
        <f t="shared" si="41"/>
        <v>-1.2366666691377759E-2</v>
      </c>
      <c r="O478" s="3">
        <f t="shared" si="37"/>
        <v>8.5233333333334826E-2</v>
      </c>
      <c r="P478">
        <f t="shared" si="38"/>
        <v>3.2400000144168733E-4</v>
      </c>
      <c r="Q478">
        <f t="shared" si="38"/>
        <v>1.5293444505563213E-4</v>
      </c>
      <c r="R478">
        <f t="shared" si="38"/>
        <v>7.2647211111113658E-3</v>
      </c>
      <c r="S478">
        <f t="shared" si="39"/>
        <v>4.7693444649731946E-4</v>
      </c>
      <c r="T478">
        <f t="shared" si="40"/>
        <v>2.1838828871927164E-2</v>
      </c>
    </row>
    <row r="479" spans="1:20" x14ac:dyDescent="0.3">
      <c r="A479" s="2" t="s">
        <v>1168</v>
      </c>
      <c r="B479" s="6" t="s">
        <v>1076</v>
      </c>
      <c r="C479" s="2" t="s">
        <v>20</v>
      </c>
      <c r="D479" s="2" t="s">
        <v>37</v>
      </c>
      <c r="E479" s="8">
        <v>442058.08653333335</v>
      </c>
      <c r="F479" s="8">
        <v>169095.54920000001</v>
      </c>
      <c r="G479" s="8">
        <v>105.92200000000001</v>
      </c>
      <c r="J479">
        <v>442058.05820000003</v>
      </c>
      <c r="K479">
        <v>169095.60699999999</v>
      </c>
      <c r="L479">
        <v>105.8759</v>
      </c>
      <c r="M479" s="3">
        <f t="shared" si="41"/>
        <v>-2.8333333320915699E-2</v>
      </c>
      <c r="N479" s="3">
        <f t="shared" si="41"/>
        <v>5.7799999980488792E-2</v>
      </c>
      <c r="O479" s="3">
        <f t="shared" si="37"/>
        <v>4.61000000000098E-2</v>
      </c>
      <c r="P479">
        <f t="shared" si="38"/>
        <v>8.0277777707411183E-4</v>
      </c>
      <c r="Q479">
        <f t="shared" si="38"/>
        <v>3.3408399977445042E-3</v>
      </c>
      <c r="R479">
        <f t="shared" si="38"/>
        <v>2.1252100000009036E-3</v>
      </c>
      <c r="S479">
        <f t="shared" si="39"/>
        <v>4.143617774818616E-3</v>
      </c>
      <c r="T479">
        <f t="shared" si="40"/>
        <v>6.4370938899620034E-2</v>
      </c>
    </row>
    <row r="480" spans="1:20" x14ac:dyDescent="0.3">
      <c r="A480" s="2" t="s">
        <v>1168</v>
      </c>
      <c r="B480" s="6" t="s">
        <v>1076</v>
      </c>
      <c r="C480" s="2" t="s">
        <v>20</v>
      </c>
      <c r="D480" s="2" t="s">
        <v>46</v>
      </c>
      <c r="E480" s="8">
        <v>442058.09446666669</v>
      </c>
      <c r="F480" s="8">
        <v>169095.50486666666</v>
      </c>
      <c r="G480" s="8">
        <v>106.01400000000001</v>
      </c>
      <c r="J480">
        <v>442058.05820000003</v>
      </c>
      <c r="K480">
        <v>169095.60699999999</v>
      </c>
      <c r="L480">
        <v>105.8759</v>
      </c>
      <c r="M480" s="3">
        <f t="shared" si="41"/>
        <v>-3.6266666662413627E-2</v>
      </c>
      <c r="N480" s="3">
        <f t="shared" si="41"/>
        <v>0.10213333333376795</v>
      </c>
      <c r="O480" s="3">
        <f t="shared" si="37"/>
        <v>0.13810000000000855</v>
      </c>
      <c r="P480">
        <f t="shared" si="38"/>
        <v>1.315271110802624E-3</v>
      </c>
      <c r="Q480">
        <f t="shared" si="38"/>
        <v>1.0431217777866555E-2</v>
      </c>
      <c r="R480">
        <f t="shared" si="38"/>
        <v>1.9071610000002362E-2</v>
      </c>
      <c r="S480">
        <f t="shared" si="39"/>
        <v>1.1746488888669179E-2</v>
      </c>
      <c r="T480">
        <f t="shared" si="40"/>
        <v>0.10838122018444514</v>
      </c>
    </row>
    <row r="481" spans="1:20" x14ac:dyDescent="0.3">
      <c r="A481" s="2" t="s">
        <v>1168</v>
      </c>
      <c r="B481" s="6" t="s">
        <v>1076</v>
      </c>
      <c r="C481" s="2" t="s">
        <v>51</v>
      </c>
      <c r="D481" s="2" t="s">
        <v>52</v>
      </c>
      <c r="E481" s="8">
        <v>442058.07609999995</v>
      </c>
      <c r="F481" s="8">
        <v>169095.60889999999</v>
      </c>
      <c r="G481" s="8">
        <v>105.735</v>
      </c>
      <c r="J481">
        <v>442058.05820000003</v>
      </c>
      <c r="K481">
        <v>169095.60699999999</v>
      </c>
      <c r="L481">
        <v>105.8759</v>
      </c>
      <c r="M481" s="3">
        <f t="shared" si="41"/>
        <v>-1.7899999918881804E-2</v>
      </c>
      <c r="N481" s="3">
        <f t="shared" si="41"/>
        <v>-1.9000000029336661E-3</v>
      </c>
      <c r="O481" s="3">
        <f t="shared" si="37"/>
        <v>0.14090000000000202</v>
      </c>
      <c r="P481">
        <f t="shared" si="38"/>
        <v>3.2040999709596858E-4</v>
      </c>
      <c r="Q481">
        <f t="shared" si="38"/>
        <v>3.6100000111479312E-6</v>
      </c>
      <c r="R481">
        <f t="shared" si="38"/>
        <v>1.9852810000000571E-2</v>
      </c>
      <c r="S481">
        <f t="shared" si="39"/>
        <v>3.2401999710711653E-4</v>
      </c>
      <c r="T481">
        <f t="shared" si="40"/>
        <v>1.8000555466627037E-2</v>
      </c>
    </row>
    <row r="482" spans="1:20" x14ac:dyDescent="0.3">
      <c r="A482" s="2" t="s">
        <v>1168</v>
      </c>
      <c r="B482" s="6" t="s">
        <v>1076</v>
      </c>
      <c r="C482" s="2" t="s">
        <v>422</v>
      </c>
      <c r="D482" s="2" t="s">
        <v>423</v>
      </c>
      <c r="E482" s="8">
        <v>442058.07326666667</v>
      </c>
      <c r="F482" s="8">
        <v>169095.54723333335</v>
      </c>
      <c r="G482" s="8">
        <v>106.03366666666666</v>
      </c>
      <c r="J482">
        <v>442058.05820000003</v>
      </c>
      <c r="K482">
        <v>169095.60699999999</v>
      </c>
      <c r="L482">
        <v>105.8759</v>
      </c>
      <c r="M482" s="3">
        <f t="shared" si="41"/>
        <v>-1.5066666644997895E-2</v>
      </c>
      <c r="N482" s="3">
        <f t="shared" si="41"/>
        <v>5.9766666643554345E-2</v>
      </c>
      <c r="O482" s="3">
        <f t="shared" si="37"/>
        <v>0.15776666666666017</v>
      </c>
      <c r="P482">
        <f t="shared" si="38"/>
        <v>2.270044437914921E-4</v>
      </c>
      <c r="Q482">
        <f t="shared" si="38"/>
        <v>3.5720544416817514E-3</v>
      </c>
      <c r="R482">
        <f t="shared" si="38"/>
        <v>2.4890321111109063E-2</v>
      </c>
      <c r="S482">
        <f t="shared" si="39"/>
        <v>3.7990588854732435E-3</v>
      </c>
      <c r="T482">
        <f t="shared" si="40"/>
        <v>6.1636506110204228E-2</v>
      </c>
    </row>
    <row r="483" spans="1:20" x14ac:dyDescent="0.3">
      <c r="A483" s="2" t="s">
        <v>1168</v>
      </c>
      <c r="B483" s="6" t="s">
        <v>1077</v>
      </c>
      <c r="C483" s="2" t="s">
        <v>20</v>
      </c>
      <c r="D483" s="2" t="s">
        <v>30</v>
      </c>
      <c r="E483" s="8">
        <v>447293.55326666665</v>
      </c>
      <c r="F483" s="8">
        <v>138391.09106666668</v>
      </c>
      <c r="G483" s="8">
        <v>38.905999999999999</v>
      </c>
      <c r="J483">
        <v>447293.56</v>
      </c>
      <c r="K483">
        <v>138391.0827</v>
      </c>
      <c r="L483">
        <v>39.093699999999998</v>
      </c>
      <c r="M483" s="3">
        <f t="shared" si="41"/>
        <v>6.7333333427086473E-3</v>
      </c>
      <c r="N483" s="3">
        <f t="shared" si="41"/>
        <v>-8.3666666760109365E-3</v>
      </c>
      <c r="O483" s="3">
        <f t="shared" si="37"/>
        <v>0.18769999999999953</v>
      </c>
      <c r="P483">
        <f t="shared" si="38"/>
        <v>4.5337777904032005E-5</v>
      </c>
      <c r="Q483">
        <f t="shared" si="38"/>
        <v>7.000111126747189E-5</v>
      </c>
      <c r="R483">
        <f t="shared" si="38"/>
        <v>3.5231289999999825E-2</v>
      </c>
      <c r="S483">
        <f t="shared" si="39"/>
        <v>1.1533888917150389E-4</v>
      </c>
      <c r="T483">
        <f t="shared" si="40"/>
        <v>1.0739594460290569E-2</v>
      </c>
    </row>
    <row r="484" spans="1:20" x14ac:dyDescent="0.3">
      <c r="A484" s="2" t="s">
        <v>1168</v>
      </c>
      <c r="B484" s="6" t="s">
        <v>1077</v>
      </c>
      <c r="C484" s="2" t="s">
        <v>20</v>
      </c>
      <c r="D484" s="2" t="s">
        <v>21</v>
      </c>
      <c r="E484" s="8">
        <v>447293.54340000002</v>
      </c>
      <c r="F484" s="8">
        <v>138391.08943333334</v>
      </c>
      <c r="G484" s="8">
        <v>38.914666666666669</v>
      </c>
      <c r="J484">
        <v>447293.56</v>
      </c>
      <c r="K484">
        <v>138391.0827</v>
      </c>
      <c r="L484">
        <v>39.093699999999998</v>
      </c>
      <c r="M484" s="3">
        <f t="shared" si="41"/>
        <v>1.6599999973550439E-2</v>
      </c>
      <c r="N484" s="3">
        <f t="shared" si="41"/>
        <v>-6.7333333427086473E-3</v>
      </c>
      <c r="O484" s="3">
        <f t="shared" si="37"/>
        <v>0.17903333333332938</v>
      </c>
      <c r="P484">
        <f t="shared" si="38"/>
        <v>2.7555999912187457E-4</v>
      </c>
      <c r="Q484">
        <f t="shared" si="38"/>
        <v>4.5337777904032005E-5</v>
      </c>
      <c r="R484">
        <f t="shared" si="38"/>
        <v>3.2052934444443029E-2</v>
      </c>
      <c r="S484">
        <f t="shared" si="39"/>
        <v>3.2089777702590656E-4</v>
      </c>
      <c r="T484">
        <f t="shared" si="40"/>
        <v>1.7913619874997531E-2</v>
      </c>
    </row>
    <row r="485" spans="1:20" x14ac:dyDescent="0.3">
      <c r="A485" s="2" t="s">
        <v>1168</v>
      </c>
      <c r="B485" s="6" t="s">
        <v>1077</v>
      </c>
      <c r="C485" s="2" t="s">
        <v>20</v>
      </c>
      <c r="D485" s="2" t="s">
        <v>110</v>
      </c>
      <c r="E485" s="8">
        <v>447293.54583333334</v>
      </c>
      <c r="F485" s="8">
        <v>138391.08293333332</v>
      </c>
      <c r="G485" s="8">
        <v>38.915666666666674</v>
      </c>
      <c r="J485">
        <v>447293.56</v>
      </c>
      <c r="K485">
        <v>138391.0827</v>
      </c>
      <c r="L485">
        <v>39.093699999999998</v>
      </c>
      <c r="M485" s="3">
        <f t="shared" si="41"/>
        <v>1.416666666045785E-2</v>
      </c>
      <c r="N485" s="3">
        <f t="shared" si="41"/>
        <v>-2.3333332501351833E-4</v>
      </c>
      <c r="O485" s="3">
        <f t="shared" si="37"/>
        <v>0.17803333333332461</v>
      </c>
      <c r="P485">
        <f t="shared" si="38"/>
        <v>2.0069444426852796E-4</v>
      </c>
      <c r="Q485">
        <f t="shared" si="38"/>
        <v>5.444444056186418E-8</v>
      </c>
      <c r="R485">
        <f t="shared" si="38"/>
        <v>3.1695867777774674E-2</v>
      </c>
      <c r="S485">
        <f t="shared" si="39"/>
        <v>2.0074888870908982E-4</v>
      </c>
      <c r="T485">
        <f t="shared" si="40"/>
        <v>1.4168588098645886E-2</v>
      </c>
    </row>
    <row r="486" spans="1:20" x14ac:dyDescent="0.3">
      <c r="A486" s="2" t="s">
        <v>1168</v>
      </c>
      <c r="B486" s="6" t="s">
        <v>1078</v>
      </c>
      <c r="C486" s="2" t="s">
        <v>20</v>
      </c>
      <c r="D486" s="2" t="s">
        <v>37</v>
      </c>
      <c r="E486" s="8">
        <v>447293.5456666667</v>
      </c>
      <c r="F486" s="8">
        <v>138391.08243333333</v>
      </c>
      <c r="G486" s="8">
        <v>38.904000000000003</v>
      </c>
      <c r="J486">
        <v>447293.56</v>
      </c>
      <c r="K486">
        <v>138391.0827</v>
      </c>
      <c r="L486">
        <v>39.093699999999998</v>
      </c>
      <c r="M486" s="3">
        <f t="shared" si="41"/>
        <v>1.4333333296235651E-2</v>
      </c>
      <c r="N486" s="3">
        <f t="shared" si="41"/>
        <v>2.6666666963137686E-4</v>
      </c>
      <c r="O486" s="3">
        <f t="shared" si="37"/>
        <v>0.18969999999999487</v>
      </c>
      <c r="P486">
        <f t="shared" si="38"/>
        <v>2.0544444338097754E-4</v>
      </c>
      <c r="Q486">
        <f t="shared" si="38"/>
        <v>7.1111112692289891E-8</v>
      </c>
      <c r="R486">
        <f t="shared" si="38"/>
        <v>3.5986089999998055E-2</v>
      </c>
      <c r="S486">
        <f t="shared" si="39"/>
        <v>2.0551555449366984E-4</v>
      </c>
      <c r="T486">
        <f t="shared" si="40"/>
        <v>1.4335813701833245E-2</v>
      </c>
    </row>
    <row r="487" spans="1:20" x14ac:dyDescent="0.3">
      <c r="A487" s="2" t="s">
        <v>1168</v>
      </c>
      <c r="B487" s="6" t="s">
        <v>1078</v>
      </c>
      <c r="C487" s="2" t="s">
        <v>20</v>
      </c>
      <c r="D487" s="2" t="s">
        <v>46</v>
      </c>
      <c r="E487" s="8">
        <v>447293.53740000003</v>
      </c>
      <c r="F487" s="8">
        <v>138391.08379999999</v>
      </c>
      <c r="G487" s="8">
        <v>38.94466666666667</v>
      </c>
      <c r="J487">
        <v>447293.56</v>
      </c>
      <c r="K487">
        <v>138391.0827</v>
      </c>
      <c r="L487">
        <v>39.093699999999998</v>
      </c>
      <c r="M487" s="3">
        <f t="shared" si="41"/>
        <v>2.2599999967496842E-2</v>
      </c>
      <c r="N487" s="3">
        <f t="shared" si="41"/>
        <v>-1.0999999940395355E-3</v>
      </c>
      <c r="O487" s="3">
        <f t="shared" si="37"/>
        <v>0.14903333333332824</v>
      </c>
      <c r="P487">
        <f t="shared" si="38"/>
        <v>5.1075999853085724E-4</v>
      </c>
      <c r="Q487">
        <f t="shared" si="38"/>
        <v>1.2099999868869782E-6</v>
      </c>
      <c r="R487">
        <f t="shared" si="38"/>
        <v>2.2210934444442929E-2</v>
      </c>
      <c r="S487">
        <f t="shared" si="39"/>
        <v>5.1196999851774421E-4</v>
      </c>
      <c r="T487">
        <f t="shared" si="40"/>
        <v>2.2626754042896744E-2</v>
      </c>
    </row>
    <row r="488" spans="1:20" x14ac:dyDescent="0.3">
      <c r="A488" s="2" t="s">
        <v>1168</v>
      </c>
      <c r="B488" s="6" t="s">
        <v>1078</v>
      </c>
      <c r="C488" s="2" t="s">
        <v>51</v>
      </c>
      <c r="D488" s="2" t="s">
        <v>63</v>
      </c>
      <c r="E488" s="8">
        <v>447293.56046666665</v>
      </c>
      <c r="F488" s="8">
        <v>138391.07956666665</v>
      </c>
      <c r="G488" s="8">
        <v>39.094999999999999</v>
      </c>
      <c r="J488">
        <v>447293.56</v>
      </c>
      <c r="K488">
        <v>138391.0827</v>
      </c>
      <c r="L488">
        <v>39.093699999999998</v>
      </c>
      <c r="M488" s="3">
        <f t="shared" si="41"/>
        <v>-4.6666665002703667E-4</v>
      </c>
      <c r="N488" s="3">
        <f t="shared" si="41"/>
        <v>3.1333333463408053E-3</v>
      </c>
      <c r="O488" s="3">
        <f t="shared" si="37"/>
        <v>1.300000000000523E-3</v>
      </c>
      <c r="P488">
        <f t="shared" si="38"/>
        <v>2.1777776224745672E-7</v>
      </c>
      <c r="Q488">
        <f t="shared" si="38"/>
        <v>9.8177778592912689E-6</v>
      </c>
      <c r="R488">
        <f t="shared" si="38"/>
        <v>1.6900000000013596E-6</v>
      </c>
      <c r="S488">
        <f t="shared" si="39"/>
        <v>1.0035555621538726E-5</v>
      </c>
      <c r="T488">
        <f t="shared" si="40"/>
        <v>3.1678945092188165E-3</v>
      </c>
    </row>
    <row r="489" spans="1:20" x14ac:dyDescent="0.3">
      <c r="A489" s="2" t="s">
        <v>1168</v>
      </c>
      <c r="B489" s="6" t="s">
        <v>1078</v>
      </c>
      <c r="C489" s="2" t="s">
        <v>51</v>
      </c>
      <c r="D489" s="2" t="s">
        <v>30</v>
      </c>
      <c r="E489" s="8">
        <v>447293.5627666667</v>
      </c>
      <c r="F489" s="8">
        <v>138391.08249999999</v>
      </c>
      <c r="G489" s="8">
        <v>39.128999999999998</v>
      </c>
      <c r="J489">
        <v>447293.56</v>
      </c>
      <c r="K489">
        <v>138391.0827</v>
      </c>
      <c r="L489">
        <v>39.093699999999998</v>
      </c>
      <c r="M489" s="3">
        <f t="shared" si="41"/>
        <v>-2.7666667010635138E-3</v>
      </c>
      <c r="N489" s="3">
        <f t="shared" si="41"/>
        <v>2.0000000949949026E-4</v>
      </c>
      <c r="O489" s="3">
        <f t="shared" si="37"/>
        <v>3.5299999999999443E-2</v>
      </c>
      <c r="P489">
        <f t="shared" si="38"/>
        <v>7.6544446347736662E-6</v>
      </c>
      <c r="Q489">
        <f t="shared" si="38"/>
        <v>4.0000003799796195E-8</v>
      </c>
      <c r="R489">
        <f t="shared" si="38"/>
        <v>1.2460899999999606E-3</v>
      </c>
      <c r="S489">
        <f t="shared" si="39"/>
        <v>7.6944446385734624E-6</v>
      </c>
      <c r="T489">
        <f t="shared" si="40"/>
        <v>2.7738861978411195E-3</v>
      </c>
    </row>
    <row r="490" spans="1:20" x14ac:dyDescent="0.3">
      <c r="A490" s="2" t="s">
        <v>1168</v>
      </c>
      <c r="B490" s="6" t="s">
        <v>1078</v>
      </c>
      <c r="C490" s="2" t="s">
        <v>51</v>
      </c>
      <c r="D490" s="2" t="s">
        <v>52</v>
      </c>
      <c r="E490" s="8">
        <v>447293.56083333335</v>
      </c>
      <c r="F490" s="8">
        <v>138391.08166666667</v>
      </c>
      <c r="G490" s="8">
        <v>39.111333333333334</v>
      </c>
      <c r="J490">
        <v>447293.56</v>
      </c>
      <c r="K490">
        <v>138391.0827</v>
      </c>
      <c r="L490">
        <v>39.093699999999998</v>
      </c>
      <c r="M490" s="3">
        <f t="shared" si="41"/>
        <v>-8.3333335351198912E-4</v>
      </c>
      <c r="N490" s="3">
        <f t="shared" si="41"/>
        <v>1.0333333339076489E-3</v>
      </c>
      <c r="O490" s="3">
        <f t="shared" si="37"/>
        <v>1.7633333333336054E-2</v>
      </c>
      <c r="P490">
        <f t="shared" si="38"/>
        <v>6.9444447807553782E-7</v>
      </c>
      <c r="Q490">
        <f t="shared" si="38"/>
        <v>1.0677777789646967E-6</v>
      </c>
      <c r="R490">
        <f t="shared" si="38"/>
        <v>3.1093444444454038E-4</v>
      </c>
      <c r="S490">
        <f t="shared" si="39"/>
        <v>1.7622222570402345E-6</v>
      </c>
      <c r="T490">
        <f t="shared" si="40"/>
        <v>1.3274871965635805E-3</v>
      </c>
    </row>
    <row r="491" spans="1:20" x14ac:dyDescent="0.3">
      <c r="A491" s="2" t="s">
        <v>1168</v>
      </c>
      <c r="B491" s="6" t="s">
        <v>1078</v>
      </c>
      <c r="C491" s="2" t="s">
        <v>422</v>
      </c>
      <c r="D491" s="2" t="s">
        <v>423</v>
      </c>
      <c r="E491" s="8">
        <v>447293.56550000003</v>
      </c>
      <c r="F491" s="8">
        <v>138391.09420000002</v>
      </c>
      <c r="G491" s="8">
        <v>39.151666666666671</v>
      </c>
      <c r="J491">
        <v>447293.56</v>
      </c>
      <c r="K491">
        <v>138391.0827</v>
      </c>
      <c r="L491">
        <v>39.093699999999998</v>
      </c>
      <c r="M491" s="3">
        <f t="shared" si="41"/>
        <v>-5.5000000284053385E-3</v>
      </c>
      <c r="N491" s="3">
        <f t="shared" si="41"/>
        <v>-1.1500000022351742E-2</v>
      </c>
      <c r="O491" s="3">
        <f t="shared" si="37"/>
        <v>5.7966666666672495E-2</v>
      </c>
      <c r="P491">
        <f t="shared" si="38"/>
        <v>3.0250000312458725E-5</v>
      </c>
      <c r="Q491">
        <f t="shared" si="38"/>
        <v>1.3225000051409006E-4</v>
      </c>
      <c r="R491">
        <f t="shared" si="38"/>
        <v>3.3601344444451203E-3</v>
      </c>
      <c r="S491">
        <f t="shared" si="39"/>
        <v>1.6250000082654878E-4</v>
      </c>
      <c r="T491">
        <f t="shared" si="40"/>
        <v>1.2747548816401872E-2</v>
      </c>
    </row>
    <row r="492" spans="1:20" x14ac:dyDescent="0.3">
      <c r="A492" s="2" t="s">
        <v>1166</v>
      </c>
      <c r="B492" s="4" t="s">
        <v>1079</v>
      </c>
      <c r="C492" t="s">
        <v>20</v>
      </c>
      <c r="D492" t="s">
        <v>30</v>
      </c>
      <c r="E492">
        <v>437413.08953333338</v>
      </c>
      <c r="F492">
        <v>116871.54763333332</v>
      </c>
      <c r="G492">
        <v>144.39700000000002</v>
      </c>
      <c r="J492" t="s">
        <v>1087</v>
      </c>
      <c r="K492" t="s">
        <v>1088</v>
      </c>
      <c r="L492" t="s">
        <v>1086</v>
      </c>
      <c r="M492" s="3">
        <f t="shared" si="41"/>
        <v>-2.5033333397004753E-2</v>
      </c>
      <c r="N492" s="3">
        <f t="shared" si="41"/>
        <v>5.46666668378748E-3</v>
      </c>
      <c r="O492" s="3">
        <f t="shared" si="37"/>
        <v>1.5900000000016234E-2</v>
      </c>
      <c r="P492">
        <f t="shared" si="38"/>
        <v>6.2666778096559354E-4</v>
      </c>
      <c r="Q492">
        <f t="shared" si="38"/>
        <v>2.9884444631632003E-5</v>
      </c>
      <c r="R492">
        <f t="shared" si="38"/>
        <v>2.5281000000051626E-4</v>
      </c>
      <c r="S492">
        <f t="shared" si="39"/>
        <v>6.565522255972255E-4</v>
      </c>
      <c r="T492">
        <f t="shared" si="40"/>
        <v>2.5623275075548509E-2</v>
      </c>
    </row>
    <row r="493" spans="1:20" x14ac:dyDescent="0.3">
      <c r="A493" s="2" t="s">
        <v>1166</v>
      </c>
      <c r="B493" s="4" t="s">
        <v>1079</v>
      </c>
      <c r="C493" t="s">
        <v>20</v>
      </c>
      <c r="D493" t="s">
        <v>21</v>
      </c>
      <c r="E493">
        <v>437413.09333333327</v>
      </c>
      <c r="F493">
        <v>116871.53423333332</v>
      </c>
      <c r="G493">
        <v>144.43533333333332</v>
      </c>
      <c r="J493" t="s">
        <v>1087</v>
      </c>
      <c r="K493" t="s">
        <v>1088</v>
      </c>
      <c r="L493" t="s">
        <v>1086</v>
      </c>
      <c r="M493" s="3">
        <f t="shared" si="41"/>
        <v>-2.8833333286456764E-2</v>
      </c>
      <c r="N493" s="3">
        <f t="shared" si="41"/>
        <v>1.8866666679969057E-2</v>
      </c>
      <c r="O493" s="3">
        <f t="shared" si="37"/>
        <v>5.4233333333314704E-2</v>
      </c>
      <c r="P493">
        <f t="shared" si="38"/>
        <v>8.3136110840789559E-4</v>
      </c>
      <c r="Q493">
        <f t="shared" si="38"/>
        <v>3.5595111161305465E-4</v>
      </c>
      <c r="R493">
        <f t="shared" si="38"/>
        <v>2.9412544444424238E-3</v>
      </c>
      <c r="S493">
        <f t="shared" si="39"/>
        <v>1.1873122200209503E-3</v>
      </c>
      <c r="T493">
        <f t="shared" si="40"/>
        <v>3.4457397174205574E-2</v>
      </c>
    </row>
    <row r="494" spans="1:20" x14ac:dyDescent="0.3">
      <c r="A494" s="2" t="s">
        <v>1166</v>
      </c>
      <c r="B494" s="4" t="s">
        <v>1167</v>
      </c>
      <c r="C494" t="s">
        <v>20</v>
      </c>
      <c r="D494" t="s">
        <v>110</v>
      </c>
      <c r="E494">
        <v>437413.08140000002</v>
      </c>
      <c r="F494">
        <v>116871.5414</v>
      </c>
      <c r="G494">
        <v>144.39866666666668</v>
      </c>
      <c r="J494" t="s">
        <v>1087</v>
      </c>
      <c r="K494" t="s">
        <v>1088</v>
      </c>
      <c r="L494" t="s">
        <v>1086</v>
      </c>
      <c r="M494" s="3">
        <f t="shared" si="41"/>
        <v>-1.6900000046007335E-2</v>
      </c>
      <c r="N494" s="3">
        <f t="shared" si="41"/>
        <v>1.1700000002747402E-2</v>
      </c>
      <c r="O494" s="3">
        <f t="shared" si="37"/>
        <v>1.7566666666681385E-2</v>
      </c>
      <c r="P494">
        <f t="shared" si="38"/>
        <v>2.8561000155504792E-4</v>
      </c>
      <c r="Q494">
        <f t="shared" si="38"/>
        <v>1.368900000642892E-4</v>
      </c>
      <c r="R494">
        <f t="shared" si="38"/>
        <v>3.0858777777829487E-4</v>
      </c>
      <c r="S494">
        <f t="shared" si="39"/>
        <v>4.2250000161933712E-4</v>
      </c>
      <c r="T494">
        <f t="shared" si="40"/>
        <v>2.0554804830485187E-2</v>
      </c>
    </row>
    <row r="495" spans="1:20" x14ac:dyDescent="0.3">
      <c r="A495" s="2" t="s">
        <v>1166</v>
      </c>
      <c r="B495" s="4" t="s">
        <v>1079</v>
      </c>
      <c r="C495" t="s">
        <v>51</v>
      </c>
      <c r="D495" t="s">
        <v>30</v>
      </c>
      <c r="E495">
        <v>437413.07723333337</v>
      </c>
      <c r="F495">
        <v>116871.54310000001</v>
      </c>
      <c r="G495">
        <v>144.41333333333333</v>
      </c>
      <c r="J495" t="s">
        <v>1087</v>
      </c>
      <c r="K495" t="s">
        <v>1088</v>
      </c>
      <c r="L495" t="s">
        <v>1086</v>
      </c>
      <c r="M495" s="3">
        <f t="shared" si="41"/>
        <v>-1.2733333394862711E-2</v>
      </c>
      <c r="N495" s="3">
        <f t="shared" si="41"/>
        <v>9.9999999947613105E-3</v>
      </c>
      <c r="O495" s="3">
        <f t="shared" si="37"/>
        <v>3.2233333333323344E-2</v>
      </c>
      <c r="P495">
        <f t="shared" si="38"/>
        <v>1.6213777934472593E-4</v>
      </c>
      <c r="Q495">
        <f t="shared" si="38"/>
        <v>9.9999999895226217E-5</v>
      </c>
      <c r="R495">
        <f t="shared" si="38"/>
        <v>1.0389877777771338E-3</v>
      </c>
      <c r="S495">
        <f t="shared" si="39"/>
        <v>2.6213777923995215E-4</v>
      </c>
      <c r="T495">
        <f t="shared" si="40"/>
        <v>1.6190669511788328E-2</v>
      </c>
    </row>
    <row r="496" spans="1:20" x14ac:dyDescent="0.3">
      <c r="A496" s="2" t="s">
        <v>1166</v>
      </c>
      <c r="B496" s="4" t="s">
        <v>1079</v>
      </c>
      <c r="C496" t="s">
        <v>51</v>
      </c>
      <c r="D496" t="s">
        <v>63</v>
      </c>
      <c r="E496">
        <v>437413.07523333334</v>
      </c>
      <c r="F496">
        <v>116871.53966666666</v>
      </c>
      <c r="G496">
        <v>144.39633333333333</v>
      </c>
      <c r="J496" t="s">
        <v>1087</v>
      </c>
      <c r="K496" t="s">
        <v>1088</v>
      </c>
      <c r="L496" t="s">
        <v>1086</v>
      </c>
      <c r="M496" s="3">
        <f t="shared" si="41"/>
        <v>-1.073333335807547E-2</v>
      </c>
      <c r="N496" s="3">
        <f t="shared" si="41"/>
        <v>1.3433333340799436E-2</v>
      </c>
      <c r="O496" s="3">
        <f t="shared" si="37"/>
        <v>1.5233333333327437E-2</v>
      </c>
      <c r="P496">
        <f t="shared" si="38"/>
        <v>1.1520444497557564E-4</v>
      </c>
      <c r="Q496">
        <f t="shared" si="38"/>
        <v>1.8045444464503374E-4</v>
      </c>
      <c r="R496">
        <f t="shared" si="38"/>
        <v>2.320544444442648E-4</v>
      </c>
      <c r="S496">
        <f t="shared" si="39"/>
        <v>2.9565888962060935E-4</v>
      </c>
      <c r="T496">
        <f t="shared" si="40"/>
        <v>1.719473435737259E-2</v>
      </c>
    </row>
    <row r="497" spans="1:20" x14ac:dyDescent="0.3">
      <c r="A497" s="2" t="s">
        <v>1166</v>
      </c>
      <c r="B497" s="4" t="s">
        <v>1080</v>
      </c>
      <c r="C497" t="s">
        <v>45</v>
      </c>
      <c r="D497" t="s">
        <v>30</v>
      </c>
      <c r="E497">
        <v>416556.16886666667</v>
      </c>
      <c r="F497">
        <v>117433.60243333333</v>
      </c>
      <c r="G497">
        <v>119.25699999999999</v>
      </c>
      <c r="J497" t="s">
        <v>1090</v>
      </c>
      <c r="K497" t="s">
        <v>1091</v>
      </c>
      <c r="L497" t="s">
        <v>1089</v>
      </c>
      <c r="M497" s="3">
        <f t="shared" si="41"/>
        <v>1.2733333336655051E-2</v>
      </c>
      <c r="N497" s="3">
        <f t="shared" si="41"/>
        <v>-1.1433333333116025E-2</v>
      </c>
      <c r="O497" s="3">
        <f t="shared" si="37"/>
        <v>4.2200000000008231E-2</v>
      </c>
      <c r="P497">
        <f t="shared" si="38"/>
        <v>1.6213777786237084E-4</v>
      </c>
      <c r="Q497">
        <f t="shared" si="38"/>
        <v>1.3072111110614198E-4</v>
      </c>
      <c r="R497">
        <f t="shared" si="38"/>
        <v>1.7808400000006947E-3</v>
      </c>
      <c r="S497">
        <f t="shared" si="39"/>
        <v>2.9285888896851285E-4</v>
      </c>
      <c r="T497">
        <f t="shared" si="40"/>
        <v>1.7113120374978752E-2</v>
      </c>
    </row>
    <row r="498" spans="1:20" x14ac:dyDescent="0.3">
      <c r="A498" s="2" t="s">
        <v>1166</v>
      </c>
      <c r="B498" s="4" t="s">
        <v>1080</v>
      </c>
      <c r="C498" t="s">
        <v>45</v>
      </c>
      <c r="D498" t="s">
        <v>21</v>
      </c>
      <c r="E498">
        <v>416556.17350000003</v>
      </c>
      <c r="F498">
        <v>117433.60129999999</v>
      </c>
      <c r="G498">
        <v>119.26066666666667</v>
      </c>
      <c r="J498" t="s">
        <v>1090</v>
      </c>
      <c r="K498" t="s">
        <v>1091</v>
      </c>
      <c r="L498" t="s">
        <v>1089</v>
      </c>
      <c r="M498" s="3">
        <f t="shared" si="41"/>
        <v>8.0999999772757292E-3</v>
      </c>
      <c r="N498" s="3">
        <f t="shared" si="41"/>
        <v>-1.0299999994458631E-2</v>
      </c>
      <c r="O498" s="3">
        <f t="shared" si="37"/>
        <v>3.853333333333353E-2</v>
      </c>
      <c r="P498">
        <f t="shared" si="38"/>
        <v>6.5609999631866813E-5</v>
      </c>
      <c r="Q498">
        <f t="shared" si="38"/>
        <v>1.0608999988584779E-4</v>
      </c>
      <c r="R498">
        <f t="shared" si="38"/>
        <v>1.4848177777777929E-3</v>
      </c>
      <c r="S498">
        <f t="shared" si="39"/>
        <v>1.7169999951771462E-4</v>
      </c>
      <c r="T498">
        <f t="shared" si="40"/>
        <v>1.3103434645836741E-2</v>
      </c>
    </row>
    <row r="499" spans="1:20" x14ac:dyDescent="0.3">
      <c r="A499" s="2" t="s">
        <v>1166</v>
      </c>
      <c r="B499" s="4" t="s">
        <v>1080</v>
      </c>
      <c r="C499" t="s">
        <v>45</v>
      </c>
      <c r="D499" t="s">
        <v>110</v>
      </c>
      <c r="E499">
        <v>416556.1783333334</v>
      </c>
      <c r="F499">
        <v>117433.6004</v>
      </c>
      <c r="G499">
        <v>119.28633333333335</v>
      </c>
      <c r="J499" t="s">
        <v>1090</v>
      </c>
      <c r="K499" t="s">
        <v>1091</v>
      </c>
      <c r="L499" t="s">
        <v>1089</v>
      </c>
      <c r="M499" s="3">
        <f t="shared" si="41"/>
        <v>3.2666666083969176E-3</v>
      </c>
      <c r="N499" s="3">
        <f t="shared" si="41"/>
        <v>-9.3999999953666702E-3</v>
      </c>
      <c r="O499" s="3">
        <f t="shared" si="37"/>
        <v>1.2866666666653259E-2</v>
      </c>
      <c r="P499">
        <f t="shared" si="38"/>
        <v>1.067111073041542E-5</v>
      </c>
      <c r="Q499">
        <f t="shared" si="38"/>
        <v>8.8359999912893396E-5</v>
      </c>
      <c r="R499">
        <f t="shared" si="38"/>
        <v>1.655511111107661E-4</v>
      </c>
      <c r="S499">
        <f t="shared" si="39"/>
        <v>9.9031110643308813E-5</v>
      </c>
      <c r="T499">
        <f t="shared" si="40"/>
        <v>9.9514376169128858E-3</v>
      </c>
    </row>
    <row r="500" spans="1:20" x14ac:dyDescent="0.3">
      <c r="A500" s="2" t="s">
        <v>1166</v>
      </c>
      <c r="B500" s="4" t="s">
        <v>1080</v>
      </c>
      <c r="C500" t="s">
        <v>51</v>
      </c>
      <c r="D500" t="s">
        <v>30</v>
      </c>
      <c r="E500">
        <v>416556.17070000008</v>
      </c>
      <c r="F500">
        <v>117433.59926666667</v>
      </c>
      <c r="G500">
        <v>119.26633333333332</v>
      </c>
      <c r="J500" t="s">
        <v>1090</v>
      </c>
      <c r="K500" t="s">
        <v>1091</v>
      </c>
      <c r="L500" t="s">
        <v>1089</v>
      </c>
      <c r="M500" s="3">
        <f t="shared" si="41"/>
        <v>1.089999993564561E-2</v>
      </c>
      <c r="N500" s="3">
        <f t="shared" si="41"/>
        <v>-8.2666666712611914E-3</v>
      </c>
      <c r="O500" s="3">
        <f t="shared" si="37"/>
        <v>3.2866666666677702E-2</v>
      </c>
      <c r="P500">
        <f t="shared" si="38"/>
        <v>1.188099985970743E-4</v>
      </c>
      <c r="Q500">
        <f t="shared" si="38"/>
        <v>6.8337777853740586E-5</v>
      </c>
      <c r="R500">
        <f t="shared" si="38"/>
        <v>1.0802177777785031E-3</v>
      </c>
      <c r="S500">
        <f t="shared" si="39"/>
        <v>1.8714777645081489E-4</v>
      </c>
      <c r="T500">
        <f t="shared" si="40"/>
        <v>1.3680196506293865E-2</v>
      </c>
    </row>
    <row r="501" spans="1:20" x14ac:dyDescent="0.3">
      <c r="A501" s="2" t="s">
        <v>1166</v>
      </c>
      <c r="B501" s="4" t="s">
        <v>1080</v>
      </c>
      <c r="C501" t="s">
        <v>51</v>
      </c>
      <c r="D501" t="s">
        <v>63</v>
      </c>
      <c r="E501">
        <v>416556.17643333337</v>
      </c>
      <c r="F501">
        <v>117433.60649999999</v>
      </c>
      <c r="G501">
        <v>119.25033333333333</v>
      </c>
      <c r="J501" t="s">
        <v>1090</v>
      </c>
      <c r="K501" t="s">
        <v>1091</v>
      </c>
      <c r="L501" t="s">
        <v>1089</v>
      </c>
      <c r="M501" s="3">
        <f t="shared" si="41"/>
        <v>5.1666666404344141E-3</v>
      </c>
      <c r="N501" s="3">
        <f t="shared" si="41"/>
        <v>-1.5499999994062819E-2</v>
      </c>
      <c r="O501" s="3">
        <f t="shared" si="37"/>
        <v>4.8866666666668834E-2</v>
      </c>
      <c r="P501">
        <f t="shared" si="38"/>
        <v>2.6694444173377836E-5</v>
      </c>
      <c r="Q501">
        <f t="shared" si="38"/>
        <v>2.4024999981594737E-4</v>
      </c>
      <c r="R501">
        <f t="shared" si="38"/>
        <v>2.387951111111323E-3</v>
      </c>
      <c r="S501">
        <f t="shared" si="39"/>
        <v>2.669444439893252E-4</v>
      </c>
      <c r="T501">
        <f t="shared" si="40"/>
        <v>1.6338434563608756E-2</v>
      </c>
    </row>
    <row r="502" spans="1:20" x14ac:dyDescent="0.3">
      <c r="A502" s="2" t="s">
        <v>1166</v>
      </c>
      <c r="B502" s="4" t="s">
        <v>1081</v>
      </c>
      <c r="C502" t="s">
        <v>20</v>
      </c>
      <c r="D502" t="s">
        <v>30</v>
      </c>
      <c r="E502">
        <v>409770.45870000002</v>
      </c>
      <c r="F502">
        <v>116793.06929999999</v>
      </c>
      <c r="G502">
        <v>118.21866666666666</v>
      </c>
      <c r="J502" t="s">
        <v>1093</v>
      </c>
      <c r="K502" t="s">
        <v>1094</v>
      </c>
      <c r="L502" t="s">
        <v>1092</v>
      </c>
      <c r="M502" s="3">
        <f t="shared" si="41"/>
        <v>-2.3300000000745058E-2</v>
      </c>
      <c r="N502" s="3">
        <f t="shared" si="41"/>
        <v>3.9000000106170774E-3</v>
      </c>
      <c r="O502" s="3">
        <f t="shared" si="37"/>
        <v>2.6666666666699257E-3</v>
      </c>
      <c r="P502">
        <f t="shared" si="38"/>
        <v>5.4289000003471971E-4</v>
      </c>
      <c r="Q502">
        <f t="shared" si="38"/>
        <v>1.5210000082813203E-5</v>
      </c>
      <c r="R502">
        <f t="shared" si="38"/>
        <v>7.1111111111284929E-6</v>
      </c>
      <c r="S502">
        <f t="shared" si="39"/>
        <v>5.581000001175329E-4</v>
      </c>
      <c r="T502">
        <f t="shared" si="40"/>
        <v>2.3624140198481993E-2</v>
      </c>
    </row>
    <row r="503" spans="1:20" x14ac:dyDescent="0.3">
      <c r="A503" s="2" t="s">
        <v>1166</v>
      </c>
      <c r="B503" s="4" t="s">
        <v>1081</v>
      </c>
      <c r="C503" t="s">
        <v>20</v>
      </c>
      <c r="D503" t="s">
        <v>21</v>
      </c>
      <c r="E503">
        <v>409770.45193333336</v>
      </c>
      <c r="F503">
        <v>116793.06549999998</v>
      </c>
      <c r="G503">
        <v>118.19266666666665</v>
      </c>
      <c r="J503" t="s">
        <v>1093</v>
      </c>
      <c r="K503" t="s">
        <v>1094</v>
      </c>
      <c r="L503" t="s">
        <v>1092</v>
      </c>
      <c r="M503" s="3">
        <f t="shared" si="41"/>
        <v>-1.6533333342522383E-2</v>
      </c>
      <c r="N503" s="3">
        <f t="shared" si="41"/>
        <v>7.7000000164844096E-3</v>
      </c>
      <c r="O503" s="3">
        <f t="shared" si="37"/>
        <v>2.3333333333340533E-2</v>
      </c>
      <c r="P503">
        <f t="shared" si="38"/>
        <v>2.7335111141496234E-4</v>
      </c>
      <c r="Q503">
        <f t="shared" si="38"/>
        <v>5.9290000253859904E-5</v>
      </c>
      <c r="R503">
        <f t="shared" si="38"/>
        <v>5.4444444444478051E-4</v>
      </c>
      <c r="S503">
        <f t="shared" si="39"/>
        <v>3.3264111166882225E-4</v>
      </c>
      <c r="T503">
        <f t="shared" si="40"/>
        <v>1.8238451460275411E-2</v>
      </c>
    </row>
    <row r="504" spans="1:20" x14ac:dyDescent="0.3">
      <c r="A504" s="2" t="s">
        <v>1166</v>
      </c>
      <c r="B504" s="4" t="s">
        <v>1081</v>
      </c>
      <c r="C504" t="s">
        <v>20</v>
      </c>
      <c r="D504" t="s">
        <v>110</v>
      </c>
      <c r="E504">
        <v>409770.46686666668</v>
      </c>
      <c r="F504">
        <v>116793.06603333332</v>
      </c>
      <c r="G504">
        <v>118.19433333333332</v>
      </c>
      <c r="J504" t="s">
        <v>1093</v>
      </c>
      <c r="K504" t="s">
        <v>1094</v>
      </c>
      <c r="L504" t="s">
        <v>1092</v>
      </c>
      <c r="M504" s="3">
        <f t="shared" si="41"/>
        <v>-3.1466666667256504E-2</v>
      </c>
      <c r="N504" s="3">
        <f t="shared" si="41"/>
        <v>7.1666666772216558E-3</v>
      </c>
      <c r="O504" s="3">
        <f t="shared" si="37"/>
        <v>2.1666666666675383E-2</v>
      </c>
      <c r="P504">
        <f t="shared" si="38"/>
        <v>9.9015111114823156E-4</v>
      </c>
      <c r="Q504">
        <f t="shared" si="38"/>
        <v>5.1361111262399289E-5</v>
      </c>
      <c r="R504">
        <f t="shared" si="38"/>
        <v>4.6944444444482216E-4</v>
      </c>
      <c r="S504">
        <f t="shared" si="39"/>
        <v>1.0415122224106308E-3</v>
      </c>
      <c r="T504">
        <f t="shared" si="40"/>
        <v>3.2272468489575303E-2</v>
      </c>
    </row>
    <row r="505" spans="1:20" x14ac:dyDescent="0.3">
      <c r="A505" s="2" t="s">
        <v>1166</v>
      </c>
      <c r="B505" s="4" t="s">
        <v>1081</v>
      </c>
      <c r="C505" t="s">
        <v>51</v>
      </c>
      <c r="D505" t="s">
        <v>30</v>
      </c>
      <c r="E505">
        <v>409770.4523</v>
      </c>
      <c r="F505">
        <v>116793.0707</v>
      </c>
      <c r="G505">
        <v>118.19466666666666</v>
      </c>
      <c r="J505" t="s">
        <v>1093</v>
      </c>
      <c r="K505" t="s">
        <v>1094</v>
      </c>
      <c r="L505" t="s">
        <v>1092</v>
      </c>
      <c r="M505" s="3">
        <f t="shared" si="41"/>
        <v>-1.6899999987799674E-2</v>
      </c>
      <c r="N505" s="3">
        <f t="shared" si="41"/>
        <v>2.5000000023283064E-3</v>
      </c>
      <c r="O505" s="3">
        <f t="shared" si="37"/>
        <v>2.1333333333330984E-2</v>
      </c>
      <c r="P505">
        <f t="shared" si="38"/>
        <v>2.8560999958762901E-4</v>
      </c>
      <c r="Q505">
        <f t="shared" si="38"/>
        <v>6.2500000116415322E-6</v>
      </c>
      <c r="R505">
        <f t="shared" si="38"/>
        <v>4.5511111111101087E-4</v>
      </c>
      <c r="S505">
        <f t="shared" si="39"/>
        <v>2.9185999959927054E-4</v>
      </c>
      <c r="T505">
        <f t="shared" si="40"/>
        <v>1.7083910547625522E-2</v>
      </c>
    </row>
    <row r="506" spans="1:20" x14ac:dyDescent="0.3">
      <c r="A506" s="2" t="s">
        <v>1166</v>
      </c>
      <c r="B506" s="4" t="s">
        <v>1081</v>
      </c>
      <c r="C506" t="s">
        <v>51</v>
      </c>
      <c r="D506" t="s">
        <v>63</v>
      </c>
      <c r="E506">
        <v>409770.47673333337</v>
      </c>
      <c r="F506">
        <v>116793.07373333334</v>
      </c>
      <c r="G506">
        <v>118.18566666666668</v>
      </c>
      <c r="J506" t="s">
        <v>1093</v>
      </c>
      <c r="K506" t="s">
        <v>1094</v>
      </c>
      <c r="L506" t="s">
        <v>1092</v>
      </c>
      <c r="M506" s="3">
        <f t="shared" si="41"/>
        <v>-4.1333333356305957E-2</v>
      </c>
      <c r="N506" s="3">
        <f t="shared" si="41"/>
        <v>-5.3333333926275373E-4</v>
      </c>
      <c r="O506" s="3">
        <f t="shared" si="37"/>
        <v>3.0333333333317114E-2</v>
      </c>
      <c r="P506">
        <f t="shared" si="38"/>
        <v>1.7084444463435146E-3</v>
      </c>
      <c r="Q506">
        <f t="shared" si="38"/>
        <v>2.8444445076915956E-7</v>
      </c>
      <c r="R506">
        <f t="shared" si="38"/>
        <v>9.2011111111012711E-4</v>
      </c>
      <c r="S506">
        <f t="shared" si="39"/>
        <v>1.7087288907942837E-3</v>
      </c>
      <c r="T506">
        <f t="shared" si="40"/>
        <v>4.1336774073387532E-2</v>
      </c>
    </row>
    <row r="507" spans="1:20" x14ac:dyDescent="0.3">
      <c r="A507" s="2" t="s">
        <v>1166</v>
      </c>
      <c r="B507" s="4" t="s">
        <v>1082</v>
      </c>
      <c r="C507" t="s">
        <v>20</v>
      </c>
      <c r="D507" t="s">
        <v>30</v>
      </c>
      <c r="E507">
        <v>425144.35223333334</v>
      </c>
      <c r="F507">
        <v>126800.91109999998</v>
      </c>
      <c r="G507">
        <v>81.072666666666677</v>
      </c>
      <c r="J507" t="s">
        <v>1096</v>
      </c>
      <c r="K507" t="s">
        <v>1097</v>
      </c>
      <c r="L507" t="s">
        <v>1095</v>
      </c>
      <c r="M507" s="3">
        <f t="shared" si="41"/>
        <v>7.966666657011956E-3</v>
      </c>
      <c r="N507" s="3">
        <f t="shared" si="41"/>
        <v>-5.8999999891966581E-3</v>
      </c>
      <c r="O507" s="3">
        <f t="shared" si="37"/>
        <v>6.7333333333294831E-3</v>
      </c>
      <c r="P507">
        <f t="shared" si="38"/>
        <v>6.3467777623946051E-5</v>
      </c>
      <c r="Q507">
        <f t="shared" si="38"/>
        <v>3.4809999872520566E-5</v>
      </c>
      <c r="R507">
        <f t="shared" si="38"/>
        <v>4.5337777777725928E-5</v>
      </c>
      <c r="S507">
        <f t="shared" si="39"/>
        <v>9.8277777496466617E-5</v>
      </c>
      <c r="T507">
        <f t="shared" si="40"/>
        <v>9.9135148911204361E-3</v>
      </c>
    </row>
    <row r="508" spans="1:20" x14ac:dyDescent="0.3">
      <c r="A508" s="2" t="s">
        <v>1166</v>
      </c>
      <c r="B508" s="4" t="s">
        <v>1082</v>
      </c>
      <c r="C508" t="s">
        <v>20</v>
      </c>
      <c r="D508" t="s">
        <v>21</v>
      </c>
      <c r="E508">
        <v>425144.35933333333</v>
      </c>
      <c r="F508">
        <v>126800.92096666667</v>
      </c>
      <c r="G508">
        <v>81.038666666666657</v>
      </c>
      <c r="J508" t="s">
        <v>1096</v>
      </c>
      <c r="K508" t="s">
        <v>1097</v>
      </c>
      <c r="L508" t="s">
        <v>1095</v>
      </c>
      <c r="M508" s="3">
        <f t="shared" si="41"/>
        <v>8.6666666902601719E-4</v>
      </c>
      <c r="N508" s="3">
        <f t="shared" si="41"/>
        <v>-1.5766666678246111E-2</v>
      </c>
      <c r="O508" s="3">
        <f t="shared" si="37"/>
        <v>4.0733333333349719E-2</v>
      </c>
      <c r="P508">
        <f t="shared" si="38"/>
        <v>7.5111111520065202E-7</v>
      </c>
      <c r="Q508">
        <f t="shared" si="38"/>
        <v>2.4858777814291624E-4</v>
      </c>
      <c r="R508">
        <f t="shared" si="38"/>
        <v>1.6592044444457793E-3</v>
      </c>
      <c r="S508">
        <f t="shared" si="39"/>
        <v>2.4933888925811689E-4</v>
      </c>
      <c r="T508">
        <f t="shared" si="40"/>
        <v>1.5790468303952133E-2</v>
      </c>
    </row>
    <row r="509" spans="1:20" x14ac:dyDescent="0.3">
      <c r="A509" s="2" t="s">
        <v>1166</v>
      </c>
      <c r="B509" s="4" t="s">
        <v>1082</v>
      </c>
      <c r="C509" t="s">
        <v>20</v>
      </c>
      <c r="D509" t="s">
        <v>110</v>
      </c>
      <c r="E509">
        <v>425144.34463333338</v>
      </c>
      <c r="F509">
        <v>126800.91173333333</v>
      </c>
      <c r="G509">
        <v>81.072666666666677</v>
      </c>
      <c r="J509" t="s">
        <v>1096</v>
      </c>
      <c r="K509" t="s">
        <v>1097</v>
      </c>
      <c r="L509" t="s">
        <v>1095</v>
      </c>
      <c r="M509" s="3">
        <f t="shared" si="41"/>
        <v>1.556666661053896E-2</v>
      </c>
      <c r="N509" s="3">
        <f t="shared" si="41"/>
        <v>-6.533333333209157E-3</v>
      </c>
      <c r="O509" s="3">
        <f t="shared" si="37"/>
        <v>6.7333333333294831E-3</v>
      </c>
      <c r="P509">
        <f t="shared" si="38"/>
        <v>2.423211093636685E-4</v>
      </c>
      <c r="Q509">
        <f t="shared" si="38"/>
        <v>4.2684444442821874E-5</v>
      </c>
      <c r="R509">
        <f t="shared" si="38"/>
        <v>4.5337777777725928E-5</v>
      </c>
      <c r="S509">
        <f t="shared" si="39"/>
        <v>2.8500555380649037E-4</v>
      </c>
      <c r="T509">
        <f t="shared" si="40"/>
        <v>1.6882107504884881E-2</v>
      </c>
    </row>
    <row r="510" spans="1:20" x14ac:dyDescent="0.3">
      <c r="A510" s="2" t="s">
        <v>1166</v>
      </c>
      <c r="B510" s="4" t="s">
        <v>1082</v>
      </c>
      <c r="C510" t="s">
        <v>51</v>
      </c>
      <c r="D510" t="s">
        <v>30</v>
      </c>
      <c r="E510">
        <v>425144.3523666666</v>
      </c>
      <c r="F510">
        <v>126800.90869999999</v>
      </c>
      <c r="G510">
        <v>81.067333333333337</v>
      </c>
      <c r="J510" t="s">
        <v>1096</v>
      </c>
      <c r="K510" t="s">
        <v>1097</v>
      </c>
      <c r="L510" t="s">
        <v>1095</v>
      </c>
      <c r="M510" s="3">
        <f t="shared" si="41"/>
        <v>7.8333333949558437E-3</v>
      </c>
      <c r="N510" s="3">
        <f t="shared" si="41"/>
        <v>-3.4999999916180968E-3</v>
      </c>
      <c r="O510" s="3">
        <f t="shared" si="37"/>
        <v>1.2066666666669335E-2</v>
      </c>
      <c r="P510">
        <f t="shared" si="38"/>
        <v>6.136111207653044E-5</v>
      </c>
      <c r="Q510">
        <f t="shared" si="38"/>
        <v>1.2249999941326678E-5</v>
      </c>
      <c r="R510">
        <f t="shared" si="38"/>
        <v>1.4560444444450884E-4</v>
      </c>
      <c r="S510">
        <f t="shared" si="39"/>
        <v>7.3611112017857118E-5</v>
      </c>
      <c r="T510">
        <f t="shared" si="40"/>
        <v>8.5796918369984085E-3</v>
      </c>
    </row>
    <row r="511" spans="1:20" x14ac:dyDescent="0.3">
      <c r="A511" s="2" t="s">
        <v>1166</v>
      </c>
      <c r="B511" s="4" t="s">
        <v>1082</v>
      </c>
      <c r="C511" t="s">
        <v>51</v>
      </c>
      <c r="D511" t="s">
        <v>63</v>
      </c>
      <c r="E511">
        <v>425144.34523333336</v>
      </c>
      <c r="F511">
        <v>126800.89716666668</v>
      </c>
      <c r="G511">
        <v>81.078333333333333</v>
      </c>
      <c r="J511" t="s">
        <v>1096</v>
      </c>
      <c r="K511" t="s">
        <v>1097</v>
      </c>
      <c r="L511" t="s">
        <v>1095</v>
      </c>
      <c r="M511" s="3">
        <f t="shared" si="41"/>
        <v>1.496666664024815E-2</v>
      </c>
      <c r="N511" s="3">
        <f t="shared" si="41"/>
        <v>8.0333333171438426E-3</v>
      </c>
      <c r="O511" s="3">
        <f t="shared" si="37"/>
        <v>1.0666666666736546E-3</v>
      </c>
      <c r="P511">
        <f t="shared" si="38"/>
        <v>2.2400111032031683E-4</v>
      </c>
      <c r="Q511">
        <f t="shared" si="38"/>
        <v>6.4534444184333292E-5</v>
      </c>
      <c r="R511">
        <f t="shared" si="38"/>
        <v>1.1377777777926855E-6</v>
      </c>
      <c r="S511">
        <f t="shared" si="39"/>
        <v>2.8853555450465012E-4</v>
      </c>
      <c r="T511">
        <f t="shared" si="40"/>
        <v>1.698633434572186E-2</v>
      </c>
    </row>
    <row r="512" spans="1:20" x14ac:dyDescent="0.3">
      <c r="A512" s="2" t="s">
        <v>1166</v>
      </c>
      <c r="B512" s="4" t="s">
        <v>1083</v>
      </c>
      <c r="C512" t="s">
        <v>20</v>
      </c>
      <c r="D512" t="s">
        <v>30</v>
      </c>
      <c r="E512">
        <v>436447.59176666668</v>
      </c>
      <c r="F512">
        <v>134010.08376666668</v>
      </c>
      <c r="G512">
        <v>86.254333333333349</v>
      </c>
      <c r="J512" t="s">
        <v>1099</v>
      </c>
      <c r="K512" t="s">
        <v>1100</v>
      </c>
      <c r="L512" t="s">
        <v>1098</v>
      </c>
      <c r="M512" s="3">
        <f t="shared" si="41"/>
        <v>-1.9966666703112423E-2</v>
      </c>
      <c r="N512" s="3">
        <f t="shared" si="41"/>
        <v>-1.7166666686534882E-2</v>
      </c>
      <c r="O512" s="3">
        <f t="shared" si="37"/>
        <v>0.11296666666665089</v>
      </c>
      <c r="P512">
        <f t="shared" si="38"/>
        <v>3.9866777923317832E-4</v>
      </c>
      <c r="Q512">
        <f t="shared" si="38"/>
        <v>2.9469444512658649E-4</v>
      </c>
      <c r="R512">
        <f t="shared" si="38"/>
        <v>1.2761467777774215E-2</v>
      </c>
      <c r="S512">
        <f t="shared" si="39"/>
        <v>6.9336222435976481E-4</v>
      </c>
      <c r="T512">
        <f t="shared" si="40"/>
        <v>2.6331772146207039E-2</v>
      </c>
    </row>
    <row r="513" spans="1:20" x14ac:dyDescent="0.3">
      <c r="A513" s="2" t="s">
        <v>1166</v>
      </c>
      <c r="B513" s="4" t="s">
        <v>1083</v>
      </c>
      <c r="C513" t="s">
        <v>20</v>
      </c>
      <c r="D513" t="s">
        <v>21</v>
      </c>
      <c r="E513">
        <v>436447.59213333327</v>
      </c>
      <c r="F513">
        <v>134010.0863</v>
      </c>
      <c r="G513">
        <v>86.25500000000001</v>
      </c>
      <c r="J513" t="s">
        <v>1099</v>
      </c>
      <c r="K513" t="s">
        <v>1100</v>
      </c>
      <c r="L513" t="s">
        <v>1098</v>
      </c>
      <c r="M513" s="3">
        <f t="shared" si="41"/>
        <v>-2.0333333290182054E-2</v>
      </c>
      <c r="N513" s="3">
        <f t="shared" si="41"/>
        <v>-1.9700000004377216E-2</v>
      </c>
      <c r="O513" s="3">
        <f t="shared" si="37"/>
        <v>0.11229999999999052</v>
      </c>
      <c r="P513">
        <f t="shared" si="38"/>
        <v>4.1344444268962574E-4</v>
      </c>
      <c r="Q513">
        <f t="shared" si="38"/>
        <v>3.8809000017246231E-4</v>
      </c>
      <c r="R513">
        <f t="shared" si="38"/>
        <v>1.261128999999787E-2</v>
      </c>
      <c r="S513">
        <f t="shared" si="39"/>
        <v>8.0153444286208805E-4</v>
      </c>
      <c r="T513">
        <f t="shared" si="40"/>
        <v>2.8311383626769073E-2</v>
      </c>
    </row>
    <row r="514" spans="1:20" x14ac:dyDescent="0.3">
      <c r="A514" s="2" t="s">
        <v>1166</v>
      </c>
      <c r="B514" s="4" t="s">
        <v>1083</v>
      </c>
      <c r="C514" t="s">
        <v>20</v>
      </c>
      <c r="D514" t="s">
        <v>110</v>
      </c>
      <c r="E514">
        <v>436447.59009999997</v>
      </c>
      <c r="F514">
        <v>134010.09113333334</v>
      </c>
      <c r="G514">
        <v>86.256666666666661</v>
      </c>
      <c r="J514" t="s">
        <v>1099</v>
      </c>
      <c r="K514" t="s">
        <v>1100</v>
      </c>
      <c r="L514" t="s">
        <v>1098</v>
      </c>
      <c r="M514" s="3">
        <f t="shared" si="41"/>
        <v>-1.8299999996088445E-2</v>
      </c>
      <c r="N514" s="3">
        <f t="shared" si="41"/>
        <v>-2.4533333344152197E-2</v>
      </c>
      <c r="O514" s="3">
        <f t="shared" si="37"/>
        <v>0.11063333333333958</v>
      </c>
      <c r="P514">
        <f t="shared" si="38"/>
        <v>3.3488999985683708E-4</v>
      </c>
      <c r="Q514">
        <f t="shared" si="38"/>
        <v>6.0188444497529003E-4</v>
      </c>
      <c r="R514">
        <f t="shared" si="38"/>
        <v>1.2239734444445826E-2</v>
      </c>
      <c r="S514">
        <f t="shared" si="39"/>
        <v>9.3677444483212711E-4</v>
      </c>
      <c r="T514">
        <f t="shared" si="40"/>
        <v>3.0606771225206476E-2</v>
      </c>
    </row>
    <row r="515" spans="1:20" x14ac:dyDescent="0.3">
      <c r="A515" s="2" t="s">
        <v>1166</v>
      </c>
      <c r="B515" s="4" t="s">
        <v>1083</v>
      </c>
      <c r="C515" t="s">
        <v>51</v>
      </c>
      <c r="D515" t="s">
        <v>30</v>
      </c>
      <c r="E515">
        <v>436447.59923333331</v>
      </c>
      <c r="F515">
        <v>134010.0912</v>
      </c>
      <c r="G515">
        <v>86.247333333333344</v>
      </c>
      <c r="J515" t="s">
        <v>1099</v>
      </c>
      <c r="K515" t="s">
        <v>1100</v>
      </c>
      <c r="L515" t="s">
        <v>1098</v>
      </c>
      <c r="M515" s="3">
        <f t="shared" si="41"/>
        <v>-2.7433333336375654E-2</v>
      </c>
      <c r="N515" s="3">
        <f t="shared" si="41"/>
        <v>-2.4600000004284084E-2</v>
      </c>
      <c r="O515" s="3">
        <f t="shared" ref="O515:O578" si="42">ABS(L515-G515)</f>
        <v>0.1199666666666559</v>
      </c>
      <c r="P515">
        <f t="shared" ref="P515:R578" si="43">POWER(M515,2)</f>
        <v>7.5258777794469974E-4</v>
      </c>
      <c r="Q515">
        <f t="shared" si="43"/>
        <v>6.0516000021077691E-4</v>
      </c>
      <c r="R515">
        <f t="shared" si="43"/>
        <v>1.4392001111108527E-2</v>
      </c>
      <c r="S515">
        <f t="shared" ref="S515:S578" si="44">P515+Q515</f>
        <v>1.3577477781554765E-3</v>
      </c>
      <c r="T515">
        <f t="shared" ref="T515:T578" si="45">SQRT(S515)</f>
        <v>3.6847629206713917E-2</v>
      </c>
    </row>
    <row r="516" spans="1:20" x14ac:dyDescent="0.3">
      <c r="A516" s="2" t="s">
        <v>1166</v>
      </c>
      <c r="B516" s="4" t="s">
        <v>1084</v>
      </c>
      <c r="C516" t="s">
        <v>20</v>
      </c>
      <c r="D516" t="s">
        <v>30</v>
      </c>
      <c r="E516">
        <v>437916.72413333337</v>
      </c>
      <c r="F516">
        <v>150120.92533333335</v>
      </c>
      <c r="G516">
        <v>95.773666666666671</v>
      </c>
      <c r="J516" t="s">
        <v>1102</v>
      </c>
      <c r="K516" t="s">
        <v>1103</v>
      </c>
      <c r="L516" t="s">
        <v>1101</v>
      </c>
      <c r="M516" s="3">
        <f t="shared" si="41"/>
        <v>-1.5433333348482847E-2</v>
      </c>
      <c r="N516" s="3">
        <f t="shared" si="41"/>
        <v>1.2466666667023674E-2</v>
      </c>
      <c r="O516" s="3">
        <f t="shared" si="42"/>
        <v>6.3033333333322616E-2</v>
      </c>
      <c r="P516">
        <f t="shared" si="43"/>
        <v>2.3818777824539277E-4</v>
      </c>
      <c r="Q516">
        <f t="shared" si="43"/>
        <v>1.5541777778667914E-4</v>
      </c>
      <c r="R516">
        <f t="shared" si="43"/>
        <v>3.9732011111097603E-3</v>
      </c>
      <c r="S516">
        <f t="shared" si="44"/>
        <v>3.9360555603207194E-4</v>
      </c>
      <c r="T516">
        <f t="shared" si="45"/>
        <v>1.9839494853248454E-2</v>
      </c>
    </row>
    <row r="517" spans="1:20" x14ac:dyDescent="0.3">
      <c r="A517" s="2" t="s">
        <v>1166</v>
      </c>
      <c r="B517" s="4" t="s">
        <v>1084</v>
      </c>
      <c r="C517" t="s">
        <v>20</v>
      </c>
      <c r="D517" t="s">
        <v>21</v>
      </c>
      <c r="E517">
        <v>437916.71949999995</v>
      </c>
      <c r="F517">
        <v>150120.92616666667</v>
      </c>
      <c r="G517">
        <v>95.75633333333333</v>
      </c>
      <c r="J517" t="s">
        <v>1102</v>
      </c>
      <c r="K517" t="s">
        <v>1103</v>
      </c>
      <c r="L517" t="s">
        <v>1101</v>
      </c>
      <c r="M517" s="3">
        <f t="shared" si="41"/>
        <v>-1.0799999930895865E-2</v>
      </c>
      <c r="N517" s="3">
        <f t="shared" si="41"/>
        <v>1.1633333342615515E-2</v>
      </c>
      <c r="O517" s="3">
        <f t="shared" si="42"/>
        <v>8.0366666666662923E-2</v>
      </c>
      <c r="P517">
        <f t="shared" si="43"/>
        <v>1.1663999850735069E-4</v>
      </c>
      <c r="Q517">
        <f t="shared" si="43"/>
        <v>1.3533444466040987E-4</v>
      </c>
      <c r="R517">
        <f t="shared" si="43"/>
        <v>6.4588011111105089E-3</v>
      </c>
      <c r="S517">
        <f t="shared" si="44"/>
        <v>2.5197444316776054E-4</v>
      </c>
      <c r="T517">
        <f t="shared" si="45"/>
        <v>1.5873702881425006E-2</v>
      </c>
    </row>
    <row r="518" spans="1:20" x14ac:dyDescent="0.3">
      <c r="A518" s="2" t="s">
        <v>1166</v>
      </c>
      <c r="B518" s="4" t="s">
        <v>1084</v>
      </c>
      <c r="C518" t="s">
        <v>20</v>
      </c>
      <c r="D518" t="s">
        <v>110</v>
      </c>
      <c r="E518">
        <v>437916.71416666667</v>
      </c>
      <c r="F518">
        <v>150120.92316666667</v>
      </c>
      <c r="G518">
        <v>95.775999999999996</v>
      </c>
      <c r="J518" t="s">
        <v>1102</v>
      </c>
      <c r="K518" t="s">
        <v>1103</v>
      </c>
      <c r="L518" t="s">
        <v>1101</v>
      </c>
      <c r="M518" s="3">
        <f t="shared" si="41"/>
        <v>-5.4666666546836495E-3</v>
      </c>
      <c r="N518" s="3">
        <f t="shared" si="41"/>
        <v>1.4633333339588717E-2</v>
      </c>
      <c r="O518" s="3">
        <f t="shared" si="42"/>
        <v>6.069999999999709E-2</v>
      </c>
      <c r="P518">
        <f t="shared" si="43"/>
        <v>2.9884444313430124E-5</v>
      </c>
      <c r="Q518">
        <f t="shared" si="43"/>
        <v>2.1413444462751866E-4</v>
      </c>
      <c r="R518">
        <f t="shared" si="43"/>
        <v>3.6844899999996469E-3</v>
      </c>
      <c r="S518">
        <f t="shared" si="44"/>
        <v>2.4401888894094877E-4</v>
      </c>
      <c r="T518">
        <f t="shared" si="45"/>
        <v>1.562110396037837E-2</v>
      </c>
    </row>
    <row r="519" spans="1:20" x14ac:dyDescent="0.3">
      <c r="A519" s="2" t="s">
        <v>1166</v>
      </c>
      <c r="B519" s="4" t="s">
        <v>1084</v>
      </c>
      <c r="C519" t="s">
        <v>51</v>
      </c>
      <c r="D519" t="s">
        <v>30</v>
      </c>
      <c r="E519">
        <v>437916.71233333327</v>
      </c>
      <c r="F519">
        <v>150120.92446666665</v>
      </c>
      <c r="G519">
        <v>95.73899999999999</v>
      </c>
      <c r="J519" t="s">
        <v>1102</v>
      </c>
      <c r="K519" t="s">
        <v>1103</v>
      </c>
      <c r="L519" t="s">
        <v>1101</v>
      </c>
      <c r="M519" s="3">
        <f t="shared" si="41"/>
        <v>-3.6333332536742091E-3</v>
      </c>
      <c r="N519" s="3">
        <f t="shared" si="41"/>
        <v>1.3333333365153521E-2</v>
      </c>
      <c r="O519" s="3">
        <f t="shared" si="42"/>
        <v>9.7700000000003229E-2</v>
      </c>
      <c r="P519">
        <f t="shared" si="43"/>
        <v>1.3201110532254815E-5</v>
      </c>
      <c r="Q519">
        <f t="shared" si="43"/>
        <v>1.7777777862631612E-4</v>
      </c>
      <c r="R519">
        <f t="shared" si="43"/>
        <v>9.5452900000006311E-3</v>
      </c>
      <c r="S519">
        <f t="shared" si="44"/>
        <v>1.9097888915857095E-4</v>
      </c>
      <c r="T519">
        <f t="shared" si="45"/>
        <v>1.3819511176542062E-2</v>
      </c>
    </row>
    <row r="520" spans="1:20" x14ac:dyDescent="0.3">
      <c r="A520" s="2" t="s">
        <v>1166</v>
      </c>
      <c r="B520" s="4" t="s">
        <v>1084</v>
      </c>
      <c r="C520" t="s">
        <v>51</v>
      </c>
      <c r="D520" t="s">
        <v>63</v>
      </c>
      <c r="E520">
        <v>437916.71390000003</v>
      </c>
      <c r="F520">
        <v>150120.92586666669</v>
      </c>
      <c r="G520">
        <v>95.733000000000004</v>
      </c>
      <c r="J520" t="s">
        <v>1102</v>
      </c>
      <c r="K520" t="s">
        <v>1103</v>
      </c>
      <c r="L520" t="s">
        <v>1101</v>
      </c>
      <c r="M520" s="3">
        <f t="shared" si="41"/>
        <v>-5.2000000141561031E-3</v>
      </c>
      <c r="N520" s="3">
        <f t="shared" si="41"/>
        <v>1.193333332776092E-2</v>
      </c>
      <c r="O520" s="3">
        <f t="shared" si="42"/>
        <v>0.10369999999998925</v>
      </c>
      <c r="P520">
        <f t="shared" si="43"/>
        <v>2.7040000147223473E-5</v>
      </c>
      <c r="Q520">
        <f t="shared" si="43"/>
        <v>1.424044443114495E-4</v>
      </c>
      <c r="R520">
        <f t="shared" si="43"/>
        <v>1.0753689999997769E-2</v>
      </c>
      <c r="S520">
        <f t="shared" si="44"/>
        <v>1.6944444445867298E-4</v>
      </c>
      <c r="T520">
        <f t="shared" si="45"/>
        <v>1.301708279372429E-2</v>
      </c>
    </row>
    <row r="521" spans="1:20" x14ac:dyDescent="0.3">
      <c r="A521" s="2" t="s">
        <v>1166</v>
      </c>
      <c r="B521" s="4" t="s">
        <v>1085</v>
      </c>
      <c r="C521" t="s">
        <v>20</v>
      </c>
      <c r="D521" t="s">
        <v>30</v>
      </c>
      <c r="E521">
        <v>442260.3236</v>
      </c>
      <c r="F521">
        <v>159681.04459999999</v>
      </c>
      <c r="G521">
        <v>107.62066666666665</v>
      </c>
      <c r="J521" t="s">
        <v>1105</v>
      </c>
      <c r="K521" t="s">
        <v>1106</v>
      </c>
      <c r="L521" t="s">
        <v>1104</v>
      </c>
      <c r="M521" s="3">
        <f t="shared" si="41"/>
        <v>-1.7099999997299165E-2</v>
      </c>
      <c r="N521" s="3">
        <f t="shared" si="41"/>
        <v>-1.4999999984866008E-2</v>
      </c>
      <c r="O521" s="3">
        <f t="shared" si="42"/>
        <v>4.9533333333343421E-2</v>
      </c>
      <c r="P521">
        <f t="shared" si="43"/>
        <v>2.9240999990763145E-4</v>
      </c>
      <c r="Q521">
        <f t="shared" si="43"/>
        <v>2.2499999954598025E-4</v>
      </c>
      <c r="R521">
        <f t="shared" si="43"/>
        <v>2.4535511111121104E-3</v>
      </c>
      <c r="S521">
        <f t="shared" si="44"/>
        <v>5.174099994536117E-4</v>
      </c>
      <c r="T521">
        <f t="shared" si="45"/>
        <v>2.2746648092710531E-2</v>
      </c>
    </row>
    <row r="522" spans="1:20" x14ac:dyDescent="0.3">
      <c r="A522" s="2" t="s">
        <v>1166</v>
      </c>
      <c r="B522" s="4" t="s">
        <v>1085</v>
      </c>
      <c r="C522" t="s">
        <v>20</v>
      </c>
      <c r="D522" t="s">
        <v>21</v>
      </c>
      <c r="E522">
        <v>442260.32503333333</v>
      </c>
      <c r="F522">
        <v>159681.04186666667</v>
      </c>
      <c r="G522">
        <v>107.62633333333333</v>
      </c>
      <c r="J522" t="s">
        <v>1105</v>
      </c>
      <c r="K522" t="s">
        <v>1106</v>
      </c>
      <c r="L522" t="s">
        <v>1104</v>
      </c>
      <c r="M522" s="3">
        <f t="shared" si="41"/>
        <v>-1.8533333321101964E-2</v>
      </c>
      <c r="N522" s="3">
        <f t="shared" si="41"/>
        <v>-1.2266666657524183E-2</v>
      </c>
      <c r="O522" s="3">
        <f t="shared" si="42"/>
        <v>4.3866666666659171E-2</v>
      </c>
      <c r="P522">
        <f t="shared" si="43"/>
        <v>3.4348444399106832E-4</v>
      </c>
      <c r="Q522">
        <f t="shared" si="43"/>
        <v>1.5047111088681552E-4</v>
      </c>
      <c r="R522">
        <f t="shared" si="43"/>
        <v>1.9242844444437867E-3</v>
      </c>
      <c r="S522">
        <f t="shared" si="44"/>
        <v>4.9395555487788379E-4</v>
      </c>
      <c r="T522">
        <f t="shared" si="45"/>
        <v>2.2225110908112109E-2</v>
      </c>
    </row>
    <row r="523" spans="1:20" x14ac:dyDescent="0.3">
      <c r="A523" s="2" t="s">
        <v>1166</v>
      </c>
      <c r="B523" s="4" t="s">
        <v>1085</v>
      </c>
      <c r="C523" t="s">
        <v>20</v>
      </c>
      <c r="D523" t="s">
        <v>110</v>
      </c>
      <c r="E523">
        <v>442260.33826666669</v>
      </c>
      <c r="F523">
        <v>159681.04606666669</v>
      </c>
      <c r="G523">
        <v>107.598</v>
      </c>
      <c r="J523" t="s">
        <v>1105</v>
      </c>
      <c r="K523" t="s">
        <v>1106</v>
      </c>
      <c r="L523" t="s">
        <v>1104</v>
      </c>
      <c r="M523" s="3">
        <f t="shared" si="41"/>
        <v>-3.176666668150574E-2</v>
      </c>
      <c r="N523" s="3">
        <f t="shared" si="41"/>
        <v>-1.6466666682390496E-2</v>
      </c>
      <c r="O523" s="3">
        <f t="shared" si="42"/>
        <v>7.2199999999995157E-2</v>
      </c>
      <c r="P523">
        <f t="shared" si="43"/>
        <v>1.009121112053887E-3</v>
      </c>
      <c r="Q523">
        <f t="shared" si="43"/>
        <v>2.7115111162894921E-4</v>
      </c>
      <c r="R523">
        <f t="shared" si="43"/>
        <v>5.2128399999993007E-3</v>
      </c>
      <c r="S523">
        <f t="shared" si="44"/>
        <v>1.2802722236828362E-3</v>
      </c>
      <c r="T523">
        <f t="shared" si="45"/>
        <v>3.5780891879365388E-2</v>
      </c>
    </row>
    <row r="524" spans="1:20" x14ac:dyDescent="0.3">
      <c r="A524" s="2" t="s">
        <v>1166</v>
      </c>
      <c r="B524" s="4" t="s">
        <v>1085</v>
      </c>
      <c r="C524" t="s">
        <v>51</v>
      </c>
      <c r="D524" t="s">
        <v>30</v>
      </c>
      <c r="E524">
        <v>442260.33269999997</v>
      </c>
      <c r="F524">
        <v>159681.04520000002</v>
      </c>
      <c r="G524">
        <v>107.56933333333332</v>
      </c>
      <c r="J524" t="s">
        <v>1105</v>
      </c>
      <c r="K524" t="s">
        <v>1106</v>
      </c>
      <c r="L524" t="s">
        <v>1104</v>
      </c>
      <c r="M524" s="3">
        <f t="shared" si="41"/>
        <v>-2.6199999963864684E-2</v>
      </c>
      <c r="N524" s="3">
        <f t="shared" si="41"/>
        <v>-1.5600000013364479E-2</v>
      </c>
      <c r="O524" s="3">
        <f t="shared" si="42"/>
        <v>0.10086666666667554</v>
      </c>
      <c r="P524">
        <f t="shared" si="43"/>
        <v>6.8643999810650939E-4</v>
      </c>
      <c r="Q524">
        <f t="shared" si="43"/>
        <v>2.4336000041697174E-4</v>
      </c>
      <c r="R524">
        <f t="shared" si="43"/>
        <v>1.0174084444446235E-2</v>
      </c>
      <c r="S524">
        <f t="shared" si="44"/>
        <v>9.2979999852348116E-4</v>
      </c>
      <c r="T524">
        <f t="shared" si="45"/>
        <v>3.0492622034247581E-2</v>
      </c>
    </row>
    <row r="525" spans="1:20" x14ac:dyDescent="0.3">
      <c r="A525" s="2" t="s">
        <v>1166</v>
      </c>
      <c r="B525" s="4" t="s">
        <v>1085</v>
      </c>
      <c r="C525" t="s">
        <v>51</v>
      </c>
      <c r="D525" t="s">
        <v>63</v>
      </c>
      <c r="E525">
        <v>442260.32123333338</v>
      </c>
      <c r="F525">
        <v>159681.05433333336</v>
      </c>
      <c r="G525">
        <v>107.52233333333334</v>
      </c>
      <c r="J525" t="s">
        <v>1105</v>
      </c>
      <c r="K525" t="s">
        <v>1106</v>
      </c>
      <c r="L525" t="s">
        <v>1104</v>
      </c>
      <c r="M525" s="3">
        <f t="shared" si="41"/>
        <v>-1.4733333373442292E-2</v>
      </c>
      <c r="N525" s="3">
        <f t="shared" si="41"/>
        <v>-2.4733333353651688E-2</v>
      </c>
      <c r="O525" s="3">
        <f t="shared" si="42"/>
        <v>0.14786666666665838</v>
      </c>
      <c r="P525">
        <f t="shared" si="43"/>
        <v>2.1707111229298843E-4</v>
      </c>
      <c r="Q525">
        <f t="shared" si="43"/>
        <v>6.1173777878285906E-4</v>
      </c>
      <c r="R525">
        <f t="shared" si="43"/>
        <v>2.186455111110866E-2</v>
      </c>
      <c r="S525">
        <f t="shared" si="44"/>
        <v>8.2880889107584755E-4</v>
      </c>
      <c r="T525">
        <f t="shared" si="45"/>
        <v>2.8789041162842633E-2</v>
      </c>
    </row>
    <row r="526" spans="1:20" x14ac:dyDescent="0.3">
      <c r="A526" s="2" t="s">
        <v>1165</v>
      </c>
      <c r="B526" s="4" t="s">
        <v>1107</v>
      </c>
      <c r="C526" s="2" t="s">
        <v>1108</v>
      </c>
      <c r="D526" s="2" t="s">
        <v>30</v>
      </c>
      <c r="E526" s="3">
        <v>519207.87043333333</v>
      </c>
      <c r="F526" s="3">
        <v>256209.77106666667</v>
      </c>
      <c r="G526" s="3">
        <v>138.76966666666669</v>
      </c>
      <c r="J526" s="5" t="s">
        <v>1109</v>
      </c>
      <c r="K526" s="5" t="s">
        <v>1110</v>
      </c>
      <c r="L526" s="5" t="s">
        <v>1111</v>
      </c>
      <c r="M526" s="3">
        <f t="shared" si="41"/>
        <v>-9.3333335826173425E-4</v>
      </c>
      <c r="N526" s="3">
        <f t="shared" si="41"/>
        <v>1.3833333330694586E-2</v>
      </c>
      <c r="O526" s="3">
        <f t="shared" si="42"/>
        <v>4.013333333330138E-2</v>
      </c>
      <c r="P526">
        <f t="shared" si="43"/>
        <v>8.7111115764412677E-7</v>
      </c>
      <c r="Q526">
        <f t="shared" si="43"/>
        <v>1.9136111103810577E-4</v>
      </c>
      <c r="R526">
        <f t="shared" si="43"/>
        <v>1.6106844444418796E-3</v>
      </c>
      <c r="S526">
        <f t="shared" si="44"/>
        <v>1.9223222219574989E-4</v>
      </c>
      <c r="T526">
        <f t="shared" si="45"/>
        <v>1.3864783525023025E-2</v>
      </c>
    </row>
    <row r="527" spans="1:20" x14ac:dyDescent="0.3">
      <c r="A527" s="2" t="s">
        <v>1165</v>
      </c>
      <c r="B527" s="4" t="s">
        <v>1107</v>
      </c>
      <c r="C527" s="2" t="s">
        <v>1108</v>
      </c>
      <c r="D527" s="2" t="s">
        <v>1112</v>
      </c>
      <c r="E527" s="3">
        <v>519207.87690000003</v>
      </c>
      <c r="F527" s="3">
        <v>256209.77186666665</v>
      </c>
      <c r="G527" s="3">
        <v>138.78266666666667</v>
      </c>
      <c r="J527" s="5" t="s">
        <v>1109</v>
      </c>
      <c r="K527" s="5" t="s">
        <v>1110</v>
      </c>
      <c r="L527" s="5" t="s">
        <v>1111</v>
      </c>
      <c r="M527" s="3">
        <f t="shared" si="41"/>
        <v>-7.4000000604428351E-3</v>
      </c>
      <c r="N527" s="3">
        <f t="shared" si="41"/>
        <v>1.3033333350904286E-2</v>
      </c>
      <c r="O527" s="3">
        <f t="shared" si="42"/>
        <v>2.7133333333324572E-2</v>
      </c>
      <c r="P527">
        <f t="shared" si="43"/>
        <v>5.476000089455396E-5</v>
      </c>
      <c r="Q527">
        <f t="shared" si="43"/>
        <v>1.6986777823579393E-4</v>
      </c>
      <c r="R527">
        <f t="shared" si="43"/>
        <v>7.3621777777730236E-4</v>
      </c>
      <c r="S527">
        <f t="shared" si="44"/>
        <v>2.2462777913034789E-4</v>
      </c>
      <c r="T527">
        <f t="shared" si="45"/>
        <v>1.498758750200805E-2</v>
      </c>
    </row>
    <row r="528" spans="1:20" x14ac:dyDescent="0.3">
      <c r="A528" s="2" t="s">
        <v>1165</v>
      </c>
      <c r="B528" s="4" t="s">
        <v>1113</v>
      </c>
      <c r="C528" s="2" t="s">
        <v>1108</v>
      </c>
      <c r="D528" s="2" t="s">
        <v>37</v>
      </c>
      <c r="E528" s="3">
        <v>519207.87403333327</v>
      </c>
      <c r="F528" s="3">
        <v>256209.7801</v>
      </c>
      <c r="G528" s="3">
        <v>138.80766666666668</v>
      </c>
      <c r="J528" s="5" t="s">
        <v>1109</v>
      </c>
      <c r="K528" s="5" t="s">
        <v>1110</v>
      </c>
      <c r="L528" s="5" t="s">
        <v>1111</v>
      </c>
      <c r="M528" s="3">
        <f t="shared" si="41"/>
        <v>-4.5333332964219153E-3</v>
      </c>
      <c r="N528" s="3">
        <f t="shared" si="41"/>
        <v>4.7999999951571226E-3</v>
      </c>
      <c r="O528" s="3">
        <f t="shared" si="42"/>
        <v>2.1333333333188875E-3</v>
      </c>
      <c r="P528">
        <f t="shared" si="43"/>
        <v>2.0551110776447589E-5</v>
      </c>
      <c r="Q528">
        <f t="shared" si="43"/>
        <v>2.3039999953508377E-5</v>
      </c>
      <c r="R528">
        <f t="shared" si="43"/>
        <v>4.5511111110494757E-6</v>
      </c>
      <c r="S528">
        <f t="shared" si="44"/>
        <v>4.3591110729955963E-5</v>
      </c>
      <c r="T528">
        <f t="shared" si="45"/>
        <v>6.6023564528095548E-3</v>
      </c>
    </row>
    <row r="529" spans="1:20" x14ac:dyDescent="0.3">
      <c r="A529" s="2" t="s">
        <v>1165</v>
      </c>
      <c r="B529" s="4" t="s">
        <v>1113</v>
      </c>
      <c r="C529" s="2" t="s">
        <v>1108</v>
      </c>
      <c r="D529" s="2" t="s">
        <v>46</v>
      </c>
      <c r="E529" s="3">
        <v>519207.8836</v>
      </c>
      <c r="F529" s="3">
        <v>256209.77256666668</v>
      </c>
      <c r="G529" s="3">
        <v>138.81833333333336</v>
      </c>
      <c r="J529" s="5" t="s">
        <v>1109</v>
      </c>
      <c r="K529" s="5" t="s">
        <v>1110</v>
      </c>
      <c r="L529" s="5" t="s">
        <v>1111</v>
      </c>
      <c r="M529" s="3">
        <f t="shared" si="41"/>
        <v>-1.4100000029429793E-2</v>
      </c>
      <c r="N529" s="3">
        <f t="shared" si="41"/>
        <v>1.233333331765607E-2</v>
      </c>
      <c r="O529" s="3">
        <f t="shared" si="42"/>
        <v>8.5333333333608152E-3</v>
      </c>
      <c r="P529">
        <f t="shared" si="43"/>
        <v>1.9881000082992017E-4</v>
      </c>
      <c r="Q529">
        <f t="shared" si="43"/>
        <v>1.5211111072440528E-4</v>
      </c>
      <c r="R529">
        <f t="shared" si="43"/>
        <v>7.2817777778246801E-5</v>
      </c>
      <c r="S529">
        <f t="shared" si="44"/>
        <v>3.5092111155432548E-4</v>
      </c>
      <c r="T529">
        <f t="shared" si="45"/>
        <v>1.8732888500023841E-2</v>
      </c>
    </row>
    <row r="530" spans="1:20" x14ac:dyDescent="0.3">
      <c r="A530" s="2" t="s">
        <v>1165</v>
      </c>
      <c r="B530" s="4" t="s">
        <v>1113</v>
      </c>
      <c r="C530" s="2" t="s">
        <v>1114</v>
      </c>
      <c r="D530" s="2" t="s">
        <v>63</v>
      </c>
      <c r="E530" s="3">
        <v>519207.86343333329</v>
      </c>
      <c r="F530" s="3">
        <v>256209.77746666665</v>
      </c>
      <c r="G530" s="3">
        <v>138.83333333333334</v>
      </c>
      <c r="J530" s="5" t="s">
        <v>1109</v>
      </c>
      <c r="K530" s="5" t="s">
        <v>1110</v>
      </c>
      <c r="L530" s="5" t="s">
        <v>1111</v>
      </c>
      <c r="M530" s="3">
        <f t="shared" ref="M530:N579" si="46">J530-E530</f>
        <v>6.0666666831821203E-3</v>
      </c>
      <c r="N530" s="3">
        <f t="shared" si="46"/>
        <v>7.4333333468530327E-3</v>
      </c>
      <c r="O530" s="3">
        <f t="shared" si="42"/>
        <v>2.3533333333347173E-2</v>
      </c>
      <c r="P530">
        <f t="shared" si="43"/>
        <v>3.6804444644831949E-5</v>
      </c>
      <c r="Q530">
        <f t="shared" si="43"/>
        <v>5.5254444645437308E-5</v>
      </c>
      <c r="R530">
        <f t="shared" si="43"/>
        <v>5.5381777777842919E-4</v>
      </c>
      <c r="S530">
        <f t="shared" si="44"/>
        <v>9.205888929026925E-5</v>
      </c>
      <c r="T530">
        <f t="shared" si="45"/>
        <v>9.5947323719981509E-3</v>
      </c>
    </row>
    <row r="531" spans="1:20" x14ac:dyDescent="0.3">
      <c r="A531" s="2" t="s">
        <v>1165</v>
      </c>
      <c r="B531" s="4" t="s">
        <v>1113</v>
      </c>
      <c r="C531" s="2" t="s">
        <v>1114</v>
      </c>
      <c r="D531" s="2" t="s">
        <v>30</v>
      </c>
      <c r="E531" s="3">
        <v>519207.86713333335</v>
      </c>
      <c r="F531" s="3">
        <v>256209.77709999998</v>
      </c>
      <c r="G531" s="3">
        <v>138.83500000000001</v>
      </c>
      <c r="J531" s="5" t="s">
        <v>1109</v>
      </c>
      <c r="K531" s="5" t="s">
        <v>1110</v>
      </c>
      <c r="L531" s="5" t="s">
        <v>1111</v>
      </c>
      <c r="M531" s="3">
        <f t="shared" si="46"/>
        <v>2.3666666238568723E-3</v>
      </c>
      <c r="N531" s="3">
        <f t="shared" si="46"/>
        <v>7.8000000212341547E-3</v>
      </c>
      <c r="O531" s="3">
        <f t="shared" si="42"/>
        <v>2.5200000000012324E-2</v>
      </c>
      <c r="P531">
        <f t="shared" si="43"/>
        <v>5.6011109084780864E-6</v>
      </c>
      <c r="Q531">
        <f t="shared" si="43"/>
        <v>6.0840000331252814E-5</v>
      </c>
      <c r="R531">
        <f t="shared" si="43"/>
        <v>6.3504000000062116E-4</v>
      </c>
      <c r="S531">
        <f t="shared" si="44"/>
        <v>6.6441111239730897E-5</v>
      </c>
      <c r="T531">
        <f t="shared" si="45"/>
        <v>8.1511417138785472E-3</v>
      </c>
    </row>
    <row r="532" spans="1:20" x14ac:dyDescent="0.3">
      <c r="A532" s="2" t="s">
        <v>1165</v>
      </c>
      <c r="B532" s="4" t="s">
        <v>1113</v>
      </c>
      <c r="C532" s="2" t="s">
        <v>1114</v>
      </c>
      <c r="D532" s="2" t="s">
        <v>52</v>
      </c>
      <c r="E532" s="3">
        <v>519207.87319999997</v>
      </c>
      <c r="F532" s="3">
        <v>256209.77160000001</v>
      </c>
      <c r="G532" s="3">
        <v>138.81433333333334</v>
      </c>
      <c r="J532" s="5" t="s">
        <v>1109</v>
      </c>
      <c r="K532" s="5" t="s">
        <v>1110</v>
      </c>
      <c r="L532" s="5" t="s">
        <v>1111</v>
      </c>
      <c r="M532" s="3">
        <f t="shared" si="46"/>
        <v>-3.7000000011175871E-3</v>
      </c>
      <c r="N532" s="3">
        <f t="shared" si="46"/>
        <v>1.3299999991431832E-2</v>
      </c>
      <c r="O532" s="3">
        <f t="shared" si="42"/>
        <v>4.5333333333417158E-3</v>
      </c>
      <c r="P532">
        <f t="shared" si="43"/>
        <v>1.3690000008270144E-5</v>
      </c>
      <c r="Q532">
        <f t="shared" si="43"/>
        <v>1.7688999977208674E-4</v>
      </c>
      <c r="R532">
        <f t="shared" si="43"/>
        <v>2.0551111111187112E-5</v>
      </c>
      <c r="S532">
        <f t="shared" si="44"/>
        <v>1.9057999978035688E-4</v>
      </c>
      <c r="T532">
        <f t="shared" si="45"/>
        <v>1.3805071523913118E-2</v>
      </c>
    </row>
    <row r="533" spans="1:20" x14ac:dyDescent="0.3">
      <c r="A533" s="2" t="s">
        <v>1165</v>
      </c>
      <c r="B533" s="4" t="s">
        <v>1113</v>
      </c>
      <c r="C533" s="2" t="s">
        <v>1108</v>
      </c>
      <c r="D533" s="2" t="s">
        <v>110</v>
      </c>
      <c r="E533" s="3">
        <v>519207.87636666669</v>
      </c>
      <c r="F533" s="3">
        <v>256209.76850000001</v>
      </c>
      <c r="G533" s="3">
        <v>138.85800000000003</v>
      </c>
      <c r="J533" s="5" t="s">
        <v>1109</v>
      </c>
      <c r="K533" s="5" t="s">
        <v>1110</v>
      </c>
      <c r="L533" s="5" t="s">
        <v>1111</v>
      </c>
      <c r="M533" s="3">
        <f t="shared" si="46"/>
        <v>-6.8666667211800814E-3</v>
      </c>
      <c r="N533" s="3">
        <f t="shared" si="46"/>
        <v>1.6399999993154779E-2</v>
      </c>
      <c r="O533" s="3">
        <f t="shared" si="42"/>
        <v>4.820000000003688E-2</v>
      </c>
      <c r="P533">
        <f t="shared" si="43"/>
        <v>4.7151111859762009E-5</v>
      </c>
      <c r="Q533">
        <f t="shared" si="43"/>
        <v>2.6895999977547675E-4</v>
      </c>
      <c r="R533">
        <f t="shared" si="43"/>
        <v>2.3232400000035552E-3</v>
      </c>
      <c r="S533">
        <f t="shared" si="44"/>
        <v>3.1611111163523876E-4</v>
      </c>
      <c r="T533">
        <f t="shared" si="45"/>
        <v>1.7779513818865767E-2</v>
      </c>
    </row>
    <row r="534" spans="1:20" x14ac:dyDescent="0.3">
      <c r="A534" s="2" t="s">
        <v>1165</v>
      </c>
      <c r="B534" s="4" t="s">
        <v>1115</v>
      </c>
      <c r="C534" s="2" t="s">
        <v>1108</v>
      </c>
      <c r="D534" s="2" t="s">
        <v>30</v>
      </c>
      <c r="E534" s="3">
        <v>525128.42086666671</v>
      </c>
      <c r="F534" s="3">
        <v>257638.7115</v>
      </c>
      <c r="G534" s="3">
        <v>96.831666666666663</v>
      </c>
      <c r="J534" s="5" t="s">
        <v>1118</v>
      </c>
      <c r="K534" s="5" t="s">
        <v>1119</v>
      </c>
      <c r="L534" s="5" t="s">
        <v>1116</v>
      </c>
      <c r="M534" s="3">
        <f t="shared" si="46"/>
        <v>2.203333331272006E-2</v>
      </c>
      <c r="N534" s="3">
        <f t="shared" si="46"/>
        <v>2.0499999984167516E-2</v>
      </c>
      <c r="O534" s="3">
        <f t="shared" si="42"/>
        <v>1.7766666666659603E-2</v>
      </c>
      <c r="P534">
        <f t="shared" si="43"/>
        <v>4.8546777686941955E-4</v>
      </c>
      <c r="Q534">
        <f t="shared" si="43"/>
        <v>4.2024999935086815E-4</v>
      </c>
      <c r="R534">
        <f t="shared" si="43"/>
        <v>3.1565444444419343E-4</v>
      </c>
      <c r="S534">
        <f t="shared" si="44"/>
        <v>9.057177762202877E-4</v>
      </c>
      <c r="T534">
        <f t="shared" si="45"/>
        <v>3.0095145392908269E-2</v>
      </c>
    </row>
    <row r="535" spans="1:20" x14ac:dyDescent="0.3">
      <c r="A535" s="2" t="s">
        <v>1165</v>
      </c>
      <c r="B535" s="4" t="s">
        <v>1115</v>
      </c>
      <c r="C535" s="2" t="s">
        <v>1108</v>
      </c>
      <c r="D535" s="2" t="s">
        <v>1112</v>
      </c>
      <c r="E535" s="3">
        <v>525128.42423333332</v>
      </c>
      <c r="F535" s="3">
        <v>257638.71813333334</v>
      </c>
      <c r="G535" s="3">
        <v>96.838999999999999</v>
      </c>
      <c r="J535" s="5" t="s">
        <v>1118</v>
      </c>
      <c r="K535" s="5" t="s">
        <v>1119</v>
      </c>
      <c r="L535" s="5" t="s">
        <v>1116</v>
      </c>
      <c r="M535" s="3">
        <f t="shared" si="46"/>
        <v>1.8666666699573398E-2</v>
      </c>
      <c r="N535" s="3">
        <f t="shared" si="46"/>
        <v>1.3866666646208614E-2</v>
      </c>
      <c r="O535" s="3">
        <f t="shared" si="42"/>
        <v>2.5099999999994793E-2</v>
      </c>
      <c r="P535">
        <f t="shared" si="43"/>
        <v>3.484444456729624E-4</v>
      </c>
      <c r="Q535">
        <f t="shared" si="43"/>
        <v>1.9228444387707445E-4</v>
      </c>
      <c r="R535">
        <f t="shared" si="43"/>
        <v>6.3000999999973857E-4</v>
      </c>
      <c r="S535">
        <f t="shared" si="44"/>
        <v>5.407288895500368E-4</v>
      </c>
      <c r="T535">
        <f t="shared" si="45"/>
        <v>2.3253577994580464E-2</v>
      </c>
    </row>
    <row r="536" spans="1:20" x14ac:dyDescent="0.3">
      <c r="A536" s="2" t="s">
        <v>1165</v>
      </c>
      <c r="B536" s="4" t="s">
        <v>1117</v>
      </c>
      <c r="C536" s="2" t="s">
        <v>1108</v>
      </c>
      <c r="D536" s="2" t="s">
        <v>110</v>
      </c>
      <c r="E536" s="3">
        <v>525128.42426666664</v>
      </c>
      <c r="F536" s="3">
        <v>257638.7243</v>
      </c>
      <c r="G536" s="3">
        <v>96.843000000000004</v>
      </c>
      <c r="J536" s="5" t="s">
        <v>1118</v>
      </c>
      <c r="K536" s="5" t="s">
        <v>1119</v>
      </c>
      <c r="L536" s="5" t="s">
        <v>1116</v>
      </c>
      <c r="M536" s="3">
        <f t="shared" si="46"/>
        <v>1.863333338405937E-2</v>
      </c>
      <c r="N536" s="3">
        <f t="shared" si="46"/>
        <v>7.6999999873805791E-3</v>
      </c>
      <c r="O536" s="3">
        <f t="shared" si="42"/>
        <v>2.9099999999999682E-2</v>
      </c>
      <c r="P536">
        <f t="shared" si="43"/>
        <v>3.4720111300150138E-4</v>
      </c>
      <c r="Q536">
        <f t="shared" si="43"/>
        <v>5.9289999805660918E-5</v>
      </c>
      <c r="R536">
        <f t="shared" si="43"/>
        <v>8.4680999999998149E-4</v>
      </c>
      <c r="S536">
        <f t="shared" si="44"/>
        <v>4.064911128071623E-4</v>
      </c>
      <c r="T536">
        <f t="shared" si="45"/>
        <v>2.0161624756134172E-2</v>
      </c>
    </row>
    <row r="537" spans="1:20" x14ac:dyDescent="0.3">
      <c r="A537" s="2" t="s">
        <v>1165</v>
      </c>
      <c r="B537" s="4" t="s">
        <v>1117</v>
      </c>
      <c r="C537" s="2" t="s">
        <v>1108</v>
      </c>
      <c r="D537" s="2" t="s">
        <v>37</v>
      </c>
      <c r="E537" s="3">
        <v>525128.41690000007</v>
      </c>
      <c r="F537" s="3">
        <v>257638.71033333335</v>
      </c>
      <c r="G537" s="3">
        <v>96.848000000000013</v>
      </c>
      <c r="J537" s="5" t="s">
        <v>1118</v>
      </c>
      <c r="K537" s="5" t="s">
        <v>1119</v>
      </c>
      <c r="L537" s="5" t="s">
        <v>1116</v>
      </c>
      <c r="M537" s="3">
        <f t="shared" si="46"/>
        <v>2.5999999954365194E-2</v>
      </c>
      <c r="N537" s="3">
        <f t="shared" si="46"/>
        <v>2.1666666638338938E-2</v>
      </c>
      <c r="O537" s="3">
        <f t="shared" si="42"/>
        <v>3.4100000000009345E-2</v>
      </c>
      <c r="P537">
        <f t="shared" si="43"/>
        <v>6.7599999762699007E-4</v>
      </c>
      <c r="Q537">
        <f t="shared" si="43"/>
        <v>4.6944444321690953E-4</v>
      </c>
      <c r="R537">
        <f t="shared" si="43"/>
        <v>1.1628100000006373E-3</v>
      </c>
      <c r="S537">
        <f t="shared" si="44"/>
        <v>1.1454444408438996E-3</v>
      </c>
      <c r="T537">
        <f t="shared" si="45"/>
        <v>3.384441520906957E-2</v>
      </c>
    </row>
    <row r="538" spans="1:20" x14ac:dyDescent="0.3">
      <c r="A538" s="2" t="s">
        <v>1165</v>
      </c>
      <c r="B538" s="4" t="s">
        <v>1117</v>
      </c>
      <c r="C538" s="2" t="s">
        <v>1108</v>
      </c>
      <c r="D538" s="2" t="s">
        <v>46</v>
      </c>
      <c r="E538" s="3">
        <v>525128.41846666671</v>
      </c>
      <c r="F538" s="3">
        <v>257638.7175</v>
      </c>
      <c r="G538" s="3">
        <v>96.841333333333338</v>
      </c>
      <c r="J538" s="5" t="s">
        <v>1118</v>
      </c>
      <c r="K538" s="5" t="s">
        <v>1119</v>
      </c>
      <c r="L538" s="5" t="s">
        <v>1116</v>
      </c>
      <c r="M538" s="3">
        <f t="shared" si="46"/>
        <v>2.4433333310298622E-2</v>
      </c>
      <c r="N538" s="3">
        <f t="shared" si="46"/>
        <v>1.4499999990221113E-2</v>
      </c>
      <c r="O538" s="3">
        <f t="shared" si="42"/>
        <v>2.7433333333334531E-2</v>
      </c>
      <c r="P538">
        <f t="shared" si="43"/>
        <v>5.9698777665214819E-4</v>
      </c>
      <c r="Q538">
        <f t="shared" si="43"/>
        <v>2.1024999971641227E-4</v>
      </c>
      <c r="R538">
        <f t="shared" si="43"/>
        <v>7.5258777777784352E-4</v>
      </c>
      <c r="S538">
        <f t="shared" si="44"/>
        <v>8.0723777636856051E-4</v>
      </c>
      <c r="T538">
        <f t="shared" si="45"/>
        <v>2.8411930176750762E-2</v>
      </c>
    </row>
    <row r="539" spans="1:20" x14ac:dyDescent="0.3">
      <c r="A539" s="2" t="s">
        <v>1165</v>
      </c>
      <c r="B539" s="4" t="s">
        <v>1117</v>
      </c>
      <c r="C539" s="2" t="s">
        <v>1114</v>
      </c>
      <c r="D539" s="2" t="s">
        <v>63</v>
      </c>
      <c r="E539" s="3">
        <v>525128.41953333339</v>
      </c>
      <c r="F539" s="3">
        <v>257638.71163333333</v>
      </c>
      <c r="G539" s="3">
        <v>96.832666666666668</v>
      </c>
      <c r="J539" s="5" t="s">
        <v>1118</v>
      </c>
      <c r="K539" s="5" t="s">
        <v>1119</v>
      </c>
      <c r="L539" s="5" t="s">
        <v>1116</v>
      </c>
      <c r="M539" s="3">
        <f t="shared" si="46"/>
        <v>2.3366666631773114E-2</v>
      </c>
      <c r="N539" s="3">
        <f t="shared" si="46"/>
        <v>2.0366666663903743E-2</v>
      </c>
      <c r="O539" s="3">
        <f t="shared" si="42"/>
        <v>1.8766666666664378E-2</v>
      </c>
      <c r="P539">
        <f t="shared" si="43"/>
        <v>5.4600110948041904E-4</v>
      </c>
      <c r="Q539">
        <f t="shared" si="43"/>
        <v>4.1480111099856805E-4</v>
      </c>
      <c r="R539">
        <f t="shared" si="43"/>
        <v>3.5218777777769187E-4</v>
      </c>
      <c r="S539">
        <f t="shared" si="44"/>
        <v>9.6080222047898703E-4</v>
      </c>
      <c r="T539">
        <f t="shared" si="45"/>
        <v>3.0996809843578856E-2</v>
      </c>
    </row>
    <row r="540" spans="1:20" x14ac:dyDescent="0.3">
      <c r="A540" s="2" t="s">
        <v>1165</v>
      </c>
      <c r="B540" s="4" t="s">
        <v>1117</v>
      </c>
      <c r="C540" s="2" t="s">
        <v>1114</v>
      </c>
      <c r="D540" s="2" t="s">
        <v>30</v>
      </c>
      <c r="E540" s="3">
        <v>525128.42139999999</v>
      </c>
      <c r="F540" s="3">
        <v>257638.71939999997</v>
      </c>
      <c r="G540" s="3">
        <v>96.834000000000003</v>
      </c>
      <c r="J540" s="5" t="s">
        <v>1118</v>
      </c>
      <c r="K540" s="5" t="s">
        <v>1119</v>
      </c>
      <c r="L540" s="5" t="s">
        <v>1116</v>
      </c>
      <c r="M540" s="3">
        <f t="shared" si="46"/>
        <v>2.1500000031664968E-2</v>
      </c>
      <c r="N540" s="3">
        <f t="shared" si="46"/>
        <v>1.2600000016391277E-2</v>
      </c>
      <c r="O540" s="3">
        <f t="shared" si="42"/>
        <v>2.0099999999999341E-2</v>
      </c>
      <c r="P540">
        <f t="shared" si="43"/>
        <v>4.6225000136159361E-4</v>
      </c>
      <c r="Q540">
        <f t="shared" si="43"/>
        <v>1.5876000041306019E-4</v>
      </c>
      <c r="R540">
        <f t="shared" si="43"/>
        <v>4.0400999999997349E-4</v>
      </c>
      <c r="S540">
        <f t="shared" si="44"/>
        <v>6.2101000177465374E-4</v>
      </c>
      <c r="T540">
        <f t="shared" si="45"/>
        <v>2.492007226664188E-2</v>
      </c>
    </row>
    <row r="541" spans="1:20" x14ac:dyDescent="0.3">
      <c r="A541" s="2" t="s">
        <v>1165</v>
      </c>
      <c r="B541" s="4" t="s">
        <v>1117</v>
      </c>
      <c r="C541" s="2" t="s">
        <v>1114</v>
      </c>
      <c r="D541" s="2" t="s">
        <v>52</v>
      </c>
      <c r="E541" s="3">
        <v>525128.42059999995</v>
      </c>
      <c r="F541" s="3">
        <v>257638.71429999999</v>
      </c>
      <c r="G541" s="3">
        <v>96.830333333333328</v>
      </c>
      <c r="J541" s="5" t="s">
        <v>1118</v>
      </c>
      <c r="K541" s="5" t="s">
        <v>1119</v>
      </c>
      <c r="L541" s="5" t="s">
        <v>1116</v>
      </c>
      <c r="M541" s="3">
        <f t="shared" si="46"/>
        <v>2.2300000069662929E-2</v>
      </c>
      <c r="N541" s="3">
        <f t="shared" si="46"/>
        <v>1.7699999996693805E-2</v>
      </c>
      <c r="O541" s="3">
        <f t="shared" si="42"/>
        <v>1.643333333332464E-2</v>
      </c>
      <c r="P541">
        <f t="shared" si="43"/>
        <v>4.9729000310696657E-4</v>
      </c>
      <c r="Q541">
        <f t="shared" si="43"/>
        <v>3.1328999988296068E-4</v>
      </c>
      <c r="R541">
        <f t="shared" si="43"/>
        <v>2.7005444444415871E-4</v>
      </c>
      <c r="S541">
        <f t="shared" si="44"/>
        <v>8.105800029899273E-4</v>
      </c>
      <c r="T541">
        <f t="shared" si="45"/>
        <v>2.8470686731969206E-2</v>
      </c>
    </row>
    <row r="542" spans="1:20" x14ac:dyDescent="0.3">
      <c r="A542" s="2" t="s">
        <v>1165</v>
      </c>
      <c r="B542" s="4" t="s">
        <v>1117</v>
      </c>
      <c r="C542" s="2" t="s">
        <v>1120</v>
      </c>
      <c r="D542" s="4" t="s">
        <v>423</v>
      </c>
      <c r="E542" s="3">
        <v>525128.4584</v>
      </c>
      <c r="F542" s="3">
        <v>257638.70112000001</v>
      </c>
      <c r="G542" s="3">
        <v>96.825600000000009</v>
      </c>
      <c r="J542" s="5" t="s">
        <v>1118</v>
      </c>
      <c r="K542" s="5" t="s">
        <v>1119</v>
      </c>
      <c r="L542" s="5" t="s">
        <v>1116</v>
      </c>
      <c r="M542" s="3">
        <f t="shared" si="46"/>
        <v>-1.5499999979510903E-2</v>
      </c>
      <c r="N542" s="3">
        <f t="shared" si="46"/>
        <v>3.0879999976605177E-2</v>
      </c>
      <c r="O542" s="3">
        <f t="shared" si="42"/>
        <v>1.1700000000004707E-2</v>
      </c>
      <c r="P542">
        <f t="shared" si="43"/>
        <v>2.40249999364838E-4</v>
      </c>
      <c r="Q542">
        <f t="shared" si="43"/>
        <v>9.5357439855513573E-4</v>
      </c>
      <c r="R542">
        <f t="shared" si="43"/>
        <v>1.3689000000011013E-4</v>
      </c>
      <c r="S542">
        <f t="shared" si="44"/>
        <v>1.1938243979199737E-3</v>
      </c>
      <c r="T542">
        <f t="shared" si="45"/>
        <v>3.4551764034850288E-2</v>
      </c>
    </row>
    <row r="543" spans="1:20" x14ac:dyDescent="0.3">
      <c r="A543" s="2" t="s">
        <v>1165</v>
      </c>
      <c r="B543" s="4" t="s">
        <v>1117</v>
      </c>
      <c r="C543" s="2" t="s">
        <v>1120</v>
      </c>
      <c r="D543" s="4" t="s">
        <v>1019</v>
      </c>
      <c r="E543" s="3">
        <v>525128.45406000002</v>
      </c>
      <c r="F543" s="3">
        <v>257638.69294000004</v>
      </c>
      <c r="G543" s="3">
        <v>96.823599999999999</v>
      </c>
      <c r="J543" s="5" t="s">
        <v>1118</v>
      </c>
      <c r="K543" s="5" t="s">
        <v>1119</v>
      </c>
      <c r="L543" s="5" t="s">
        <v>1116</v>
      </c>
      <c r="M543" s="3">
        <f t="shared" si="46"/>
        <v>-1.1159999994561076E-2</v>
      </c>
      <c r="N543" s="3">
        <f t="shared" si="46"/>
        <v>3.9059999951859936E-2</v>
      </c>
      <c r="O543" s="3">
        <f t="shared" si="42"/>
        <v>9.6999999999951569E-3</v>
      </c>
      <c r="P543">
        <f t="shared" si="43"/>
        <v>1.2454559987860322E-4</v>
      </c>
      <c r="Q543">
        <f t="shared" si="43"/>
        <v>1.5256835962392983E-3</v>
      </c>
      <c r="R543">
        <f t="shared" si="43"/>
        <v>9.4089999999906042E-5</v>
      </c>
      <c r="S543">
        <f t="shared" si="44"/>
        <v>1.6502291961179015E-3</v>
      </c>
      <c r="T543">
        <f t="shared" si="45"/>
        <v>4.062301313440328E-2</v>
      </c>
    </row>
    <row r="544" spans="1:20" x14ac:dyDescent="0.3">
      <c r="A544" s="2" t="s">
        <v>1165</v>
      </c>
      <c r="B544" s="4" t="s">
        <v>1121</v>
      </c>
      <c r="C544" s="2" t="s">
        <v>1108</v>
      </c>
      <c r="D544" s="2" t="s">
        <v>30</v>
      </c>
      <c r="E544" s="3">
        <v>511557.45170000003</v>
      </c>
      <c r="F544" s="3">
        <v>255133.19110000003</v>
      </c>
      <c r="G544" s="3">
        <v>107.16100000000002</v>
      </c>
      <c r="J544" s="5" t="s">
        <v>1122</v>
      </c>
      <c r="K544" s="5" t="s">
        <v>1123</v>
      </c>
      <c r="L544" s="5" t="s">
        <v>1124</v>
      </c>
      <c r="M544" s="3">
        <f t="shared" si="46"/>
        <v>-5.7000000379048288E-3</v>
      </c>
      <c r="N544" s="3">
        <f t="shared" si="46"/>
        <v>-1.1100000032456592E-2</v>
      </c>
      <c r="O544" s="3">
        <f t="shared" si="42"/>
        <v>1.5000000000014779E-2</v>
      </c>
      <c r="P544">
        <f t="shared" si="43"/>
        <v>3.2490000432115046E-5</v>
      </c>
      <c r="Q544">
        <f t="shared" si="43"/>
        <v>1.2321000072053635E-4</v>
      </c>
      <c r="R544">
        <f t="shared" si="43"/>
        <v>2.2500000000044338E-4</v>
      </c>
      <c r="S544">
        <f t="shared" si="44"/>
        <v>1.557000011526514E-4</v>
      </c>
      <c r="T544">
        <f t="shared" si="45"/>
        <v>1.2477980652038671E-2</v>
      </c>
    </row>
    <row r="545" spans="1:20" x14ac:dyDescent="0.3">
      <c r="A545" s="2" t="s">
        <v>1165</v>
      </c>
      <c r="B545" s="4" t="s">
        <v>1121</v>
      </c>
      <c r="C545" s="2" t="s">
        <v>1108</v>
      </c>
      <c r="D545" s="2" t="s">
        <v>1112</v>
      </c>
      <c r="E545" s="3">
        <v>511557.46629999997</v>
      </c>
      <c r="F545" s="3">
        <v>255133.18659999999</v>
      </c>
      <c r="G545" s="3">
        <v>107.14766666666667</v>
      </c>
      <c r="J545" s="5" t="s">
        <v>1122</v>
      </c>
      <c r="K545" s="5" t="s">
        <v>1123</v>
      </c>
      <c r="L545" s="5" t="s">
        <v>1124</v>
      </c>
      <c r="M545" s="3">
        <f t="shared" si="46"/>
        <v>-2.0299999974668026E-2</v>
      </c>
      <c r="N545" s="3">
        <f t="shared" si="46"/>
        <v>-6.5999999933410436E-3</v>
      </c>
      <c r="O545" s="3">
        <f t="shared" si="42"/>
        <v>1.6666666666651508E-3</v>
      </c>
      <c r="P545">
        <f t="shared" si="43"/>
        <v>4.1208999897152186E-4</v>
      </c>
      <c r="Q545">
        <f t="shared" si="43"/>
        <v>4.3559999912101775E-5</v>
      </c>
      <c r="R545">
        <f t="shared" si="43"/>
        <v>2.7777777777727249E-6</v>
      </c>
      <c r="S545">
        <f t="shared" si="44"/>
        <v>4.5564999888362363E-4</v>
      </c>
      <c r="T545">
        <f t="shared" si="45"/>
        <v>2.1345959778928274E-2</v>
      </c>
    </row>
    <row r="546" spans="1:20" x14ac:dyDescent="0.3">
      <c r="A546" s="2" t="s">
        <v>1165</v>
      </c>
      <c r="B546" s="4" t="s">
        <v>1125</v>
      </c>
      <c r="C546" s="2" t="s">
        <v>1108</v>
      </c>
      <c r="D546" s="2" t="s">
        <v>110</v>
      </c>
      <c r="E546" s="3">
        <v>511557.46436666668</v>
      </c>
      <c r="F546" s="3">
        <v>255133.19003333335</v>
      </c>
      <c r="G546" s="3">
        <v>107.13400000000001</v>
      </c>
      <c r="J546" s="5" t="s">
        <v>1122</v>
      </c>
      <c r="K546" s="5" t="s">
        <v>1123</v>
      </c>
      <c r="L546" s="5" t="s">
        <v>1124</v>
      </c>
      <c r="M546" s="3">
        <f t="shared" si="46"/>
        <v>-1.8366666685324162E-2</v>
      </c>
      <c r="N546" s="3">
        <f t="shared" si="46"/>
        <v>-1.0033333353931084E-2</v>
      </c>
      <c r="O546" s="3">
        <f t="shared" si="42"/>
        <v>1.1999999999986244E-2</v>
      </c>
      <c r="P546">
        <f t="shared" si="43"/>
        <v>3.3733444512979647E-4</v>
      </c>
      <c r="Q546">
        <f t="shared" si="43"/>
        <v>1.0066777819110599E-4</v>
      </c>
      <c r="R546">
        <f t="shared" si="43"/>
        <v>1.4399999999966986E-4</v>
      </c>
      <c r="S546">
        <f t="shared" si="44"/>
        <v>4.3800222332090246E-4</v>
      </c>
      <c r="T546">
        <f t="shared" si="45"/>
        <v>2.0928502653579938E-2</v>
      </c>
    </row>
    <row r="547" spans="1:20" x14ac:dyDescent="0.3">
      <c r="A547" s="2" t="s">
        <v>1165</v>
      </c>
      <c r="B547" s="4" t="s">
        <v>1125</v>
      </c>
      <c r="C547" s="2" t="s">
        <v>1108</v>
      </c>
      <c r="D547" s="2" t="s">
        <v>37</v>
      </c>
      <c r="E547" s="3">
        <v>511557.46576666669</v>
      </c>
      <c r="F547" s="3">
        <v>255133.19203333333</v>
      </c>
      <c r="G547" s="3">
        <v>107.14966666666668</v>
      </c>
      <c r="J547" s="5" t="s">
        <v>1122</v>
      </c>
      <c r="K547" s="5" t="s">
        <v>1123</v>
      </c>
      <c r="L547" s="5" t="s">
        <v>1124</v>
      </c>
      <c r="M547" s="3">
        <f t="shared" si="46"/>
        <v>-1.9766666693612933E-2</v>
      </c>
      <c r="N547" s="3">
        <f t="shared" si="46"/>
        <v>-1.2033333332510665E-2</v>
      </c>
      <c r="O547" s="3">
        <f t="shared" si="42"/>
        <v>3.6666666666747005E-3</v>
      </c>
      <c r="P547">
        <f t="shared" si="43"/>
        <v>3.9072111217638685E-4</v>
      </c>
      <c r="Q547">
        <f t="shared" si="43"/>
        <v>1.4480111109131224E-4</v>
      </c>
      <c r="R547">
        <f t="shared" si="43"/>
        <v>1.344444444450336E-5</v>
      </c>
      <c r="S547">
        <f t="shared" si="44"/>
        <v>5.3552222326769911E-4</v>
      </c>
      <c r="T547">
        <f t="shared" si="45"/>
        <v>2.3141353099326304E-2</v>
      </c>
    </row>
    <row r="548" spans="1:20" x14ac:dyDescent="0.3">
      <c r="A548" s="2" t="s">
        <v>1165</v>
      </c>
      <c r="B548" s="4" t="s">
        <v>1125</v>
      </c>
      <c r="C548" s="2" t="s">
        <v>1108</v>
      </c>
      <c r="D548" s="2" t="s">
        <v>46</v>
      </c>
      <c r="E548" s="3">
        <v>511557.4559</v>
      </c>
      <c r="F548" s="3">
        <v>255133.19436666669</v>
      </c>
      <c r="G548" s="3">
        <v>107.13033333333334</v>
      </c>
      <c r="J548" s="5" t="s">
        <v>1122</v>
      </c>
      <c r="K548" s="5" t="s">
        <v>1123</v>
      </c>
      <c r="L548" s="5" t="s">
        <v>1124</v>
      </c>
      <c r="M548" s="3">
        <f t="shared" si="46"/>
        <v>-9.9000000045634806E-3</v>
      </c>
      <c r="N548" s="3">
        <f t="shared" si="46"/>
        <v>-1.436666669906117E-2</v>
      </c>
      <c r="O548" s="3">
        <f t="shared" si="42"/>
        <v>1.5666666666660944E-2</v>
      </c>
      <c r="P548">
        <f t="shared" si="43"/>
        <v>9.8010000090356913E-5</v>
      </c>
      <c r="Q548">
        <f t="shared" si="43"/>
        <v>2.0640111204191317E-4</v>
      </c>
      <c r="R548">
        <f t="shared" si="43"/>
        <v>2.4544444444426513E-4</v>
      </c>
      <c r="S548">
        <f t="shared" si="44"/>
        <v>3.0441111213227009E-4</v>
      </c>
      <c r="T548">
        <f t="shared" si="45"/>
        <v>1.7447381239953177E-2</v>
      </c>
    </row>
    <row r="549" spans="1:20" x14ac:dyDescent="0.3">
      <c r="A549" s="2" t="s">
        <v>1165</v>
      </c>
      <c r="B549" s="4" t="s">
        <v>1125</v>
      </c>
      <c r="C549" s="2" t="s">
        <v>1114</v>
      </c>
      <c r="D549" s="2" t="s">
        <v>63</v>
      </c>
      <c r="E549" s="3">
        <v>511557.45310000004</v>
      </c>
      <c r="F549" s="3">
        <v>255133.182</v>
      </c>
      <c r="G549" s="3">
        <v>107.154</v>
      </c>
      <c r="J549" s="5" t="s">
        <v>1122</v>
      </c>
      <c r="K549" s="5" t="s">
        <v>1123</v>
      </c>
      <c r="L549" s="5" t="s">
        <v>1124</v>
      </c>
      <c r="M549" s="3">
        <f t="shared" si="46"/>
        <v>-7.1000000461935997E-3</v>
      </c>
      <c r="N549" s="3">
        <f t="shared" si="46"/>
        <v>-2.0000000076834112E-3</v>
      </c>
      <c r="O549" s="3">
        <f t="shared" si="42"/>
        <v>7.9999999999955662E-3</v>
      </c>
      <c r="P549">
        <f t="shared" si="43"/>
        <v>5.0410000655949118E-5</v>
      </c>
      <c r="Q549">
        <f t="shared" si="43"/>
        <v>4.000000030733645E-6</v>
      </c>
      <c r="R549">
        <f t="shared" si="43"/>
        <v>6.3999999999929063E-5</v>
      </c>
      <c r="S549">
        <f t="shared" si="44"/>
        <v>5.4410000686682762E-5</v>
      </c>
      <c r="T549">
        <f t="shared" si="45"/>
        <v>7.3763134889104839E-3</v>
      </c>
    </row>
    <row r="550" spans="1:20" x14ac:dyDescent="0.3">
      <c r="A550" s="2" t="s">
        <v>1165</v>
      </c>
      <c r="B550" s="4" t="s">
        <v>1125</v>
      </c>
      <c r="C550" s="2" t="s">
        <v>1114</v>
      </c>
      <c r="D550" s="2" t="s">
        <v>30</v>
      </c>
      <c r="E550" s="3">
        <v>511557.45813333336</v>
      </c>
      <c r="F550" s="3">
        <v>255133.18279999998</v>
      </c>
      <c r="G550" s="3">
        <v>107.18266666666666</v>
      </c>
      <c r="J550" s="5" t="s">
        <v>1122</v>
      </c>
      <c r="K550" s="5" t="s">
        <v>1123</v>
      </c>
      <c r="L550" s="5" t="s">
        <v>1124</v>
      </c>
      <c r="M550" s="3">
        <f t="shared" si="46"/>
        <v>-1.2133333366364241E-2</v>
      </c>
      <c r="N550" s="3">
        <f t="shared" si="46"/>
        <v>-2.7999999874737114E-3</v>
      </c>
      <c r="O550" s="3">
        <f t="shared" si="42"/>
        <v>3.666666666666174E-2</v>
      </c>
      <c r="P550">
        <f t="shared" si="43"/>
        <v>1.472177785793278E-4</v>
      </c>
      <c r="Q550">
        <f t="shared" si="43"/>
        <v>7.839999929852783E-6</v>
      </c>
      <c r="R550">
        <f t="shared" si="43"/>
        <v>1.3444444444440831E-3</v>
      </c>
      <c r="S550">
        <f t="shared" si="44"/>
        <v>1.5505777850918057E-4</v>
      </c>
      <c r="T550">
        <f t="shared" si="45"/>
        <v>1.2452219822552948E-2</v>
      </c>
    </row>
    <row r="551" spans="1:20" x14ac:dyDescent="0.3">
      <c r="A551" s="2" t="s">
        <v>1165</v>
      </c>
      <c r="B551" s="4" t="s">
        <v>1125</v>
      </c>
      <c r="C551" s="2" t="s">
        <v>1108</v>
      </c>
      <c r="D551" s="2" t="s">
        <v>37</v>
      </c>
      <c r="E551" s="3">
        <v>511557.45883333334</v>
      </c>
      <c r="F551" s="3">
        <v>255133.19189999998</v>
      </c>
      <c r="G551" s="3">
        <v>107.16833333333334</v>
      </c>
      <c r="J551" s="5" t="s">
        <v>1122</v>
      </c>
      <c r="K551" s="5" t="s">
        <v>1123</v>
      </c>
      <c r="L551" s="5" t="s">
        <v>1124</v>
      </c>
      <c r="M551" s="3">
        <f t="shared" si="46"/>
        <v>-1.2833333341404796E-2</v>
      </c>
      <c r="N551" s="3">
        <f t="shared" si="46"/>
        <v>-1.1899999983143061E-2</v>
      </c>
      <c r="O551" s="3">
        <f t="shared" si="42"/>
        <v>2.2333333333335759E-2</v>
      </c>
      <c r="P551">
        <f t="shared" si="43"/>
        <v>1.6469444465161198E-4</v>
      </c>
      <c r="Q551">
        <f t="shared" si="43"/>
        <v>1.4160999959880486E-4</v>
      </c>
      <c r="R551">
        <f t="shared" si="43"/>
        <v>4.9877777777788609E-4</v>
      </c>
      <c r="S551">
        <f t="shared" si="44"/>
        <v>3.0630444425041681E-4</v>
      </c>
      <c r="T551">
        <f t="shared" si="45"/>
        <v>1.7501555480882745E-2</v>
      </c>
    </row>
    <row r="552" spans="1:20" x14ac:dyDescent="0.3">
      <c r="A552" s="2" t="s">
        <v>1165</v>
      </c>
      <c r="B552" s="4" t="s">
        <v>1125</v>
      </c>
      <c r="C552" s="2" t="s">
        <v>1120</v>
      </c>
      <c r="D552" s="2" t="s">
        <v>423</v>
      </c>
      <c r="E552" s="3">
        <v>511557.45343333337</v>
      </c>
      <c r="F552" s="3">
        <v>255133.19243333334</v>
      </c>
      <c r="G552" s="3">
        <v>107.19033333333334</v>
      </c>
      <c r="J552" s="5" t="s">
        <v>1122</v>
      </c>
      <c r="K552" s="5" t="s">
        <v>1123</v>
      </c>
      <c r="L552" s="5" t="s">
        <v>1124</v>
      </c>
      <c r="M552" s="3">
        <f t="shared" si="46"/>
        <v>-7.4333333759568632E-3</v>
      </c>
      <c r="N552" s="3">
        <f t="shared" si="46"/>
        <v>-1.2433333351509646E-2</v>
      </c>
      <c r="O552" s="3">
        <f t="shared" si="42"/>
        <v>4.4333333333341329E-2</v>
      </c>
      <c r="P552">
        <f t="shared" si="43"/>
        <v>5.5254445078114253E-5</v>
      </c>
      <c r="Q552">
        <f t="shared" si="43"/>
        <v>1.5458777822976208E-4</v>
      </c>
      <c r="R552">
        <f t="shared" si="43"/>
        <v>1.9654444444451532E-3</v>
      </c>
      <c r="S552">
        <f t="shared" si="44"/>
        <v>2.0984222330787633E-4</v>
      </c>
      <c r="T552">
        <f t="shared" si="45"/>
        <v>1.4485931910231951E-2</v>
      </c>
    </row>
    <row r="553" spans="1:20" x14ac:dyDescent="0.3">
      <c r="A553" s="2" t="s">
        <v>1165</v>
      </c>
      <c r="B553" s="4" t="s">
        <v>1125</v>
      </c>
      <c r="C553" s="2" t="s">
        <v>1120</v>
      </c>
      <c r="D553" s="2" t="s">
        <v>1019</v>
      </c>
      <c r="E553" s="3">
        <v>511557.45549999998</v>
      </c>
      <c r="F553" s="3">
        <v>255133.19736666666</v>
      </c>
      <c r="G553" s="3">
        <v>107.185</v>
      </c>
      <c r="J553" s="5" t="s">
        <v>1122</v>
      </c>
      <c r="K553" s="5" t="s">
        <v>1123</v>
      </c>
      <c r="L553" s="5" t="s">
        <v>1124</v>
      </c>
      <c r="M553" s="3">
        <f t="shared" si="46"/>
        <v>-9.4999999855645001E-3</v>
      </c>
      <c r="N553" s="3">
        <f t="shared" si="46"/>
        <v>-1.7366666666930541E-2</v>
      </c>
      <c r="O553" s="3">
        <f t="shared" si="42"/>
        <v>3.9000000000001478E-2</v>
      </c>
      <c r="P553">
        <f t="shared" si="43"/>
        <v>9.0249999725725499E-5</v>
      </c>
      <c r="Q553">
        <f t="shared" si="43"/>
        <v>3.0160111112027637E-4</v>
      </c>
      <c r="R553">
        <f t="shared" si="43"/>
        <v>1.5210000000001154E-3</v>
      </c>
      <c r="S553">
        <f t="shared" si="44"/>
        <v>3.9185111084600189E-4</v>
      </c>
      <c r="T553">
        <f t="shared" si="45"/>
        <v>1.9795229497179413E-2</v>
      </c>
    </row>
    <row r="554" spans="1:20" x14ac:dyDescent="0.3">
      <c r="A554" s="2" t="s">
        <v>1165</v>
      </c>
      <c r="B554" s="4" t="s">
        <v>1126</v>
      </c>
      <c r="C554" s="2" t="s">
        <v>1108</v>
      </c>
      <c r="D554" s="2" t="s">
        <v>30</v>
      </c>
      <c r="E554" s="3">
        <v>557917.28899999999</v>
      </c>
      <c r="F554" s="3">
        <v>191406.3878</v>
      </c>
      <c r="G554" s="8">
        <v>68.202999999999989</v>
      </c>
      <c r="J554" s="5" t="s">
        <v>1129</v>
      </c>
      <c r="K554" s="5" t="s">
        <v>1130</v>
      </c>
      <c r="L554" s="5" t="s">
        <v>1127</v>
      </c>
      <c r="M554" s="3">
        <f t="shared" si="46"/>
        <v>2.4899999960325658E-2</v>
      </c>
      <c r="N554" s="3">
        <f t="shared" si="46"/>
        <v>1.0999999940395355E-3</v>
      </c>
      <c r="O554" s="3">
        <f t="shared" si="42"/>
        <v>4.5999999999821739E-3</v>
      </c>
      <c r="P554">
        <f t="shared" si="43"/>
        <v>6.2000999802421777E-4</v>
      </c>
      <c r="Q554">
        <f t="shared" si="43"/>
        <v>1.2099999868869782E-6</v>
      </c>
      <c r="R554">
        <f t="shared" si="43"/>
        <v>2.1159999999836002E-5</v>
      </c>
      <c r="S554">
        <f t="shared" si="44"/>
        <v>6.2121999801110475E-4</v>
      </c>
      <c r="T554">
        <f t="shared" si="45"/>
        <v>2.4924285305924113E-2</v>
      </c>
    </row>
    <row r="555" spans="1:20" x14ac:dyDescent="0.3">
      <c r="A555" s="2" t="s">
        <v>1165</v>
      </c>
      <c r="B555" s="4" t="s">
        <v>1126</v>
      </c>
      <c r="C555" s="2" t="s">
        <v>1108</v>
      </c>
      <c r="D555" s="2" t="s">
        <v>1112</v>
      </c>
      <c r="E555" s="3">
        <v>557917.2727333334</v>
      </c>
      <c r="F555" s="3">
        <v>191406.38393333333</v>
      </c>
      <c r="G555" s="3">
        <v>68.301333333333332</v>
      </c>
      <c r="J555" s="5" t="s">
        <v>1129</v>
      </c>
      <c r="K555" s="5" t="s">
        <v>1130</v>
      </c>
      <c r="L555" s="5" t="s">
        <v>1127</v>
      </c>
      <c r="M555" s="3">
        <f t="shared" si="46"/>
        <v>4.1166666545905173E-2</v>
      </c>
      <c r="N555" s="3">
        <f t="shared" si="46"/>
        <v>4.9666666600387543E-3</v>
      </c>
      <c r="O555" s="3">
        <f t="shared" si="42"/>
        <v>0.10293333333332555</v>
      </c>
      <c r="P555">
        <f t="shared" si="43"/>
        <v>1.6946944345017482E-3</v>
      </c>
      <c r="Q555">
        <f t="shared" si="43"/>
        <v>2.4667777711940515E-5</v>
      </c>
      <c r="R555">
        <f t="shared" si="43"/>
        <v>1.0595271111109509E-2</v>
      </c>
      <c r="S555">
        <f t="shared" si="44"/>
        <v>1.7193622122136888E-3</v>
      </c>
      <c r="T555">
        <f t="shared" si="45"/>
        <v>4.1465192779169477E-2</v>
      </c>
    </row>
    <row r="556" spans="1:20" x14ac:dyDescent="0.3">
      <c r="A556" s="2" t="s">
        <v>1165</v>
      </c>
      <c r="B556" s="4" t="s">
        <v>1128</v>
      </c>
      <c r="C556" s="2" t="s">
        <v>1108</v>
      </c>
      <c r="D556" s="2" t="s">
        <v>37</v>
      </c>
      <c r="E556" s="3">
        <v>557917.27923333331</v>
      </c>
      <c r="F556" s="3">
        <v>191406.39963333332</v>
      </c>
      <c r="G556" s="3">
        <v>68.308333333333337</v>
      </c>
      <c r="J556" s="5" t="s">
        <v>1129</v>
      </c>
      <c r="K556" s="5" t="s">
        <v>1130</v>
      </c>
      <c r="L556" s="5" t="s">
        <v>1127</v>
      </c>
      <c r="M556" s="3">
        <f t="shared" si="46"/>
        <v>3.4666666644625366E-2</v>
      </c>
      <c r="N556" s="3">
        <f t="shared" si="46"/>
        <v>-1.0733333328971639E-2</v>
      </c>
      <c r="O556" s="3">
        <f t="shared" si="42"/>
        <v>0.10993333333333055</v>
      </c>
      <c r="P556">
        <f t="shared" si="43"/>
        <v>1.2017777762495809E-3</v>
      </c>
      <c r="Q556">
        <f t="shared" si="43"/>
        <v>1.1520444435081342E-4</v>
      </c>
      <c r="R556">
        <f t="shared" si="43"/>
        <v>1.2085337777777165E-2</v>
      </c>
      <c r="S556">
        <f t="shared" si="44"/>
        <v>1.3169822206003943E-3</v>
      </c>
      <c r="T556">
        <f t="shared" si="45"/>
        <v>3.6290249662965866E-2</v>
      </c>
    </row>
    <row r="557" spans="1:20" x14ac:dyDescent="0.3">
      <c r="A557" s="2" t="s">
        <v>1165</v>
      </c>
      <c r="B557" s="4" t="s">
        <v>1128</v>
      </c>
      <c r="C557" s="2" t="s">
        <v>1108</v>
      </c>
      <c r="D557" s="2" t="s">
        <v>46</v>
      </c>
      <c r="E557" s="3">
        <v>557917.28043333336</v>
      </c>
      <c r="F557" s="3">
        <v>191406.4074</v>
      </c>
      <c r="G557" s="3">
        <v>68.203666666666678</v>
      </c>
      <c r="J557" s="5" t="s">
        <v>1129</v>
      </c>
      <c r="K557" s="5" t="s">
        <v>1130</v>
      </c>
      <c r="L557" s="5" t="s">
        <v>1127</v>
      </c>
      <c r="M557" s="3">
        <f t="shared" si="46"/>
        <v>3.3466666587628424E-2</v>
      </c>
      <c r="N557" s="3">
        <f t="shared" si="46"/>
        <v>-1.8500000005587935E-2</v>
      </c>
      <c r="O557" s="3">
        <f t="shared" si="42"/>
        <v>5.2666666666709716E-3</v>
      </c>
      <c r="P557">
        <f t="shared" si="43"/>
        <v>1.1200177724874848E-3</v>
      </c>
      <c r="Q557">
        <f t="shared" si="43"/>
        <v>3.4225000020675361E-4</v>
      </c>
      <c r="R557">
        <f t="shared" si="43"/>
        <v>2.7737777777823123E-5</v>
      </c>
      <c r="S557">
        <f t="shared" si="44"/>
        <v>1.4622677726942384E-3</v>
      </c>
      <c r="T557">
        <f t="shared" si="45"/>
        <v>3.8239609996628343E-2</v>
      </c>
    </row>
    <row r="558" spans="1:20" x14ac:dyDescent="0.3">
      <c r="A558" s="2" t="s">
        <v>1165</v>
      </c>
      <c r="B558" s="4" t="s">
        <v>1128</v>
      </c>
      <c r="C558" s="2" t="s">
        <v>1114</v>
      </c>
      <c r="D558" s="2" t="s">
        <v>63</v>
      </c>
      <c r="E558" s="3">
        <v>557917.29786666669</v>
      </c>
      <c r="F558" s="3">
        <v>191406.39706666666</v>
      </c>
      <c r="G558" s="3">
        <v>68.25</v>
      </c>
      <c r="J558" s="5" t="s">
        <v>1129</v>
      </c>
      <c r="K558" s="5" t="s">
        <v>1130</v>
      </c>
      <c r="L558" s="5" t="s">
        <v>1127</v>
      </c>
      <c r="M558" s="3">
        <f t="shared" si="46"/>
        <v>1.6033333260565996E-2</v>
      </c>
      <c r="N558" s="3">
        <f t="shared" si="46"/>
        <v>-8.1666666665114462E-3</v>
      </c>
      <c r="O558" s="3">
        <f t="shared" si="42"/>
        <v>5.1599999999993429E-2</v>
      </c>
      <c r="P558">
        <f t="shared" si="43"/>
        <v>2.5706777544437184E-4</v>
      </c>
      <c r="Q558">
        <f t="shared" si="43"/>
        <v>6.6694444441909174E-5</v>
      </c>
      <c r="R558">
        <f t="shared" si="43"/>
        <v>2.6625599999993217E-3</v>
      </c>
      <c r="S558">
        <f t="shared" si="44"/>
        <v>3.2376221988628101E-4</v>
      </c>
      <c r="T558">
        <f t="shared" si="45"/>
        <v>1.7993393784561072E-2</v>
      </c>
    </row>
    <row r="559" spans="1:20" x14ac:dyDescent="0.3">
      <c r="A559" s="2" t="s">
        <v>1165</v>
      </c>
      <c r="B559" s="4" t="s">
        <v>1128</v>
      </c>
      <c r="C559" s="2" t="s">
        <v>1114</v>
      </c>
      <c r="D559" s="2" t="s">
        <v>30</v>
      </c>
      <c r="E559" s="3">
        <v>557917.27813333331</v>
      </c>
      <c r="F559" s="3">
        <v>191406.40256666669</v>
      </c>
      <c r="G559" s="3">
        <v>68.200333333333333</v>
      </c>
      <c r="J559" s="5" t="s">
        <v>1129</v>
      </c>
      <c r="K559" s="5" t="s">
        <v>1130</v>
      </c>
      <c r="L559" s="5" t="s">
        <v>1127</v>
      </c>
      <c r="M559" s="3">
        <f t="shared" si="46"/>
        <v>3.5766666638664901E-2</v>
      </c>
      <c r="N559" s="3">
        <f t="shared" si="46"/>
        <v>-1.3666666694916785E-2</v>
      </c>
      <c r="O559" s="3">
        <f t="shared" si="42"/>
        <v>1.9333333333264591E-3</v>
      </c>
      <c r="P559">
        <f t="shared" si="43"/>
        <v>1.2792544424413848E-3</v>
      </c>
      <c r="Q559">
        <f t="shared" si="43"/>
        <v>1.8677777854994766E-4</v>
      </c>
      <c r="R559">
        <f t="shared" si="43"/>
        <v>3.7377777777511973E-6</v>
      </c>
      <c r="S559">
        <f t="shared" si="44"/>
        <v>1.4660322209913324E-3</v>
      </c>
      <c r="T559">
        <f t="shared" si="45"/>
        <v>3.8288800203079391E-2</v>
      </c>
    </row>
    <row r="560" spans="1:20" x14ac:dyDescent="0.3">
      <c r="A560" s="2" t="s">
        <v>1165</v>
      </c>
      <c r="B560" s="4" t="s">
        <v>1128</v>
      </c>
      <c r="C560" s="2" t="s">
        <v>1114</v>
      </c>
      <c r="D560" s="2" t="s">
        <v>52</v>
      </c>
      <c r="E560" s="3">
        <v>557917.30006666668</v>
      </c>
      <c r="F560" s="3">
        <v>191406.39533333332</v>
      </c>
      <c r="G560" s="3">
        <v>68.182999999999993</v>
      </c>
      <c r="J560" s="5" t="s">
        <v>1129</v>
      </c>
      <c r="K560" s="5" t="s">
        <v>1130</v>
      </c>
      <c r="L560" s="5" t="s">
        <v>1127</v>
      </c>
      <c r="M560" s="3">
        <f t="shared" si="46"/>
        <v>1.3833333272486925E-2</v>
      </c>
      <c r="N560" s="3">
        <f t="shared" si="46"/>
        <v>-6.4333333284594119E-3</v>
      </c>
      <c r="O560" s="3">
        <f t="shared" si="42"/>
        <v>1.5400000000013847E-2</v>
      </c>
      <c r="P560">
        <f t="shared" si="43"/>
        <v>1.9136110942769382E-4</v>
      </c>
      <c r="Q560">
        <f t="shared" si="43"/>
        <v>4.1387777715066651E-5</v>
      </c>
      <c r="R560">
        <f t="shared" si="43"/>
        <v>2.3716000000042648E-4</v>
      </c>
      <c r="S560">
        <f t="shared" si="44"/>
        <v>2.3274888714276047E-4</v>
      </c>
      <c r="T560">
        <f t="shared" si="45"/>
        <v>1.5256109829925861E-2</v>
      </c>
    </row>
    <row r="561" spans="1:20" x14ac:dyDescent="0.3">
      <c r="A561" s="2" t="s">
        <v>1165</v>
      </c>
      <c r="B561" s="4" t="s">
        <v>1128</v>
      </c>
      <c r="C561" s="2" t="s">
        <v>1120</v>
      </c>
      <c r="D561" s="4" t="s">
        <v>1019</v>
      </c>
      <c r="E561" s="3">
        <v>557918.16460000002</v>
      </c>
      <c r="F561" s="3">
        <v>191455.38450000001</v>
      </c>
      <c r="G561" s="3">
        <v>68.317000000000007</v>
      </c>
      <c r="J561" s="5" t="s">
        <v>1129</v>
      </c>
      <c r="K561" s="5" t="s">
        <v>1130</v>
      </c>
      <c r="L561" s="5" t="s">
        <v>1127</v>
      </c>
      <c r="M561" s="3">
        <f t="shared" si="46"/>
        <v>-0.85070000006817281</v>
      </c>
      <c r="N561" s="3">
        <f t="shared" si="46"/>
        <v>-48.995600000023842</v>
      </c>
      <c r="O561" s="3">
        <f t="shared" si="42"/>
        <v>0.1186000000000007</v>
      </c>
      <c r="P561">
        <f t="shared" si="43"/>
        <v>0.72369049011598918</v>
      </c>
      <c r="Q561">
        <f t="shared" si="43"/>
        <v>2400.5688193623364</v>
      </c>
      <c r="R561">
        <f t="shared" si="43"/>
        <v>1.4065960000000167E-2</v>
      </c>
      <c r="S561">
        <f t="shared" si="44"/>
        <v>2401.2925098524524</v>
      </c>
      <c r="T561">
        <f t="shared" si="45"/>
        <v>49.00298470351018</v>
      </c>
    </row>
    <row r="562" spans="1:20" x14ac:dyDescent="0.3">
      <c r="A562" s="2" t="s">
        <v>1165</v>
      </c>
      <c r="B562" s="4" t="s">
        <v>1128</v>
      </c>
      <c r="C562" s="2" t="s">
        <v>1120</v>
      </c>
      <c r="D562" s="4" t="s">
        <v>423</v>
      </c>
      <c r="E562" s="3">
        <v>557917.25053333328</v>
      </c>
      <c r="F562" s="3">
        <v>191406.36776666666</v>
      </c>
      <c r="G562" s="3">
        <v>68.359666666666669</v>
      </c>
      <c r="J562" s="5" t="s">
        <v>1129</v>
      </c>
      <c r="K562" s="5" t="s">
        <v>1130</v>
      </c>
      <c r="L562" s="5" t="s">
        <v>1127</v>
      </c>
      <c r="M562" s="3">
        <f t="shared" si="46"/>
        <v>6.3366666669026017E-2</v>
      </c>
      <c r="N562" s="3">
        <f t="shared" si="46"/>
        <v>2.1133333328180015E-2</v>
      </c>
      <c r="O562" s="3">
        <f t="shared" si="42"/>
        <v>0.16126666666666267</v>
      </c>
      <c r="P562">
        <f t="shared" si="43"/>
        <v>4.0153344447434527E-3</v>
      </c>
      <c r="Q562">
        <f t="shared" si="43"/>
        <v>4.4661777755996418E-4</v>
      </c>
      <c r="R562">
        <f t="shared" si="43"/>
        <v>2.600693777777649E-2</v>
      </c>
      <c r="S562">
        <f t="shared" si="44"/>
        <v>4.4619522223034169E-3</v>
      </c>
      <c r="T562">
        <f t="shared" si="45"/>
        <v>6.6797845940594652E-2</v>
      </c>
    </row>
    <row r="563" spans="1:20" x14ac:dyDescent="0.3">
      <c r="A563" s="2" t="s">
        <v>1165</v>
      </c>
      <c r="B563" s="4" t="s">
        <v>1131</v>
      </c>
      <c r="C563" s="2" t="s">
        <v>1108</v>
      </c>
      <c r="D563" s="2" t="s">
        <v>30</v>
      </c>
      <c r="E563" s="8">
        <v>557546.01436666667</v>
      </c>
      <c r="F563" s="8">
        <v>158979.47236666665</v>
      </c>
      <c r="G563" s="3">
        <v>30.790333333333333</v>
      </c>
      <c r="J563" s="5" t="s">
        <v>1134</v>
      </c>
      <c r="K563" s="5" t="s">
        <v>1135</v>
      </c>
      <c r="L563" s="5" t="s">
        <v>1132</v>
      </c>
      <c r="M563" s="3">
        <f t="shared" si="46"/>
        <v>1.8033333355560899E-2</v>
      </c>
      <c r="N563" s="3">
        <f t="shared" si="46"/>
        <v>-1.2866666656918824E-2</v>
      </c>
      <c r="O563" s="3">
        <f t="shared" si="42"/>
        <v>1.3266666666666538E-2</v>
      </c>
      <c r="P563">
        <f t="shared" si="43"/>
        <v>3.2520111191278531E-4</v>
      </c>
      <c r="Q563">
        <f t="shared" si="43"/>
        <v>1.6555111086026661E-4</v>
      </c>
      <c r="R563">
        <f t="shared" si="43"/>
        <v>1.7600444444444103E-4</v>
      </c>
      <c r="S563">
        <f t="shared" si="44"/>
        <v>4.9075222277305186E-4</v>
      </c>
      <c r="T563">
        <f t="shared" si="45"/>
        <v>2.215292808576446E-2</v>
      </c>
    </row>
    <row r="564" spans="1:20" x14ac:dyDescent="0.3">
      <c r="A564" s="2" t="s">
        <v>1165</v>
      </c>
      <c r="B564" s="4" t="s">
        <v>1131</v>
      </c>
      <c r="C564" s="2" t="s">
        <v>1108</v>
      </c>
      <c r="D564" s="2" t="s">
        <v>1112</v>
      </c>
      <c r="E564" s="8">
        <v>557546.02223333332</v>
      </c>
      <c r="F564" s="8">
        <v>158979.47219999999</v>
      </c>
      <c r="G564" s="3">
        <v>30.792333333333332</v>
      </c>
      <c r="J564" s="5" t="s">
        <v>1134</v>
      </c>
      <c r="K564" s="5" t="s">
        <v>1135</v>
      </c>
      <c r="L564" s="5" t="s">
        <v>1132</v>
      </c>
      <c r="M564" s="3">
        <f t="shared" si="46"/>
        <v>1.0166666703298688E-2</v>
      </c>
      <c r="N564" s="3">
        <f t="shared" si="46"/>
        <v>-1.2699999992037192E-2</v>
      </c>
      <c r="O564" s="3">
        <f t="shared" si="42"/>
        <v>1.1266666666667646E-2</v>
      </c>
      <c r="P564">
        <f t="shared" si="43"/>
        <v>1.0336111185596221E-4</v>
      </c>
      <c r="Q564">
        <f t="shared" si="43"/>
        <v>1.6128999979774468E-4</v>
      </c>
      <c r="R564">
        <f t="shared" si="43"/>
        <v>1.2693777777779986E-4</v>
      </c>
      <c r="S564">
        <f t="shared" si="44"/>
        <v>2.6465111165370687E-4</v>
      </c>
      <c r="T564">
        <f t="shared" si="45"/>
        <v>1.6268101046333184E-2</v>
      </c>
    </row>
    <row r="565" spans="1:20" x14ac:dyDescent="0.3">
      <c r="A565" s="2" t="s">
        <v>1165</v>
      </c>
      <c r="B565" s="4" t="s">
        <v>1133</v>
      </c>
      <c r="C565" s="2" t="s">
        <v>1108</v>
      </c>
      <c r="D565" s="2" t="s">
        <v>110</v>
      </c>
      <c r="E565" s="8">
        <v>557546.02769999998</v>
      </c>
      <c r="F565" s="8">
        <v>158979.47123333334</v>
      </c>
      <c r="G565" s="3">
        <v>30.797666666666668</v>
      </c>
      <c r="J565" s="5" t="s">
        <v>1134</v>
      </c>
      <c r="K565" s="5" t="s">
        <v>1135</v>
      </c>
      <c r="L565" s="5" t="s">
        <v>1132</v>
      </c>
      <c r="M565" s="3">
        <f t="shared" si="46"/>
        <v>4.7000000486150384E-3</v>
      </c>
      <c r="N565" s="3">
        <f t="shared" si="46"/>
        <v>-1.173333334736526E-2</v>
      </c>
      <c r="O565" s="3">
        <f t="shared" si="42"/>
        <v>5.9333333333313476E-3</v>
      </c>
      <c r="P565">
        <f t="shared" si="43"/>
        <v>2.2090000456981363E-5</v>
      </c>
      <c r="Q565">
        <f t="shared" si="43"/>
        <v>1.3767111144039366E-4</v>
      </c>
      <c r="R565">
        <f t="shared" si="43"/>
        <v>3.5204444444420879E-5</v>
      </c>
      <c r="S565">
        <f t="shared" si="44"/>
        <v>1.5976111189737501E-4</v>
      </c>
      <c r="T565">
        <f t="shared" si="45"/>
        <v>1.2639664231987138E-2</v>
      </c>
    </row>
    <row r="566" spans="1:20" x14ac:dyDescent="0.3">
      <c r="A566" s="2" t="s">
        <v>1165</v>
      </c>
      <c r="B566" s="4" t="s">
        <v>1133</v>
      </c>
      <c r="C566" s="2" t="s">
        <v>1108</v>
      </c>
      <c r="D566" s="2" t="s">
        <v>37</v>
      </c>
      <c r="E566" s="8">
        <v>557546.03949999996</v>
      </c>
      <c r="F566" s="8">
        <v>158979.47183333334</v>
      </c>
      <c r="G566" s="3">
        <v>30.77333333333333</v>
      </c>
      <c r="J566" s="5" t="s">
        <v>1134</v>
      </c>
      <c r="K566" s="5" t="s">
        <v>1135</v>
      </c>
      <c r="L566" s="5" t="s">
        <v>1132</v>
      </c>
      <c r="M566" s="3">
        <f t="shared" si="46"/>
        <v>-7.0999999297782779E-3</v>
      </c>
      <c r="N566" s="3">
        <f t="shared" si="46"/>
        <v>-1.23333333467599E-2</v>
      </c>
      <c r="O566" s="3">
        <f t="shared" si="42"/>
        <v>3.0266666666669551E-2</v>
      </c>
      <c r="P566">
        <f t="shared" si="43"/>
        <v>5.0409999002851551E-5</v>
      </c>
      <c r="Q566">
        <f t="shared" si="43"/>
        <v>1.5211111144229977E-4</v>
      </c>
      <c r="R566">
        <f t="shared" si="43"/>
        <v>9.1607111111128572E-4</v>
      </c>
      <c r="S566">
        <f t="shared" si="44"/>
        <v>2.0252111044515134E-4</v>
      </c>
      <c r="T566">
        <f t="shared" si="45"/>
        <v>1.4230991196861564E-2</v>
      </c>
    </row>
    <row r="567" spans="1:20" x14ac:dyDescent="0.3">
      <c r="A567" s="2" t="s">
        <v>1165</v>
      </c>
      <c r="B567" s="4" t="s">
        <v>1133</v>
      </c>
      <c r="C567" s="2" t="s">
        <v>1108</v>
      </c>
      <c r="D567" s="2" t="s">
        <v>46</v>
      </c>
      <c r="E567" s="8">
        <v>557546.03413333336</v>
      </c>
      <c r="F567" s="8">
        <v>158979.47286666665</v>
      </c>
      <c r="G567" s="3">
        <v>30.796333333333333</v>
      </c>
      <c r="J567" s="5" t="s">
        <v>1134</v>
      </c>
      <c r="K567" s="5" t="s">
        <v>1135</v>
      </c>
      <c r="L567" s="5" t="s">
        <v>1132</v>
      </c>
      <c r="M567" s="3">
        <f t="shared" si="46"/>
        <v>-1.7333333380520344E-3</v>
      </c>
      <c r="N567" s="3">
        <f t="shared" si="46"/>
        <v>-1.3366666651563719E-2</v>
      </c>
      <c r="O567" s="3">
        <f t="shared" si="42"/>
        <v>7.2666666666663104E-3</v>
      </c>
      <c r="P567">
        <f t="shared" si="43"/>
        <v>3.0044444608026081E-6</v>
      </c>
      <c r="Q567">
        <f t="shared" si="43"/>
        <v>1.7866777737402564E-4</v>
      </c>
      <c r="R567">
        <f t="shared" si="43"/>
        <v>5.2804444444439271E-5</v>
      </c>
      <c r="S567">
        <f t="shared" si="44"/>
        <v>1.8167222183482825E-4</v>
      </c>
      <c r="T567">
        <f t="shared" si="45"/>
        <v>1.3478583821560345E-2</v>
      </c>
    </row>
    <row r="568" spans="1:20" x14ac:dyDescent="0.3">
      <c r="A568" s="2" t="s">
        <v>1165</v>
      </c>
      <c r="B568" s="4" t="s">
        <v>1133</v>
      </c>
      <c r="C568" s="2" t="s">
        <v>1114</v>
      </c>
      <c r="D568" s="2" t="s">
        <v>63</v>
      </c>
      <c r="E568" s="8">
        <v>557546.03346666659</v>
      </c>
      <c r="F568" s="8">
        <v>158979.47990000001</v>
      </c>
      <c r="G568" s="3">
        <v>30.798666666666666</v>
      </c>
      <c r="J568" s="5" t="s">
        <v>1134</v>
      </c>
      <c r="K568" s="5" t="s">
        <v>1135</v>
      </c>
      <c r="L568" s="5" t="s">
        <v>1132</v>
      </c>
      <c r="M568" s="3">
        <f t="shared" si="46"/>
        <v>-1.0666665621101856E-3</v>
      </c>
      <c r="N568" s="3">
        <f t="shared" si="46"/>
        <v>-2.0400000008521602E-2</v>
      </c>
      <c r="O568" s="3">
        <f t="shared" si="42"/>
        <v>4.9333333333336782E-3</v>
      </c>
      <c r="P568">
        <f t="shared" si="43"/>
        <v>1.1377775547239625E-6</v>
      </c>
      <c r="Q568">
        <f t="shared" si="43"/>
        <v>4.1616000034768136E-4</v>
      </c>
      <c r="R568">
        <f t="shared" si="43"/>
        <v>2.433777777778118E-5</v>
      </c>
      <c r="S568">
        <f t="shared" si="44"/>
        <v>4.1729777790240532E-4</v>
      </c>
      <c r="T568">
        <f t="shared" si="45"/>
        <v>2.0427867678796171E-2</v>
      </c>
    </row>
    <row r="569" spans="1:20" x14ac:dyDescent="0.3">
      <c r="A569" s="2" t="s">
        <v>1165</v>
      </c>
      <c r="B569" s="4" t="s">
        <v>1133</v>
      </c>
      <c r="C569" s="2" t="s">
        <v>1114</v>
      </c>
      <c r="D569" s="2" t="s">
        <v>30</v>
      </c>
      <c r="E569" s="8">
        <v>557546.02649999992</v>
      </c>
      <c r="F569" s="8">
        <v>158979.47353333334</v>
      </c>
      <c r="G569" s="3">
        <v>30.798333333333332</v>
      </c>
      <c r="J569" s="5" t="s">
        <v>1134</v>
      </c>
      <c r="K569" s="5" t="s">
        <v>1135</v>
      </c>
      <c r="L569" s="5" t="s">
        <v>1132</v>
      </c>
      <c r="M569" s="3">
        <f t="shared" si="46"/>
        <v>5.90000010561198E-3</v>
      </c>
      <c r="N569" s="3">
        <f t="shared" si="46"/>
        <v>-1.4033333340194076E-2</v>
      </c>
      <c r="O569" s="3">
        <f t="shared" si="42"/>
        <v>5.2666666666674189E-3</v>
      </c>
      <c r="P569">
        <f t="shared" si="43"/>
        <v>3.4810001246221375E-5</v>
      </c>
      <c r="Q569">
        <f t="shared" si="43"/>
        <v>1.9693444463700263E-4</v>
      </c>
      <c r="R569">
        <f t="shared" si="43"/>
        <v>2.7737777777785701E-5</v>
      </c>
      <c r="S569">
        <f t="shared" si="44"/>
        <v>2.3174444588322399E-4</v>
      </c>
      <c r="T569">
        <f t="shared" si="45"/>
        <v>1.5223154925416215E-2</v>
      </c>
    </row>
    <row r="570" spans="1:20" x14ac:dyDescent="0.3">
      <c r="A570" s="2" t="s">
        <v>1165</v>
      </c>
      <c r="B570" s="4" t="s">
        <v>1133</v>
      </c>
      <c r="C570" s="2" t="s">
        <v>1114</v>
      </c>
      <c r="D570" s="2" t="s">
        <v>52</v>
      </c>
      <c r="E570" s="8">
        <v>557546.01883333328</v>
      </c>
      <c r="F570" s="8">
        <v>158979.46950000001</v>
      </c>
      <c r="G570" s="3">
        <v>30.843666666666667</v>
      </c>
      <c r="J570" s="5" t="s">
        <v>1134</v>
      </c>
      <c r="K570" s="5" t="s">
        <v>1135</v>
      </c>
      <c r="L570" s="5" t="s">
        <v>1132</v>
      </c>
      <c r="M570" s="3">
        <f t="shared" si="46"/>
        <v>1.3566666748374701E-2</v>
      </c>
      <c r="N570" s="3">
        <f t="shared" si="46"/>
        <v>-1.0000000009313226E-2</v>
      </c>
      <c r="O570" s="3">
        <f t="shared" si="42"/>
        <v>4.0066666666668027E-2</v>
      </c>
      <c r="P570">
        <f t="shared" si="43"/>
        <v>1.8405444666145577E-4</v>
      </c>
      <c r="Q570">
        <f t="shared" si="43"/>
        <v>1.0000000018626452E-4</v>
      </c>
      <c r="R570">
        <f t="shared" si="43"/>
        <v>1.6053377777778869E-3</v>
      </c>
      <c r="S570">
        <f t="shared" si="44"/>
        <v>2.8405444684772029E-4</v>
      </c>
      <c r="T570">
        <f t="shared" si="45"/>
        <v>1.6853914881941236E-2</v>
      </c>
    </row>
    <row r="571" spans="1:20" x14ac:dyDescent="0.3">
      <c r="A571" s="2" t="s">
        <v>1165</v>
      </c>
      <c r="B571" s="4" t="s">
        <v>1136</v>
      </c>
      <c r="C571" s="2" t="s">
        <v>1108</v>
      </c>
      <c r="D571" s="2" t="s">
        <v>30</v>
      </c>
      <c r="E571" s="3">
        <v>527340.3986999999</v>
      </c>
      <c r="F571" s="3">
        <v>172722.11686666668</v>
      </c>
      <c r="G571" s="3">
        <v>30.636333333333337</v>
      </c>
      <c r="J571" s="5" t="s">
        <v>1139</v>
      </c>
      <c r="K571" s="5" t="s">
        <v>1140</v>
      </c>
      <c r="L571" s="5" t="s">
        <v>1137</v>
      </c>
      <c r="M571" s="3">
        <f t="shared" si="46"/>
        <v>-1.1999999405816197E-3</v>
      </c>
      <c r="N571" s="3">
        <f t="shared" si="46"/>
        <v>1.5533333324128762E-2</v>
      </c>
      <c r="O571" s="3">
        <f t="shared" si="42"/>
        <v>5.4633333333335088E-2</v>
      </c>
      <c r="P571">
        <f t="shared" si="43"/>
        <v>1.4399998573958909E-6</v>
      </c>
      <c r="Q571">
        <f t="shared" si="43"/>
        <v>2.412844441584891E-4</v>
      </c>
      <c r="R571">
        <f t="shared" si="43"/>
        <v>2.9848011111113029E-3</v>
      </c>
      <c r="S571">
        <f t="shared" si="44"/>
        <v>2.4272444401588497E-4</v>
      </c>
      <c r="T571">
        <f t="shared" si="45"/>
        <v>1.557961629873743E-2</v>
      </c>
    </row>
    <row r="572" spans="1:20" x14ac:dyDescent="0.3">
      <c r="A572" s="2" t="s">
        <v>1165</v>
      </c>
      <c r="B572" s="4" t="s">
        <v>1136</v>
      </c>
      <c r="C572" s="2" t="s">
        <v>1108</v>
      </c>
      <c r="D572" s="2" t="s">
        <v>1112</v>
      </c>
      <c r="E572" s="3">
        <v>527340.39900000009</v>
      </c>
      <c r="F572" s="3">
        <v>172722.11869999999</v>
      </c>
      <c r="G572" s="3">
        <v>30.630666666666666</v>
      </c>
      <c r="J572" s="5" t="s">
        <v>1139</v>
      </c>
      <c r="K572" s="5" t="s">
        <v>1140</v>
      </c>
      <c r="L572" s="5" t="s">
        <v>1137</v>
      </c>
      <c r="M572" s="3">
        <f t="shared" si="46"/>
        <v>-1.5000001294538379E-3</v>
      </c>
      <c r="N572" s="3">
        <f t="shared" si="46"/>
        <v>1.3700000010430813E-2</v>
      </c>
      <c r="O572" s="3">
        <f t="shared" si="42"/>
        <v>4.8966666666665049E-2</v>
      </c>
      <c r="P572">
        <f t="shared" si="43"/>
        <v>2.2500003883615304E-6</v>
      </c>
      <c r="Q572">
        <f t="shared" si="43"/>
        <v>1.8769000028580427E-4</v>
      </c>
      <c r="R572">
        <f t="shared" si="43"/>
        <v>2.397734444444286E-3</v>
      </c>
      <c r="S572">
        <f t="shared" si="44"/>
        <v>1.8994000067416579E-4</v>
      </c>
      <c r="T572">
        <f t="shared" si="45"/>
        <v>1.3781872175947859E-2</v>
      </c>
    </row>
    <row r="573" spans="1:20" x14ac:dyDescent="0.3">
      <c r="A573" s="2" t="s">
        <v>1165</v>
      </c>
      <c r="B573" s="4" t="s">
        <v>1138</v>
      </c>
      <c r="C573" s="2" t="s">
        <v>1108</v>
      </c>
      <c r="D573" s="2" t="s">
        <v>110</v>
      </c>
      <c r="E573" s="3">
        <v>527340.40326666669</v>
      </c>
      <c r="F573" s="3">
        <v>172722.12763333332</v>
      </c>
      <c r="G573" s="3">
        <v>30.609333333333336</v>
      </c>
      <c r="J573" s="5" t="s">
        <v>1139</v>
      </c>
      <c r="K573" s="5" t="s">
        <v>1140</v>
      </c>
      <c r="L573" s="5" t="s">
        <v>1137</v>
      </c>
      <c r="M573" s="3">
        <f t="shared" si="46"/>
        <v>-5.7666667271405458E-3</v>
      </c>
      <c r="N573" s="3">
        <f t="shared" si="46"/>
        <v>4.7666666796430945E-3</v>
      </c>
      <c r="O573" s="3">
        <f t="shared" si="42"/>
        <v>2.7633333333334065E-2</v>
      </c>
      <c r="P573">
        <f t="shared" si="43"/>
        <v>3.3254445141909855E-5</v>
      </c>
      <c r="Q573">
        <f t="shared" si="43"/>
        <v>2.2721111234819724E-5</v>
      </c>
      <c r="R573">
        <f t="shared" si="43"/>
        <v>7.6360111111115157E-4</v>
      </c>
      <c r="S573">
        <f t="shared" si="44"/>
        <v>5.5975556376729578E-5</v>
      </c>
      <c r="T573">
        <f t="shared" si="45"/>
        <v>7.4816813870098465E-3</v>
      </c>
    </row>
    <row r="574" spans="1:20" x14ac:dyDescent="0.3">
      <c r="A574" s="2" t="s">
        <v>1165</v>
      </c>
      <c r="B574" s="4" t="s">
        <v>1138</v>
      </c>
      <c r="C574" s="2" t="s">
        <v>1108</v>
      </c>
      <c r="D574" s="2" t="s">
        <v>46</v>
      </c>
      <c r="E574" s="3">
        <v>527340.40819999995</v>
      </c>
      <c r="F574" s="3">
        <v>172722.11613333333</v>
      </c>
      <c r="G574" s="3">
        <v>30.585333333333335</v>
      </c>
      <c r="J574" s="5" t="s">
        <v>1139</v>
      </c>
      <c r="K574" s="5" t="s">
        <v>1140</v>
      </c>
      <c r="L574" s="5" t="s">
        <v>1137</v>
      </c>
      <c r="M574" s="3">
        <f t="shared" si="46"/>
        <v>-1.0699999984353781E-2</v>
      </c>
      <c r="N574" s="3">
        <f t="shared" si="46"/>
        <v>1.6266666672891006E-2</v>
      </c>
      <c r="O574" s="3">
        <f t="shared" si="42"/>
        <v>3.6333333333331552E-3</v>
      </c>
      <c r="P574">
        <f t="shared" si="43"/>
        <v>1.1448999966517091E-4</v>
      </c>
      <c r="Q574">
        <f t="shared" si="43"/>
        <v>2.6460444464694295E-4</v>
      </c>
      <c r="R574">
        <f t="shared" si="43"/>
        <v>1.3201111111109818E-5</v>
      </c>
      <c r="S574">
        <f t="shared" si="44"/>
        <v>3.7909444431211386E-4</v>
      </c>
      <c r="T574">
        <f t="shared" si="45"/>
        <v>1.947034782206301E-2</v>
      </c>
    </row>
    <row r="575" spans="1:20" x14ac:dyDescent="0.3">
      <c r="A575" s="2" t="s">
        <v>1165</v>
      </c>
      <c r="B575" s="4" t="s">
        <v>1138</v>
      </c>
      <c r="C575" s="2" t="s">
        <v>1114</v>
      </c>
      <c r="D575" s="2" t="s">
        <v>63</v>
      </c>
      <c r="E575">
        <v>527340.39513333328</v>
      </c>
      <c r="F575">
        <v>172722.10763333333</v>
      </c>
      <c r="G575">
        <v>30.634333333333331</v>
      </c>
      <c r="J575" s="5" t="s">
        <v>1139</v>
      </c>
      <c r="K575" s="5" t="s">
        <v>1140</v>
      </c>
      <c r="L575" s="5" t="s">
        <v>1137</v>
      </c>
      <c r="M575" s="3">
        <f t="shared" si="46"/>
        <v>2.3666666820645332E-3</v>
      </c>
      <c r="N575" s="3">
        <f t="shared" si="46"/>
        <v>2.4766666669165716E-2</v>
      </c>
      <c r="O575" s="3">
        <f t="shared" si="42"/>
        <v>5.2633333333329091E-2</v>
      </c>
      <c r="P575">
        <f t="shared" si="43"/>
        <v>5.6011111839943464E-6</v>
      </c>
      <c r="Q575">
        <f t="shared" si="43"/>
        <v>6.1338777790156398E-4</v>
      </c>
      <c r="R575">
        <f t="shared" si="43"/>
        <v>2.7702677777773311E-3</v>
      </c>
      <c r="S575">
        <f t="shared" si="44"/>
        <v>6.1898888908555833E-4</v>
      </c>
      <c r="T575">
        <f t="shared" si="45"/>
        <v>2.487948731556899E-2</v>
      </c>
    </row>
    <row r="576" spans="1:20" x14ac:dyDescent="0.3">
      <c r="A576" s="2" t="s">
        <v>1165</v>
      </c>
      <c r="B576" s="4" t="s">
        <v>1138</v>
      </c>
      <c r="C576" s="2" t="s">
        <v>1114</v>
      </c>
      <c r="D576" s="2" t="s">
        <v>30</v>
      </c>
      <c r="E576">
        <v>527340.40403333341</v>
      </c>
      <c r="F576">
        <v>172722.12913333334</v>
      </c>
      <c r="G576">
        <v>30.555999999999997</v>
      </c>
      <c r="J576" s="5" t="s">
        <v>1139</v>
      </c>
      <c r="K576" s="5" t="s">
        <v>1140</v>
      </c>
      <c r="L576" s="5" t="s">
        <v>1137</v>
      </c>
      <c r="M576" s="3">
        <f t="shared" si="46"/>
        <v>-6.5333334496244788E-3</v>
      </c>
      <c r="N576" s="3">
        <f t="shared" si="46"/>
        <v>3.2666666666045785E-3</v>
      </c>
      <c r="O576" s="3">
        <f t="shared" si="42"/>
        <v>2.5700000000004053E-2</v>
      </c>
      <c r="P576">
        <f t="shared" si="43"/>
        <v>4.2684445963982092E-5</v>
      </c>
      <c r="Q576">
        <f t="shared" si="43"/>
        <v>1.0671111110705468E-5</v>
      </c>
      <c r="R576">
        <f t="shared" si="43"/>
        <v>6.6049000000020829E-4</v>
      </c>
      <c r="S576">
        <f t="shared" si="44"/>
        <v>5.3355557074687561E-5</v>
      </c>
      <c r="T576">
        <f t="shared" si="45"/>
        <v>7.304488830485509E-3</v>
      </c>
    </row>
    <row r="577" spans="1:20" x14ac:dyDescent="0.3">
      <c r="A577" s="2" t="s">
        <v>1165</v>
      </c>
      <c r="B577" s="4" t="s">
        <v>1138</v>
      </c>
      <c r="C577" s="2" t="s">
        <v>1114</v>
      </c>
      <c r="D577" s="2" t="s">
        <v>52</v>
      </c>
      <c r="E577">
        <v>527340.41673333326</v>
      </c>
      <c r="F577">
        <v>172722.14686666665</v>
      </c>
      <c r="G577">
        <v>30.489666666666665</v>
      </c>
      <c r="J577" s="5" t="s">
        <v>1139</v>
      </c>
      <c r="K577" s="5" t="s">
        <v>1140</v>
      </c>
      <c r="L577" s="5" t="s">
        <v>1137</v>
      </c>
      <c r="M577" s="3">
        <f t="shared" si="46"/>
        <v>-1.9233333296142519E-2</v>
      </c>
      <c r="N577" s="3">
        <f t="shared" si="46"/>
        <v>-1.4466666645603254E-2</v>
      </c>
      <c r="O577" s="3">
        <f t="shared" si="42"/>
        <v>9.2033333333336742E-2</v>
      </c>
      <c r="P577">
        <f t="shared" si="43"/>
        <v>3.6992110968050442E-4</v>
      </c>
      <c r="Q577">
        <f t="shared" si="43"/>
        <v>2.0928444383500972E-4</v>
      </c>
      <c r="R577">
        <f t="shared" si="43"/>
        <v>8.4701344444450717E-3</v>
      </c>
      <c r="S577">
        <f t="shared" si="44"/>
        <v>5.7920555351551419E-4</v>
      </c>
      <c r="T577">
        <f t="shared" si="45"/>
        <v>2.406668970829836E-2</v>
      </c>
    </row>
    <row r="578" spans="1:20" x14ac:dyDescent="0.3">
      <c r="A578" s="2" t="s">
        <v>1165</v>
      </c>
      <c r="B578" s="4" t="s">
        <v>1138</v>
      </c>
      <c r="C578" s="2" t="s">
        <v>1120</v>
      </c>
      <c r="D578" s="4" t="s">
        <v>423</v>
      </c>
      <c r="E578">
        <v>527340.41756666673</v>
      </c>
      <c r="F578">
        <v>172722.13033333331</v>
      </c>
      <c r="G578">
        <v>30.620999999999999</v>
      </c>
      <c r="J578" s="5" t="s">
        <v>1139</v>
      </c>
      <c r="K578" s="5" t="s">
        <v>1140</v>
      </c>
      <c r="L578" s="5" t="s">
        <v>1137</v>
      </c>
      <c r="M578" s="3">
        <f t="shared" si="46"/>
        <v>-2.0066666766069829E-2</v>
      </c>
      <c r="N578" s="3">
        <f t="shared" si="46"/>
        <v>2.0666666969191283E-3</v>
      </c>
      <c r="O578" s="3">
        <f t="shared" si="42"/>
        <v>3.9299999999997226E-2</v>
      </c>
      <c r="P578">
        <f t="shared" si="43"/>
        <v>4.0267111510049137E-4</v>
      </c>
      <c r="Q578">
        <f t="shared" si="43"/>
        <v>4.2711112361546201E-6</v>
      </c>
      <c r="R578">
        <f t="shared" si="43"/>
        <v>1.544489999999782E-3</v>
      </c>
      <c r="S578">
        <f t="shared" si="44"/>
        <v>4.0694222633664602E-4</v>
      </c>
      <c r="T578">
        <f t="shared" si="45"/>
        <v>2.017280908392894E-2</v>
      </c>
    </row>
    <row r="579" spans="1:20" x14ac:dyDescent="0.3">
      <c r="A579" s="2" t="s">
        <v>1165</v>
      </c>
      <c r="B579" s="4" t="s">
        <v>1138</v>
      </c>
      <c r="C579" s="2" t="s">
        <v>1120</v>
      </c>
      <c r="D579" s="4" t="s">
        <v>1019</v>
      </c>
      <c r="E579">
        <v>527340.41949999996</v>
      </c>
      <c r="F579">
        <v>172722.12966666665</v>
      </c>
      <c r="G579">
        <v>30.624333333333336</v>
      </c>
      <c r="J579" s="5" t="s">
        <v>1139</v>
      </c>
      <c r="K579" s="5" t="s">
        <v>1140</v>
      </c>
      <c r="L579" s="5" t="s">
        <v>1137</v>
      </c>
      <c r="M579" s="3">
        <f t="shared" si="46"/>
        <v>-2.1999999997206032E-2</v>
      </c>
      <c r="N579" s="3">
        <f t="shared" si="46"/>
        <v>2.7333333564456552E-3</v>
      </c>
      <c r="O579" s="3">
        <f t="shared" ref="O579" si="47">ABS(L579-G579)</f>
        <v>4.2633333333334633E-2</v>
      </c>
      <c r="P579">
        <f t="shared" ref="P579:R579" si="48">POWER(M579,2)</f>
        <v>4.8399999987706541E-4</v>
      </c>
      <c r="Q579">
        <f t="shared" si="48"/>
        <v>7.4711112374584713E-6</v>
      </c>
      <c r="R579">
        <f t="shared" si="48"/>
        <v>1.8176011111112219E-3</v>
      </c>
      <c r="S579">
        <f t="shared" ref="S579" si="49">P579+Q579</f>
        <v>4.9147111111452388E-4</v>
      </c>
      <c r="T579">
        <f t="shared" ref="T579" si="50">SQRT(S579)</f>
        <v>2.2169147730901246E-2</v>
      </c>
    </row>
    <row r="580" spans="1:20" x14ac:dyDescent="0.3">
      <c r="A580" s="2" t="s">
        <v>1165</v>
      </c>
      <c r="B580" s="2" t="s">
        <v>1141</v>
      </c>
      <c r="C580" s="2" t="s">
        <v>1120</v>
      </c>
      <c r="D580" s="4" t="s">
        <v>1019</v>
      </c>
      <c r="E580">
        <v>603553.02646666672</v>
      </c>
      <c r="F580">
        <v>273458.28033333336</v>
      </c>
      <c r="G580">
        <v>302.77313333333331</v>
      </c>
      <c r="J580">
        <v>603553.03799999994</v>
      </c>
      <c r="K580">
        <v>273458.29470000003</v>
      </c>
      <c r="L580">
        <v>302.60700000000003</v>
      </c>
      <c r="M580" s="3">
        <f t="shared" ref="M580:M635" si="51">J580-E580</f>
        <v>1.1533333221450448E-2</v>
      </c>
      <c r="N580" s="3">
        <f t="shared" ref="N580:N635" si="52">K580-F580</f>
        <v>1.436666666995734E-2</v>
      </c>
      <c r="O580" s="3">
        <f t="shared" ref="O580:O635" si="53">ABS(L580-G580)</f>
        <v>0.16613333333327773</v>
      </c>
      <c r="P580">
        <f t="shared" ref="P580:P635" si="54">POWER(M580,2)</f>
        <v>1.3301777519701257E-4</v>
      </c>
      <c r="Q580">
        <f t="shared" ref="Q580:Q635" si="55">POWER(N580,2)</f>
        <v>2.064011112056631E-4</v>
      </c>
      <c r="R580">
        <f t="shared" ref="R580:R635" si="56">POWER(O580,2)</f>
        <v>2.7600284444425971E-2</v>
      </c>
      <c r="S580">
        <f t="shared" ref="S580:S635" si="57">P580+Q580</f>
        <v>3.3941888640267567E-4</v>
      </c>
      <c r="T580">
        <f t="shared" ref="T580:T635" si="58">SQRT(S580)</f>
        <v>1.842332452090761E-2</v>
      </c>
    </row>
    <row r="581" spans="1:20" x14ac:dyDescent="0.3">
      <c r="A581" s="2" t="s">
        <v>1165</v>
      </c>
      <c r="B581" s="2" t="s">
        <v>1141</v>
      </c>
      <c r="C581" s="2" t="s">
        <v>1120</v>
      </c>
      <c r="D581" s="4" t="s">
        <v>423</v>
      </c>
      <c r="E581">
        <v>603553.02509999985</v>
      </c>
      <c r="F581">
        <v>273458.28509999998</v>
      </c>
      <c r="G581">
        <v>302.78379999999999</v>
      </c>
      <c r="J581">
        <v>603553.03799999994</v>
      </c>
      <c r="K581">
        <v>273458.29470000003</v>
      </c>
      <c r="L581">
        <v>302.60700000000003</v>
      </c>
      <c r="M581" s="3">
        <f t="shared" si="51"/>
        <v>1.2900000088848174E-2</v>
      </c>
      <c r="N581" s="3">
        <f t="shared" si="52"/>
        <v>9.6000000485219061E-3</v>
      </c>
      <c r="O581" s="3">
        <f t="shared" si="53"/>
        <v>0.17679999999995744</v>
      </c>
      <c r="P581">
        <f t="shared" si="54"/>
        <v>1.6641000229228287E-4</v>
      </c>
      <c r="Q581">
        <f t="shared" si="55"/>
        <v>9.2160000931620597E-5</v>
      </c>
      <c r="R581">
        <f t="shared" si="56"/>
        <v>3.1258239999984949E-2</v>
      </c>
      <c r="S581">
        <f t="shared" si="57"/>
        <v>2.5857000322390347E-4</v>
      </c>
      <c r="T581">
        <f t="shared" si="58"/>
        <v>1.6080112040153933E-2</v>
      </c>
    </row>
    <row r="582" spans="1:20" x14ac:dyDescent="0.3">
      <c r="A582" s="2" t="s">
        <v>1165</v>
      </c>
      <c r="B582" s="2" t="s">
        <v>1141</v>
      </c>
      <c r="C582" s="2" t="s">
        <v>1108</v>
      </c>
      <c r="D582" s="2" t="s">
        <v>30</v>
      </c>
      <c r="E582">
        <v>603553.04029999999</v>
      </c>
      <c r="F582">
        <v>273458.29536666669</v>
      </c>
      <c r="G582">
        <v>302.61966666666666</v>
      </c>
      <c r="J582">
        <v>603553.03799999994</v>
      </c>
      <c r="K582">
        <v>273458.29470000003</v>
      </c>
      <c r="L582">
        <v>302.60700000000003</v>
      </c>
      <c r="M582" s="3">
        <f t="shared" si="51"/>
        <v>-2.3000000510364771E-3</v>
      </c>
      <c r="N582" s="3">
        <f t="shared" si="52"/>
        <v>-6.6666665952652693E-4</v>
      </c>
      <c r="O582" s="3">
        <f t="shared" si="53"/>
        <v>1.2666666666632409E-2</v>
      </c>
      <c r="P582">
        <f t="shared" si="54"/>
        <v>5.2900002347677972E-6</v>
      </c>
      <c r="Q582">
        <f t="shared" si="55"/>
        <v>4.4444443492425818E-7</v>
      </c>
      <c r="R582">
        <f t="shared" si="56"/>
        <v>1.604444444435766E-4</v>
      </c>
      <c r="S582">
        <f t="shared" si="57"/>
        <v>5.7344446696920554E-6</v>
      </c>
      <c r="T582">
        <f t="shared" si="58"/>
        <v>2.3946700544526076E-3</v>
      </c>
    </row>
    <row r="583" spans="1:20" x14ac:dyDescent="0.3">
      <c r="A583" s="2" t="s">
        <v>1165</v>
      </c>
      <c r="B583" s="2" t="s">
        <v>1141</v>
      </c>
      <c r="C583" s="2" t="s">
        <v>1108</v>
      </c>
      <c r="D583" s="2" t="s">
        <v>1112</v>
      </c>
      <c r="E583">
        <v>603553.03610000003</v>
      </c>
      <c r="F583">
        <v>273458.29116666666</v>
      </c>
      <c r="G583">
        <v>302.61006666666668</v>
      </c>
      <c r="J583">
        <v>603553.03799999994</v>
      </c>
      <c r="K583">
        <v>273458.29470000003</v>
      </c>
      <c r="L583">
        <v>302.60700000000003</v>
      </c>
      <c r="M583" s="3">
        <f t="shared" si="51"/>
        <v>1.8999999156221747E-3</v>
      </c>
      <c r="N583" s="3">
        <f t="shared" si="52"/>
        <v>3.5333333653397858E-3</v>
      </c>
      <c r="O583" s="3">
        <f t="shared" si="53"/>
        <v>3.0666666666547826E-3</v>
      </c>
      <c r="P583">
        <f t="shared" si="54"/>
        <v>3.6099996793642711E-6</v>
      </c>
      <c r="Q583">
        <f t="shared" si="55"/>
        <v>1.2484444670623376E-5</v>
      </c>
      <c r="R583">
        <f t="shared" si="56"/>
        <v>9.4044444443715561E-6</v>
      </c>
      <c r="S583">
        <f t="shared" si="57"/>
        <v>1.6094444349987647E-5</v>
      </c>
      <c r="T583">
        <f t="shared" si="58"/>
        <v>4.0117881736187978E-3</v>
      </c>
    </row>
    <row r="584" spans="1:20" x14ac:dyDescent="0.3">
      <c r="A584" s="2" t="s">
        <v>1165</v>
      </c>
      <c r="B584" s="2" t="s">
        <v>1141</v>
      </c>
      <c r="C584" s="2" t="s">
        <v>1108</v>
      </c>
      <c r="D584" s="2" t="s">
        <v>110</v>
      </c>
      <c r="E584">
        <v>603553.04489999998</v>
      </c>
      <c r="F584">
        <v>273458.29096666671</v>
      </c>
      <c r="G584">
        <v>302.63240000000002</v>
      </c>
      <c r="J584">
        <v>603553.03799999994</v>
      </c>
      <c r="K584">
        <v>273458.29470000003</v>
      </c>
      <c r="L584">
        <v>302.60700000000003</v>
      </c>
      <c r="M584" s="3">
        <f t="shared" si="51"/>
        <v>-6.9000000366941094E-3</v>
      </c>
      <c r="N584" s="3">
        <f t="shared" si="52"/>
        <v>3.7333333166316152E-3</v>
      </c>
      <c r="O584" s="3">
        <f t="shared" si="53"/>
        <v>2.5399999999990541E-2</v>
      </c>
      <c r="P584">
        <f t="shared" si="54"/>
        <v>4.7610000506378712E-5</v>
      </c>
      <c r="Q584">
        <f t="shared" si="55"/>
        <v>1.3937777653071616E-5</v>
      </c>
      <c r="R584">
        <f t="shared" si="56"/>
        <v>6.4515999999951946E-4</v>
      </c>
      <c r="S584">
        <f t="shared" si="57"/>
        <v>6.1547778159450327E-5</v>
      </c>
      <c r="T584">
        <f t="shared" si="58"/>
        <v>7.8452392034564708E-3</v>
      </c>
    </row>
    <row r="585" spans="1:20" x14ac:dyDescent="0.3">
      <c r="A585" s="2" t="s">
        <v>1165</v>
      </c>
      <c r="B585" s="2" t="s">
        <v>1141</v>
      </c>
      <c r="C585" s="2" t="s">
        <v>1108</v>
      </c>
      <c r="D585" s="2" t="s">
        <v>37</v>
      </c>
      <c r="E585">
        <v>603553.0344</v>
      </c>
      <c r="F585">
        <v>273458.29203333333</v>
      </c>
      <c r="G585">
        <v>302.65299999999996</v>
      </c>
      <c r="J585">
        <v>603553.03799999994</v>
      </c>
      <c r="K585">
        <v>273458.29470000003</v>
      </c>
      <c r="L585">
        <v>302.60700000000003</v>
      </c>
      <c r="M585" s="3">
        <f t="shared" si="51"/>
        <v>3.599999938160181E-3</v>
      </c>
      <c r="N585" s="3">
        <f t="shared" si="52"/>
        <v>2.6666666963137686E-3</v>
      </c>
      <c r="O585" s="3">
        <f t="shared" si="53"/>
        <v>4.5999999999935426E-2</v>
      </c>
      <c r="P585">
        <f t="shared" si="54"/>
        <v>1.2959999554753307E-5</v>
      </c>
      <c r="Q585">
        <f t="shared" si="55"/>
        <v>7.1111112692289891E-6</v>
      </c>
      <c r="R585">
        <f t="shared" si="56"/>
        <v>2.1159999999940593E-3</v>
      </c>
      <c r="S585">
        <f t="shared" si="57"/>
        <v>2.0071110823982296E-5</v>
      </c>
      <c r="T585">
        <f t="shared" si="58"/>
        <v>4.4800793323313253E-3</v>
      </c>
    </row>
    <row r="586" spans="1:20" x14ac:dyDescent="0.3">
      <c r="A586" s="2" t="s">
        <v>1165</v>
      </c>
      <c r="B586" s="2" t="s">
        <v>1141</v>
      </c>
      <c r="C586" s="2" t="s">
        <v>1108</v>
      </c>
      <c r="D586" s="2" t="s">
        <v>46</v>
      </c>
      <c r="E586">
        <v>603553.03063333326</v>
      </c>
      <c r="F586">
        <v>273458.29363333335</v>
      </c>
      <c r="G586">
        <v>302.65866666666665</v>
      </c>
      <c r="J586">
        <v>603553.03799999994</v>
      </c>
      <c r="K586">
        <v>273458.29470000003</v>
      </c>
      <c r="L586">
        <v>302.60700000000003</v>
      </c>
      <c r="M586" s="3">
        <f t="shared" si="51"/>
        <v>7.3666666867211461E-3</v>
      </c>
      <c r="N586" s="3">
        <f t="shared" si="52"/>
        <v>1.0666666785255075E-3</v>
      </c>
      <c r="O586" s="3">
        <f t="shared" si="53"/>
        <v>5.1666666666619676E-2</v>
      </c>
      <c r="P586">
        <f t="shared" si="54"/>
        <v>5.4267778073247109E-5</v>
      </c>
      <c r="Q586">
        <f t="shared" si="55"/>
        <v>1.1377778030766383E-6</v>
      </c>
      <c r="R586">
        <f t="shared" si="56"/>
        <v>2.6694444444395888E-3</v>
      </c>
      <c r="S586">
        <f t="shared" si="57"/>
        <v>5.5405555876323747E-5</v>
      </c>
      <c r="T586">
        <f t="shared" si="58"/>
        <v>7.4434908394061822E-3</v>
      </c>
    </row>
    <row r="587" spans="1:20" x14ac:dyDescent="0.3">
      <c r="A587" s="2" t="s">
        <v>1165</v>
      </c>
      <c r="B587" s="2" t="s">
        <v>1141</v>
      </c>
      <c r="C587" s="2" t="s">
        <v>1114</v>
      </c>
      <c r="D587" s="2" t="s">
        <v>63</v>
      </c>
      <c r="E587">
        <v>603553.01986666664</v>
      </c>
      <c r="F587">
        <v>273458.283</v>
      </c>
      <c r="G587">
        <v>302.60836666666665</v>
      </c>
      <c r="J587">
        <v>603553.03799999994</v>
      </c>
      <c r="K587">
        <v>273458.29470000003</v>
      </c>
      <c r="L587">
        <v>302.60700000000003</v>
      </c>
      <c r="M587" s="3">
        <f t="shared" si="51"/>
        <v>1.8133333302102983E-2</v>
      </c>
      <c r="N587" s="3">
        <f t="shared" si="52"/>
        <v>1.1700000031851232E-2</v>
      </c>
      <c r="O587" s="3">
        <f t="shared" si="53"/>
        <v>1.3666666666267702E-3</v>
      </c>
      <c r="P587">
        <f t="shared" si="54"/>
        <v>3.2881777664515706E-4</v>
      </c>
      <c r="Q587">
        <f t="shared" si="55"/>
        <v>1.3689000074531882E-4</v>
      </c>
      <c r="R587">
        <f t="shared" si="56"/>
        <v>1.8677777776687273E-6</v>
      </c>
      <c r="S587">
        <f t="shared" si="57"/>
        <v>4.6570777739047588E-4</v>
      </c>
      <c r="T587">
        <f t="shared" si="58"/>
        <v>2.1580263607993203E-2</v>
      </c>
    </row>
    <row r="588" spans="1:20" x14ac:dyDescent="0.3">
      <c r="A588" s="2" t="s">
        <v>1165</v>
      </c>
      <c r="B588" s="2" t="s">
        <v>1141</v>
      </c>
      <c r="C588" s="2" t="s">
        <v>1114</v>
      </c>
      <c r="D588" s="2" t="s">
        <v>30</v>
      </c>
      <c r="E588">
        <v>603553.02549999999</v>
      </c>
      <c r="F588">
        <v>273458.30050000001</v>
      </c>
      <c r="G588">
        <v>302.65309999999999</v>
      </c>
      <c r="J588">
        <v>603553.03799999994</v>
      </c>
      <c r="K588">
        <v>273458.29470000003</v>
      </c>
      <c r="L588">
        <v>302.60700000000003</v>
      </c>
      <c r="M588" s="3">
        <f t="shared" si="51"/>
        <v>1.2499999953433871E-2</v>
      </c>
      <c r="N588" s="3">
        <f t="shared" si="52"/>
        <v>-5.799999984446913E-3</v>
      </c>
      <c r="O588" s="3">
        <f t="shared" si="53"/>
        <v>4.6099999999967167E-2</v>
      </c>
      <c r="P588">
        <f t="shared" si="54"/>
        <v>1.5624999883584678E-4</v>
      </c>
      <c r="Q588">
        <f t="shared" si="55"/>
        <v>3.3639999819584188E-5</v>
      </c>
      <c r="R588">
        <f t="shared" si="56"/>
        <v>2.1252099999969727E-3</v>
      </c>
      <c r="S588">
        <f t="shared" si="57"/>
        <v>1.8988999865543097E-4</v>
      </c>
      <c r="T588">
        <f t="shared" si="58"/>
        <v>1.3780058006243332E-2</v>
      </c>
    </row>
    <row r="589" spans="1:20" x14ac:dyDescent="0.3">
      <c r="A589" s="2" t="s">
        <v>1165</v>
      </c>
      <c r="B589" s="2" t="s">
        <v>1141</v>
      </c>
      <c r="C589" s="2" t="s">
        <v>1114</v>
      </c>
      <c r="D589" s="2" t="s">
        <v>52</v>
      </c>
      <c r="E589">
        <v>603553.02350000001</v>
      </c>
      <c r="F589">
        <v>273458.30193333334</v>
      </c>
      <c r="G589">
        <v>302.66449999999998</v>
      </c>
      <c r="J589">
        <v>603553.03799999994</v>
      </c>
      <c r="K589">
        <v>273458.29470000003</v>
      </c>
      <c r="L589">
        <v>302.60700000000003</v>
      </c>
      <c r="M589" s="3">
        <f t="shared" si="51"/>
        <v>1.4499999932013452E-2</v>
      </c>
      <c r="N589" s="3">
        <f t="shared" si="52"/>
        <v>-7.233333308249712E-3</v>
      </c>
      <c r="O589" s="3">
        <f t="shared" si="53"/>
        <v>5.7499999999947704E-2</v>
      </c>
      <c r="P589">
        <f t="shared" si="54"/>
        <v>2.102499980283901E-4</v>
      </c>
      <c r="Q589">
        <f t="shared" si="55"/>
        <v>5.2321110748234723E-5</v>
      </c>
      <c r="R589">
        <f t="shared" si="56"/>
        <v>3.3062499999939859E-3</v>
      </c>
      <c r="S589">
        <f t="shared" si="57"/>
        <v>2.6257110877662482E-4</v>
      </c>
      <c r="T589">
        <f t="shared" si="58"/>
        <v>1.6204046061913821E-2</v>
      </c>
    </row>
    <row r="590" spans="1:20" x14ac:dyDescent="0.3">
      <c r="A590" s="2" t="s">
        <v>1165</v>
      </c>
      <c r="B590" s="2" t="s">
        <v>1146</v>
      </c>
      <c r="C590" s="2" t="s">
        <v>1114</v>
      </c>
      <c r="D590" s="2" t="s">
        <v>63</v>
      </c>
      <c r="E590">
        <v>563570.30653333326</v>
      </c>
      <c r="F590">
        <v>245492.92403333331</v>
      </c>
      <c r="G590">
        <v>91.468733333333333</v>
      </c>
      <c r="J590" s="5" t="s">
        <v>1544</v>
      </c>
      <c r="K590" s="5" t="s">
        <v>1545</v>
      </c>
      <c r="L590" s="5" t="s">
        <v>1148</v>
      </c>
      <c r="M590" s="3">
        <f t="shared" si="51"/>
        <v>5.6666671298444271E-4</v>
      </c>
      <c r="N590" s="3">
        <f t="shared" si="52"/>
        <v>-4.3333333305781707E-2</v>
      </c>
      <c r="O590" s="3">
        <f t="shared" si="53"/>
        <v>7.3666666666667879E-2</v>
      </c>
      <c r="P590">
        <f t="shared" si="54"/>
        <v>3.2111116360459277E-7</v>
      </c>
      <c r="Q590">
        <f t="shared" si="55"/>
        <v>1.8777777753899701E-3</v>
      </c>
      <c r="R590">
        <f t="shared" si="56"/>
        <v>5.4267777777779564E-3</v>
      </c>
      <c r="S590">
        <f t="shared" si="57"/>
        <v>1.8780988865535746E-3</v>
      </c>
      <c r="T590">
        <f t="shared" si="58"/>
        <v>4.3337038276208661E-2</v>
      </c>
    </row>
    <row r="591" spans="1:20" x14ac:dyDescent="0.3">
      <c r="A591" s="2" t="s">
        <v>1165</v>
      </c>
      <c r="B591" s="2" t="s">
        <v>1146</v>
      </c>
      <c r="C591" s="2" t="s">
        <v>1114</v>
      </c>
      <c r="D591" s="2" t="s">
        <v>30</v>
      </c>
      <c r="E591">
        <v>563570.3112</v>
      </c>
      <c r="F591">
        <v>245492.87273333335</v>
      </c>
      <c r="G591">
        <v>91.530033333333336</v>
      </c>
      <c r="J591" s="5" t="s">
        <v>1544</v>
      </c>
      <c r="K591" s="5" t="s">
        <v>1545</v>
      </c>
      <c r="L591" s="5" t="s">
        <v>1148</v>
      </c>
      <c r="M591" s="3">
        <f t="shared" si="51"/>
        <v>-4.1000000201165676E-3</v>
      </c>
      <c r="N591" s="3">
        <f t="shared" si="52"/>
        <v>7.966666657011956E-3</v>
      </c>
      <c r="O591" s="3">
        <f t="shared" si="53"/>
        <v>1.2366666666665083E-2</v>
      </c>
      <c r="P591">
        <f t="shared" si="54"/>
        <v>1.6810000164955855E-5</v>
      </c>
      <c r="Q591">
        <f t="shared" si="55"/>
        <v>6.3467777623946051E-5</v>
      </c>
      <c r="R591">
        <f t="shared" si="56"/>
        <v>1.5293444444440527E-4</v>
      </c>
      <c r="S591">
        <f t="shared" si="57"/>
        <v>8.0277777788901906E-5</v>
      </c>
      <c r="T591">
        <f t="shared" si="58"/>
        <v>8.9597867044311896E-3</v>
      </c>
    </row>
    <row r="592" spans="1:20" x14ac:dyDescent="0.3">
      <c r="A592" s="2" t="s">
        <v>1165</v>
      </c>
      <c r="B592" s="2" t="s">
        <v>1146</v>
      </c>
      <c r="C592" s="2" t="s">
        <v>1114</v>
      </c>
      <c r="D592" s="2" t="s">
        <v>52</v>
      </c>
      <c r="E592">
        <v>563570.32143333333</v>
      </c>
      <c r="F592">
        <v>245492.86809999999</v>
      </c>
      <c r="G592">
        <v>91.529200000000003</v>
      </c>
      <c r="J592" s="5" t="s">
        <v>1544</v>
      </c>
      <c r="K592" s="5" t="s">
        <v>1545</v>
      </c>
      <c r="L592" s="5" t="s">
        <v>1148</v>
      </c>
      <c r="M592" s="3">
        <f t="shared" si="51"/>
        <v>-1.4333333354443312E-2</v>
      </c>
      <c r="N592" s="3">
        <f t="shared" si="52"/>
        <v>1.2600000016391277E-2</v>
      </c>
      <c r="O592" s="3">
        <f t="shared" si="53"/>
        <v>1.3199999999997658E-2</v>
      </c>
      <c r="P592">
        <f t="shared" si="54"/>
        <v>2.0544444504959716E-4</v>
      </c>
      <c r="Q592">
        <f t="shared" si="55"/>
        <v>1.5876000041306019E-4</v>
      </c>
      <c r="R592">
        <f t="shared" si="56"/>
        <v>1.7423999999993819E-4</v>
      </c>
      <c r="S592">
        <f t="shared" si="57"/>
        <v>3.6420444546265735E-4</v>
      </c>
      <c r="T592">
        <f t="shared" si="58"/>
        <v>1.9084141203173314E-2</v>
      </c>
    </row>
    <row r="593" spans="1:20" x14ac:dyDescent="0.3">
      <c r="A593" s="2" t="s">
        <v>1165</v>
      </c>
      <c r="B593" s="2" t="s">
        <v>1146</v>
      </c>
      <c r="C593" s="2" t="s">
        <v>1108</v>
      </c>
      <c r="D593" s="2" t="s">
        <v>30</v>
      </c>
      <c r="E593">
        <v>563570.29740000004</v>
      </c>
      <c r="F593">
        <v>245492.88049999997</v>
      </c>
      <c r="G593">
        <v>91.561666666666667</v>
      </c>
      <c r="J593" s="5" t="s">
        <v>1544</v>
      </c>
      <c r="K593" s="5" t="s">
        <v>1545</v>
      </c>
      <c r="L593" s="5" t="s">
        <v>1148</v>
      </c>
      <c r="M593" s="3">
        <f t="shared" si="51"/>
        <v>9.6999999368563294E-3</v>
      </c>
      <c r="N593" s="3">
        <f t="shared" si="52"/>
        <v>2.0000003860332072E-4</v>
      </c>
      <c r="O593" s="3">
        <f t="shared" si="53"/>
        <v>1.9266666666666765E-2</v>
      </c>
      <c r="P593">
        <f t="shared" si="54"/>
        <v>9.4089998775012795E-5</v>
      </c>
      <c r="Q593">
        <f t="shared" si="55"/>
        <v>4.0000015441329777E-8</v>
      </c>
      <c r="R593">
        <f t="shared" si="56"/>
        <v>3.7120444444444824E-4</v>
      </c>
      <c r="S593">
        <f t="shared" si="57"/>
        <v>9.4129998790454131E-5</v>
      </c>
      <c r="T593">
        <f t="shared" si="58"/>
        <v>9.7020615742456576E-3</v>
      </c>
    </row>
    <row r="594" spans="1:20" x14ac:dyDescent="0.3">
      <c r="A594" s="2" t="s">
        <v>1165</v>
      </c>
      <c r="B594" s="2" t="s">
        <v>1146</v>
      </c>
      <c r="C594" s="2" t="s">
        <v>1108</v>
      </c>
      <c r="D594" s="2" t="s">
        <v>1112</v>
      </c>
      <c r="E594">
        <v>563570.30686666665</v>
      </c>
      <c r="F594">
        <v>245492.88846666669</v>
      </c>
      <c r="G594">
        <v>91.557300000000012</v>
      </c>
      <c r="J594" s="5" t="s">
        <v>1544</v>
      </c>
      <c r="K594" s="5" t="s">
        <v>1545</v>
      </c>
      <c r="L594" s="5" t="s">
        <v>1148</v>
      </c>
      <c r="M594" s="3">
        <f t="shared" si="51"/>
        <v>2.3333332501351833E-4</v>
      </c>
      <c r="N594" s="3">
        <f t="shared" si="52"/>
        <v>-7.7666666766162962E-3</v>
      </c>
      <c r="O594" s="3">
        <f t="shared" si="53"/>
        <v>1.490000000001146E-2</v>
      </c>
      <c r="P594">
        <f t="shared" si="54"/>
        <v>5.444444056186418E-8</v>
      </c>
      <c r="Q594">
        <f t="shared" si="55"/>
        <v>6.0321111265662022E-5</v>
      </c>
      <c r="R594">
        <f t="shared" si="56"/>
        <v>2.2201000000034149E-4</v>
      </c>
      <c r="S594">
        <f t="shared" si="57"/>
        <v>6.0375555706223886E-5</v>
      </c>
      <c r="T594">
        <f t="shared" si="58"/>
        <v>7.7701708929870964E-3</v>
      </c>
    </row>
    <row r="595" spans="1:20" x14ac:dyDescent="0.3">
      <c r="A595" s="2" t="s">
        <v>1165</v>
      </c>
      <c r="B595" s="2" t="s">
        <v>1146</v>
      </c>
      <c r="C595" s="2" t="s">
        <v>1108</v>
      </c>
      <c r="D595" s="2" t="s">
        <v>110</v>
      </c>
      <c r="E595">
        <v>563570.31083333329</v>
      </c>
      <c r="F595">
        <v>245492.88380000004</v>
      </c>
      <c r="G595">
        <v>91.528266666666653</v>
      </c>
      <c r="J595" s="5" t="s">
        <v>1544</v>
      </c>
      <c r="K595" s="5" t="s">
        <v>1545</v>
      </c>
      <c r="L595" s="5" t="s">
        <v>1148</v>
      </c>
      <c r="M595" s="3">
        <f t="shared" si="51"/>
        <v>-3.7333333166316152E-3</v>
      </c>
      <c r="N595" s="3">
        <f t="shared" si="52"/>
        <v>-3.1000000308267772E-3</v>
      </c>
      <c r="O595" s="3">
        <f t="shared" si="53"/>
        <v>1.4133333333347764E-2</v>
      </c>
      <c r="P595">
        <f t="shared" si="54"/>
        <v>1.3937777653071616E-5</v>
      </c>
      <c r="Q595">
        <f t="shared" si="55"/>
        <v>9.6100001911260197E-6</v>
      </c>
      <c r="R595">
        <f t="shared" si="56"/>
        <v>1.9975111111151901E-4</v>
      </c>
      <c r="S595">
        <f t="shared" si="57"/>
        <v>2.3547777844197635E-5</v>
      </c>
      <c r="T595">
        <f t="shared" si="58"/>
        <v>4.852605263587554E-3</v>
      </c>
    </row>
    <row r="596" spans="1:20" x14ac:dyDescent="0.3">
      <c r="A596" s="2" t="s">
        <v>1165</v>
      </c>
      <c r="B596" s="2" t="s">
        <v>1146</v>
      </c>
      <c r="C596" s="2" t="s">
        <v>1108</v>
      </c>
      <c r="D596" s="2" t="s">
        <v>37</v>
      </c>
      <c r="E596">
        <v>563570.31956666661</v>
      </c>
      <c r="F596">
        <v>245492.88100000002</v>
      </c>
      <c r="G596">
        <v>91.575933333333339</v>
      </c>
      <c r="J596" s="5" t="s">
        <v>1544</v>
      </c>
      <c r="K596" s="5" t="s">
        <v>1545</v>
      </c>
      <c r="L596" s="5" t="s">
        <v>1148</v>
      </c>
      <c r="M596" s="3">
        <f t="shared" si="51"/>
        <v>-1.2466666637919843E-2</v>
      </c>
      <c r="N596" s="3">
        <f t="shared" si="52"/>
        <v>-3.0000001424923539E-4</v>
      </c>
      <c r="O596" s="3">
        <f t="shared" si="53"/>
        <v>3.3533333333338078E-2</v>
      </c>
      <c r="P596">
        <f t="shared" si="54"/>
        <v>1.5541777706102363E-4</v>
      </c>
      <c r="Q596">
        <f t="shared" si="55"/>
        <v>9.0000008549541438E-8</v>
      </c>
      <c r="R596">
        <f t="shared" si="56"/>
        <v>1.1244844444447627E-3</v>
      </c>
      <c r="S596">
        <f t="shared" si="57"/>
        <v>1.5550777706957317E-4</v>
      </c>
      <c r="T596">
        <f t="shared" si="58"/>
        <v>1.2470275741521243E-2</v>
      </c>
    </row>
    <row r="597" spans="1:20" x14ac:dyDescent="0.3">
      <c r="A597" s="2" t="s">
        <v>1165</v>
      </c>
      <c r="B597" s="2" t="s">
        <v>1146</v>
      </c>
      <c r="C597" s="2" t="s">
        <v>1108</v>
      </c>
      <c r="D597" s="2" t="s">
        <v>46</v>
      </c>
      <c r="E597">
        <v>563570.32606666663</v>
      </c>
      <c r="F597">
        <v>245492.88269999999</v>
      </c>
      <c r="G597">
        <v>91.558633333333333</v>
      </c>
      <c r="J597" s="5" t="s">
        <v>1544</v>
      </c>
      <c r="K597" s="5" t="s">
        <v>1545</v>
      </c>
      <c r="L597" s="5" t="s">
        <v>1148</v>
      </c>
      <c r="M597" s="3">
        <f t="shared" si="51"/>
        <v>-1.8966666655614972E-2</v>
      </c>
      <c r="N597" s="3">
        <f t="shared" si="52"/>
        <v>-1.9999999785795808E-3</v>
      </c>
      <c r="O597" s="3">
        <f t="shared" si="53"/>
        <v>1.6233333333332212E-2</v>
      </c>
      <c r="P597">
        <f t="shared" si="54"/>
        <v>3.5973444402521683E-4</v>
      </c>
      <c r="Q597">
        <f t="shared" si="55"/>
        <v>3.9999999143183236E-6</v>
      </c>
      <c r="R597">
        <f t="shared" si="56"/>
        <v>2.6352111111107467E-4</v>
      </c>
      <c r="S597">
        <f t="shared" si="57"/>
        <v>3.6373444393953514E-4</v>
      </c>
      <c r="T597">
        <f t="shared" si="58"/>
        <v>1.907182329877076E-2</v>
      </c>
    </row>
    <row r="598" spans="1:20" x14ac:dyDescent="0.3">
      <c r="A598" s="2" t="s">
        <v>1165</v>
      </c>
      <c r="B598" s="2" t="s">
        <v>1152</v>
      </c>
      <c r="C598" s="2" t="s">
        <v>1108</v>
      </c>
      <c r="D598" s="2" t="s">
        <v>30</v>
      </c>
      <c r="E598">
        <v>593090.77783333336</v>
      </c>
      <c r="F598">
        <v>249153.87066666665</v>
      </c>
      <c r="G598">
        <v>168.93460000000002</v>
      </c>
      <c r="J598" s="5" t="s">
        <v>1546</v>
      </c>
      <c r="K598" s="5" t="s">
        <v>1547</v>
      </c>
      <c r="L598" s="5" t="s">
        <v>1153</v>
      </c>
      <c r="M598" s="3">
        <f t="shared" si="51"/>
        <v>-1.1433333391323686E-2</v>
      </c>
      <c r="N598" s="3">
        <f t="shared" si="52"/>
        <v>2.1533333347178996E-2</v>
      </c>
      <c r="O598" s="3">
        <f t="shared" si="53"/>
        <v>2.4999999999693046E-3</v>
      </c>
      <c r="P598">
        <f t="shared" si="54"/>
        <v>1.3072111243715717E-4</v>
      </c>
      <c r="Q598">
        <f t="shared" si="55"/>
        <v>4.6368444504073095E-4</v>
      </c>
      <c r="R598">
        <f t="shared" si="56"/>
        <v>6.249999999846523E-6</v>
      </c>
      <c r="S598">
        <f t="shared" si="57"/>
        <v>5.9440555747788818E-4</v>
      </c>
      <c r="T598">
        <f t="shared" si="58"/>
        <v>2.4380433906677875E-2</v>
      </c>
    </row>
    <row r="599" spans="1:20" x14ac:dyDescent="0.3">
      <c r="A599" s="2" t="s">
        <v>1165</v>
      </c>
      <c r="B599" s="2" t="s">
        <v>1152</v>
      </c>
      <c r="C599" s="2" t="s">
        <v>1108</v>
      </c>
      <c r="D599" s="2" t="s">
        <v>1112</v>
      </c>
      <c r="E599">
        <v>593090.76983333332</v>
      </c>
      <c r="F599">
        <v>249153.86990000002</v>
      </c>
      <c r="G599">
        <v>168.95363333333333</v>
      </c>
      <c r="J599" s="5" t="s">
        <v>1546</v>
      </c>
      <c r="K599" s="5" t="s">
        <v>1547</v>
      </c>
      <c r="L599" s="5" t="s">
        <v>1153</v>
      </c>
      <c r="M599" s="3">
        <f t="shared" si="51"/>
        <v>-3.4333333605900407E-3</v>
      </c>
      <c r="N599" s="3">
        <f t="shared" si="52"/>
        <v>2.2299999982351437E-2</v>
      </c>
      <c r="O599" s="3">
        <f t="shared" si="53"/>
        <v>1.6533333333342171E-2</v>
      </c>
      <c r="P599">
        <f t="shared" si="54"/>
        <v>1.1787777964940502E-5</v>
      </c>
      <c r="Q599">
        <f t="shared" si="55"/>
        <v>4.9728999921287405E-4</v>
      </c>
      <c r="R599">
        <f t="shared" si="56"/>
        <v>2.7335111111140335E-4</v>
      </c>
      <c r="S599">
        <f t="shared" si="57"/>
        <v>5.0907777717781454E-4</v>
      </c>
      <c r="T599">
        <f t="shared" si="58"/>
        <v>2.2562751985912857E-2</v>
      </c>
    </row>
    <row r="600" spans="1:20" x14ac:dyDescent="0.3">
      <c r="A600" s="2" t="s">
        <v>1165</v>
      </c>
      <c r="B600" s="2" t="s">
        <v>1152</v>
      </c>
      <c r="C600" s="2" t="s">
        <v>1108</v>
      </c>
      <c r="D600" s="2" t="s">
        <v>110</v>
      </c>
      <c r="E600">
        <v>593090.76423333341</v>
      </c>
      <c r="F600">
        <v>249153.87556666668</v>
      </c>
      <c r="G600">
        <v>168.94243333333335</v>
      </c>
      <c r="J600" s="5" t="s">
        <v>1546</v>
      </c>
      <c r="K600" s="5" t="s">
        <v>1547</v>
      </c>
      <c r="L600" s="5" t="s">
        <v>1153</v>
      </c>
      <c r="M600" s="3">
        <f t="shared" si="51"/>
        <v>2.1666665561497211E-3</v>
      </c>
      <c r="N600" s="3">
        <f t="shared" si="52"/>
        <v>1.6633333318168297E-2</v>
      </c>
      <c r="O600" s="3">
        <f t="shared" si="53"/>
        <v>5.3333333333682731E-3</v>
      </c>
      <c r="P600">
        <f t="shared" si="54"/>
        <v>4.6944439655376927E-6</v>
      </c>
      <c r="Q600">
        <f t="shared" si="55"/>
        <v>2.7666777727328759E-4</v>
      </c>
      <c r="R600">
        <f t="shared" si="56"/>
        <v>2.8444444444817135E-5</v>
      </c>
      <c r="S600">
        <f t="shared" si="57"/>
        <v>2.8136222123882528E-4</v>
      </c>
      <c r="T600">
        <f t="shared" si="58"/>
        <v>1.6773855288478714E-2</v>
      </c>
    </row>
    <row r="601" spans="1:20" x14ac:dyDescent="0.3">
      <c r="A601" s="2" t="s">
        <v>1165</v>
      </c>
      <c r="B601" s="2" t="s">
        <v>1152</v>
      </c>
      <c r="C601" s="2" t="s">
        <v>1108</v>
      </c>
      <c r="D601" s="2" t="s">
        <v>37</v>
      </c>
      <c r="E601">
        <v>593090.77123333339</v>
      </c>
      <c r="F601">
        <v>249153.87710000001</v>
      </c>
      <c r="G601">
        <v>168.9306</v>
      </c>
      <c r="J601" s="5" t="s">
        <v>1546</v>
      </c>
      <c r="K601" s="5" t="s">
        <v>1547</v>
      </c>
      <c r="L601" s="5" t="s">
        <v>1153</v>
      </c>
      <c r="M601" s="3">
        <f t="shared" si="51"/>
        <v>-4.8333334270864725E-3</v>
      </c>
      <c r="N601" s="3">
        <f t="shared" si="52"/>
        <v>1.5099999989615753E-2</v>
      </c>
      <c r="O601" s="3">
        <f t="shared" si="53"/>
        <v>6.4999999999884039E-3</v>
      </c>
      <c r="P601">
        <f t="shared" si="54"/>
        <v>2.3361112017391465E-5</v>
      </c>
      <c r="Q601">
        <f t="shared" si="55"/>
        <v>2.2800999968639575E-4</v>
      </c>
      <c r="R601">
        <f t="shared" si="56"/>
        <v>4.2249999999849252E-5</v>
      </c>
      <c r="S601">
        <f t="shared" si="57"/>
        <v>2.5137111170378719E-4</v>
      </c>
      <c r="T601">
        <f t="shared" si="58"/>
        <v>1.5854687373259277E-2</v>
      </c>
    </row>
    <row r="602" spans="1:20" x14ac:dyDescent="0.3">
      <c r="A602" s="2" t="s">
        <v>1165</v>
      </c>
      <c r="B602" s="2" t="s">
        <v>1152</v>
      </c>
      <c r="C602" s="2" t="s">
        <v>1108</v>
      </c>
      <c r="D602" s="2" t="s">
        <v>46</v>
      </c>
      <c r="E602">
        <v>593090.7775666666</v>
      </c>
      <c r="F602">
        <v>249153.87766666667</v>
      </c>
      <c r="G602">
        <v>168.93783333333334</v>
      </c>
      <c r="J602" s="5" t="s">
        <v>1546</v>
      </c>
      <c r="K602" s="5" t="s">
        <v>1547</v>
      </c>
      <c r="L602" s="5" t="s">
        <v>1153</v>
      </c>
      <c r="M602" s="3">
        <f t="shared" si="51"/>
        <v>-1.1166666634380817E-2</v>
      </c>
      <c r="N602" s="3">
        <f t="shared" si="52"/>
        <v>1.4533333334838971E-2</v>
      </c>
      <c r="O602" s="3">
        <f t="shared" si="53"/>
        <v>7.3333333335767747E-4</v>
      </c>
      <c r="P602">
        <f t="shared" si="54"/>
        <v>1.2469444372339381E-4</v>
      </c>
      <c r="Q602">
        <f t="shared" si="55"/>
        <v>2.1121777782154167E-4</v>
      </c>
      <c r="R602">
        <f t="shared" si="56"/>
        <v>5.3777777781348253E-7</v>
      </c>
      <c r="S602">
        <f t="shared" si="57"/>
        <v>3.3591222154493545E-4</v>
      </c>
      <c r="T602">
        <f t="shared" si="58"/>
        <v>1.8327908269765415E-2</v>
      </c>
    </row>
    <row r="603" spans="1:20" x14ac:dyDescent="0.3">
      <c r="A603" s="2" t="s">
        <v>1165</v>
      </c>
      <c r="B603" s="2" t="s">
        <v>1152</v>
      </c>
      <c r="C603" s="2" t="s">
        <v>1114</v>
      </c>
      <c r="D603" s="2" t="s">
        <v>63</v>
      </c>
      <c r="E603">
        <v>593090.78023333324</v>
      </c>
      <c r="F603">
        <v>249153.87863333334</v>
      </c>
      <c r="G603">
        <v>169.0137</v>
      </c>
      <c r="J603" s="5" t="s">
        <v>1546</v>
      </c>
      <c r="K603" s="5" t="s">
        <v>1547</v>
      </c>
      <c r="L603" s="5" t="s">
        <v>1153</v>
      </c>
      <c r="M603" s="3">
        <f t="shared" si="51"/>
        <v>-1.3833333272486925E-2</v>
      </c>
      <c r="N603" s="3">
        <f t="shared" si="52"/>
        <v>1.3566666661063209E-2</v>
      </c>
      <c r="O603" s="3">
        <f t="shared" si="53"/>
        <v>7.6600000000013324E-2</v>
      </c>
      <c r="P603">
        <f t="shared" si="54"/>
        <v>1.9136110942769382E-4</v>
      </c>
      <c r="Q603">
        <f t="shared" si="55"/>
        <v>1.8405444429240396E-4</v>
      </c>
      <c r="R603">
        <f t="shared" si="56"/>
        <v>5.8675600000020409E-3</v>
      </c>
      <c r="S603">
        <f t="shared" si="57"/>
        <v>3.7541555372009781E-4</v>
      </c>
      <c r="T603">
        <f t="shared" si="58"/>
        <v>1.9375643311128996E-2</v>
      </c>
    </row>
    <row r="604" spans="1:20" x14ac:dyDescent="0.3">
      <c r="A604" s="2" t="s">
        <v>1165</v>
      </c>
      <c r="B604" s="2" t="s">
        <v>1152</v>
      </c>
      <c r="C604" s="2" t="s">
        <v>1114</v>
      </c>
      <c r="D604" s="2" t="s">
        <v>30</v>
      </c>
      <c r="E604">
        <v>593090.79656666669</v>
      </c>
      <c r="F604">
        <v>249153.88249999998</v>
      </c>
      <c r="G604">
        <v>168.91903333333332</v>
      </c>
      <c r="J604" s="5" t="s">
        <v>1546</v>
      </c>
      <c r="K604" s="5" t="s">
        <v>1547</v>
      </c>
      <c r="L604" s="5" t="s">
        <v>1153</v>
      </c>
      <c r="M604" s="3">
        <f t="shared" si="51"/>
        <v>-3.0166666721925139E-2</v>
      </c>
      <c r="N604" s="3">
        <f t="shared" si="52"/>
        <v>9.7000000241678208E-3</v>
      </c>
      <c r="O604" s="3">
        <f t="shared" si="53"/>
        <v>1.8066666666669562E-2</v>
      </c>
      <c r="P604">
        <f t="shared" si="54"/>
        <v>9.1002778111170558E-4</v>
      </c>
      <c r="Q604">
        <f t="shared" si="55"/>
        <v>9.4090000468855723E-5</v>
      </c>
      <c r="R604">
        <f t="shared" si="56"/>
        <v>3.2640444444454906E-4</v>
      </c>
      <c r="S604">
        <f t="shared" si="57"/>
        <v>1.0041177815805612E-3</v>
      </c>
      <c r="T604">
        <f t="shared" si="58"/>
        <v>3.1687817557865379E-2</v>
      </c>
    </row>
    <row r="605" spans="1:20" x14ac:dyDescent="0.3">
      <c r="A605" s="2" t="s">
        <v>1165</v>
      </c>
      <c r="B605" s="2" t="s">
        <v>1152</v>
      </c>
      <c r="C605" s="2" t="s">
        <v>1114</v>
      </c>
      <c r="D605" s="2" t="s">
        <v>52</v>
      </c>
      <c r="E605">
        <v>593090.78763333336</v>
      </c>
      <c r="F605">
        <v>249153.89293333332</v>
      </c>
      <c r="G605">
        <v>168.92016666666666</v>
      </c>
      <c r="J605" s="5" t="s">
        <v>1546</v>
      </c>
      <c r="K605" s="5" t="s">
        <v>1547</v>
      </c>
      <c r="L605" s="5" t="s">
        <v>1153</v>
      </c>
      <c r="M605" s="3">
        <f t="shared" si="51"/>
        <v>-2.1233333391137421E-2</v>
      </c>
      <c r="N605" s="3">
        <f t="shared" si="52"/>
        <v>-7.3333331965841353E-4</v>
      </c>
      <c r="O605" s="3">
        <f t="shared" si="53"/>
        <v>1.6933333333327028E-2</v>
      </c>
      <c r="P605">
        <f t="shared" si="54"/>
        <v>4.5085444689919136E-4</v>
      </c>
      <c r="Q605">
        <f t="shared" si="55"/>
        <v>5.3777775772122892E-7</v>
      </c>
      <c r="R605">
        <f t="shared" si="56"/>
        <v>2.8673777777756421E-4</v>
      </c>
      <c r="S605">
        <f t="shared" si="57"/>
        <v>4.513922246569126E-4</v>
      </c>
      <c r="T605">
        <f t="shared" si="58"/>
        <v>2.1245993143576804E-2</v>
      </c>
    </row>
    <row r="606" spans="1:20" x14ac:dyDescent="0.3">
      <c r="A606" s="2" t="s">
        <v>1165</v>
      </c>
      <c r="B606" s="2" t="s">
        <v>1156</v>
      </c>
      <c r="C606" s="2" t="s">
        <v>1120</v>
      </c>
      <c r="D606" s="4" t="s">
        <v>1019</v>
      </c>
      <c r="E606">
        <v>588053.46889999986</v>
      </c>
      <c r="F606">
        <v>263201.77253333334</v>
      </c>
      <c r="G606">
        <v>76.112700000000004</v>
      </c>
      <c r="J606" s="5" t="s">
        <v>1548</v>
      </c>
      <c r="K606" s="5" t="s">
        <v>1549</v>
      </c>
      <c r="L606" s="5" t="s">
        <v>1157</v>
      </c>
      <c r="M606" s="3">
        <f t="shared" si="51"/>
        <v>-1.1999999871477485E-2</v>
      </c>
      <c r="N606" s="3">
        <f t="shared" si="52"/>
        <v>1.5766666678246111E-2</v>
      </c>
      <c r="O606" s="3">
        <f t="shared" si="53"/>
        <v>0.15789999999999793</v>
      </c>
      <c r="P606">
        <f t="shared" si="54"/>
        <v>1.4399999691545965E-4</v>
      </c>
      <c r="Q606">
        <f t="shared" si="55"/>
        <v>2.4858777814291624E-4</v>
      </c>
      <c r="R606">
        <f t="shared" si="56"/>
        <v>2.4932409999999346E-2</v>
      </c>
      <c r="S606">
        <f t="shared" si="57"/>
        <v>3.9258777505837589E-4</v>
      </c>
      <c r="T606">
        <f t="shared" si="58"/>
        <v>1.9813827874955812E-2</v>
      </c>
    </row>
    <row r="607" spans="1:20" x14ac:dyDescent="0.3">
      <c r="A607" s="2" t="s">
        <v>1165</v>
      </c>
      <c r="B607" s="2" t="s">
        <v>1156</v>
      </c>
      <c r="C607" s="2" t="s">
        <v>1120</v>
      </c>
      <c r="D607" s="4" t="s">
        <v>423</v>
      </c>
      <c r="E607">
        <v>588053.46230000001</v>
      </c>
      <c r="F607">
        <v>263201.77103333332</v>
      </c>
      <c r="G607">
        <v>76.089399999999998</v>
      </c>
      <c r="J607" s="5" t="s">
        <v>1548</v>
      </c>
      <c r="K607" s="5" t="s">
        <v>1549</v>
      </c>
      <c r="L607" s="5" t="s">
        <v>1157</v>
      </c>
      <c r="M607" s="3">
        <f t="shared" si="51"/>
        <v>-5.4000000236555934E-3</v>
      </c>
      <c r="N607" s="3">
        <f t="shared" si="52"/>
        <v>1.7266666691284627E-2</v>
      </c>
      <c r="O607" s="3">
        <f t="shared" si="53"/>
        <v>0.13459999999999184</v>
      </c>
      <c r="P607">
        <f t="shared" si="54"/>
        <v>2.9160000255480409E-5</v>
      </c>
      <c r="Q607">
        <f t="shared" si="55"/>
        <v>2.9813777862791802E-4</v>
      </c>
      <c r="R607">
        <f t="shared" si="56"/>
        <v>1.8117159999997804E-2</v>
      </c>
      <c r="S607">
        <f t="shared" si="57"/>
        <v>3.2729777888339842E-4</v>
      </c>
      <c r="T607">
        <f t="shared" si="58"/>
        <v>1.8091373051357888E-2</v>
      </c>
    </row>
    <row r="608" spans="1:20" x14ac:dyDescent="0.3">
      <c r="A608" s="2" t="s">
        <v>1165</v>
      </c>
      <c r="B608" s="2" t="s">
        <v>1156</v>
      </c>
      <c r="C608" s="2" t="s">
        <v>1108</v>
      </c>
      <c r="D608" s="2" t="s">
        <v>30</v>
      </c>
      <c r="E608">
        <v>588053.45496666664</v>
      </c>
      <c r="F608">
        <v>263201.76946666668</v>
      </c>
      <c r="G608">
        <v>75.977800000000002</v>
      </c>
      <c r="J608" s="5" t="s">
        <v>1548</v>
      </c>
      <c r="K608" s="5" t="s">
        <v>1549</v>
      </c>
      <c r="L608" s="5" t="s">
        <v>1157</v>
      </c>
      <c r="M608" s="3">
        <f t="shared" si="51"/>
        <v>1.9333333475515246E-3</v>
      </c>
      <c r="N608" s="3">
        <f t="shared" si="52"/>
        <v>1.8833333335351199E-2</v>
      </c>
      <c r="O608" s="3">
        <f t="shared" si="53"/>
        <v>2.2999999999996135E-2</v>
      </c>
      <c r="P608">
        <f t="shared" si="54"/>
        <v>3.7377778327547844E-6</v>
      </c>
      <c r="Q608">
        <f t="shared" si="55"/>
        <v>3.5469444452045074E-4</v>
      </c>
      <c r="R608">
        <f t="shared" si="56"/>
        <v>5.2899999999982215E-4</v>
      </c>
      <c r="S608">
        <f t="shared" si="57"/>
        <v>3.5843222235320551E-4</v>
      </c>
      <c r="T608">
        <f t="shared" si="58"/>
        <v>1.8932306313632408E-2</v>
      </c>
    </row>
    <row r="609" spans="1:20" x14ac:dyDescent="0.3">
      <c r="A609" s="2" t="s">
        <v>1165</v>
      </c>
      <c r="B609" s="2" t="s">
        <v>1156</v>
      </c>
      <c r="C609" s="2" t="s">
        <v>1108</v>
      </c>
      <c r="D609" s="2" t="s">
        <v>1112</v>
      </c>
      <c r="E609">
        <v>588053.45623333333</v>
      </c>
      <c r="F609">
        <v>263201.76596666669</v>
      </c>
      <c r="G609">
        <v>75.977733333333333</v>
      </c>
      <c r="J609" s="5" t="s">
        <v>1548</v>
      </c>
      <c r="K609" s="5" t="s">
        <v>1549</v>
      </c>
      <c r="L609" s="5" t="s">
        <v>1157</v>
      </c>
      <c r="M609" s="3">
        <f t="shared" si="51"/>
        <v>6.6666665952652693E-4</v>
      </c>
      <c r="N609" s="3">
        <f t="shared" si="52"/>
        <v>2.2333333326969296E-2</v>
      </c>
      <c r="O609" s="3">
        <f t="shared" si="53"/>
        <v>2.2933333333327255E-2</v>
      </c>
      <c r="P609">
        <f t="shared" si="54"/>
        <v>4.4444443492425818E-7</v>
      </c>
      <c r="Q609">
        <f t="shared" si="55"/>
        <v>4.9877777749351743E-4</v>
      </c>
      <c r="R609">
        <f t="shared" si="56"/>
        <v>5.2593777777749896E-4</v>
      </c>
      <c r="S609">
        <f t="shared" si="57"/>
        <v>4.9922222192844167E-4</v>
      </c>
      <c r="T609">
        <f t="shared" si="58"/>
        <v>2.2343281359917609E-2</v>
      </c>
    </row>
    <row r="610" spans="1:20" x14ac:dyDescent="0.3">
      <c r="A610" s="2" t="s">
        <v>1165</v>
      </c>
      <c r="B610" s="2" t="s">
        <v>1156</v>
      </c>
      <c r="C610" s="2" t="s">
        <v>1108</v>
      </c>
      <c r="D610" s="2" t="s">
        <v>110</v>
      </c>
      <c r="E610">
        <v>588053.44716666674</v>
      </c>
      <c r="F610">
        <v>263201.76706666668</v>
      </c>
      <c r="G610">
        <v>75.967933333333335</v>
      </c>
      <c r="J610" s="5" t="s">
        <v>1548</v>
      </c>
      <c r="K610" s="5" t="s">
        <v>1549</v>
      </c>
      <c r="L610" s="5" t="s">
        <v>1157</v>
      </c>
      <c r="M610" s="3">
        <f t="shared" si="51"/>
        <v>9.7333332523703575E-3</v>
      </c>
      <c r="N610" s="3">
        <f t="shared" si="52"/>
        <v>2.123333333292976E-2</v>
      </c>
      <c r="O610" s="3">
        <f t="shared" si="53"/>
        <v>1.3133333333328778E-2</v>
      </c>
      <c r="P610">
        <f t="shared" si="54"/>
        <v>9.4737776201698522E-5</v>
      </c>
      <c r="Q610">
        <f t="shared" si="55"/>
        <v>4.5085444442730604E-4</v>
      </c>
      <c r="R610">
        <f t="shared" si="56"/>
        <v>1.7248444444432481E-4</v>
      </c>
      <c r="S610">
        <f t="shared" si="57"/>
        <v>5.4559222062900456E-4</v>
      </c>
      <c r="T610">
        <f t="shared" si="58"/>
        <v>2.3357915588275522E-2</v>
      </c>
    </row>
    <row r="611" spans="1:20" x14ac:dyDescent="0.3">
      <c r="A611" s="2" t="s">
        <v>1165</v>
      </c>
      <c r="B611" s="2" t="s">
        <v>1156</v>
      </c>
      <c r="C611" s="2" t="s">
        <v>1108</v>
      </c>
      <c r="D611" s="2" t="s">
        <v>37</v>
      </c>
      <c r="E611">
        <v>588053.46176666662</v>
      </c>
      <c r="F611">
        <v>263201.76906666666</v>
      </c>
      <c r="G611">
        <v>75.946966666666668</v>
      </c>
      <c r="J611" s="5" t="s">
        <v>1548</v>
      </c>
      <c r="K611" s="5" t="s">
        <v>1549</v>
      </c>
      <c r="L611" s="5" t="s">
        <v>1157</v>
      </c>
      <c r="M611" s="3">
        <f t="shared" si="51"/>
        <v>-4.8666666261851788E-3</v>
      </c>
      <c r="N611" s="3">
        <f t="shared" si="52"/>
        <v>1.9233333354350179E-2</v>
      </c>
      <c r="O611" s="3">
        <f t="shared" si="53"/>
        <v>7.8333333333375776E-3</v>
      </c>
      <c r="P611">
        <f t="shared" si="54"/>
        <v>2.368444405042463E-5</v>
      </c>
      <c r="Q611">
        <f t="shared" si="55"/>
        <v>3.6992111191955912E-4</v>
      </c>
      <c r="R611">
        <f t="shared" si="56"/>
        <v>6.1361111111177602E-5</v>
      </c>
      <c r="S611">
        <f t="shared" si="57"/>
        <v>3.9360555596998375E-4</v>
      </c>
      <c r="T611">
        <f t="shared" si="58"/>
        <v>1.9839494851683692E-2</v>
      </c>
    </row>
    <row r="612" spans="1:20" x14ac:dyDescent="0.3">
      <c r="A612" s="2" t="s">
        <v>1165</v>
      </c>
      <c r="B612" s="2" t="s">
        <v>1156</v>
      </c>
      <c r="C612" s="2" t="s">
        <v>1108</v>
      </c>
      <c r="D612" s="2" t="s">
        <v>46</v>
      </c>
      <c r="E612">
        <v>588053.45903333335</v>
      </c>
      <c r="F612">
        <v>263201.76880000002</v>
      </c>
      <c r="G612">
        <v>75.970366666666663</v>
      </c>
      <c r="J612" s="5" t="s">
        <v>1548</v>
      </c>
      <c r="K612" s="5" t="s">
        <v>1549</v>
      </c>
      <c r="L612" s="5" t="s">
        <v>1157</v>
      </c>
      <c r="M612" s="3">
        <f t="shared" si="51"/>
        <v>-2.1333333570510149E-3</v>
      </c>
      <c r="N612" s="3">
        <f t="shared" si="52"/>
        <v>1.9499999994877726E-2</v>
      </c>
      <c r="O612" s="3">
        <f t="shared" si="53"/>
        <v>1.5566666666657625E-2</v>
      </c>
      <c r="P612">
        <f t="shared" si="54"/>
        <v>4.551111212306553E-6</v>
      </c>
      <c r="Q612">
        <f t="shared" si="55"/>
        <v>3.802499998002313E-4</v>
      </c>
      <c r="R612">
        <f t="shared" si="56"/>
        <v>2.4232111111082962E-4</v>
      </c>
      <c r="S612">
        <f t="shared" si="57"/>
        <v>3.8480111101253786E-4</v>
      </c>
      <c r="T612">
        <f t="shared" si="58"/>
        <v>1.9616348054939732E-2</v>
      </c>
    </row>
    <row r="613" spans="1:20" x14ac:dyDescent="0.3">
      <c r="A613" s="2" t="s">
        <v>1165</v>
      </c>
      <c r="B613" s="2" t="s">
        <v>1156</v>
      </c>
      <c r="C613" s="2" t="s">
        <v>1114</v>
      </c>
      <c r="D613" s="2" t="s">
        <v>63</v>
      </c>
      <c r="E613">
        <v>588053.45939999993</v>
      </c>
      <c r="F613">
        <v>263201.76793333329</v>
      </c>
      <c r="G613">
        <v>75.972033333333343</v>
      </c>
      <c r="J613" s="5" t="s">
        <v>1548</v>
      </c>
      <c r="K613" s="5" t="s">
        <v>1549</v>
      </c>
      <c r="L613" s="5" t="s">
        <v>1157</v>
      </c>
      <c r="M613" s="3">
        <f t="shared" si="51"/>
        <v>-2.4999999441206455E-3</v>
      </c>
      <c r="N613" s="3">
        <f t="shared" si="52"/>
        <v>2.0366666722111404E-2</v>
      </c>
      <c r="O613" s="3">
        <f t="shared" si="53"/>
        <v>1.7233333333336986E-2</v>
      </c>
      <c r="P613">
        <f t="shared" si="54"/>
        <v>6.2499997206032307E-6</v>
      </c>
      <c r="Q613">
        <f t="shared" si="55"/>
        <v>4.1480111336956007E-4</v>
      </c>
      <c r="R613">
        <f t="shared" si="56"/>
        <v>2.9698777777790368E-4</v>
      </c>
      <c r="S613">
        <f t="shared" si="57"/>
        <v>4.210511130901633E-4</v>
      </c>
      <c r="T613">
        <f t="shared" si="58"/>
        <v>2.0519530040674989E-2</v>
      </c>
    </row>
    <row r="614" spans="1:20" x14ac:dyDescent="0.3">
      <c r="A614" s="2" t="s">
        <v>1165</v>
      </c>
      <c r="B614" s="2" t="s">
        <v>1156</v>
      </c>
      <c r="C614" s="2" t="s">
        <v>1114</v>
      </c>
      <c r="D614" s="2" t="s">
        <v>30</v>
      </c>
      <c r="E614">
        <v>588053.46589999995</v>
      </c>
      <c r="F614">
        <v>263201.76503333333</v>
      </c>
      <c r="G614">
        <v>75.969333333333338</v>
      </c>
      <c r="J614" s="5" t="s">
        <v>1548</v>
      </c>
      <c r="K614" s="5" t="s">
        <v>1549</v>
      </c>
      <c r="L614" s="5" t="s">
        <v>1157</v>
      </c>
      <c r="M614" s="3">
        <f t="shared" si="51"/>
        <v>-8.9999999618157744E-3</v>
      </c>
      <c r="N614" s="3">
        <f t="shared" si="52"/>
        <v>2.326666668523103E-2</v>
      </c>
      <c r="O614" s="3">
        <f t="shared" si="53"/>
        <v>1.4533333333332621E-2</v>
      </c>
      <c r="P614">
        <f t="shared" si="54"/>
        <v>8.0999999312683941E-5</v>
      </c>
      <c r="Q614">
        <f t="shared" si="55"/>
        <v>5.4133777864163947E-4</v>
      </c>
      <c r="R614">
        <f t="shared" si="56"/>
        <v>2.1121777777775708E-4</v>
      </c>
      <c r="S614">
        <f t="shared" si="57"/>
        <v>6.223377779543234E-4</v>
      </c>
      <c r="T614">
        <f t="shared" si="58"/>
        <v>2.4946698738597124E-2</v>
      </c>
    </row>
    <row r="615" spans="1:20" x14ac:dyDescent="0.3">
      <c r="A615" s="2" t="s">
        <v>1165</v>
      </c>
      <c r="B615" s="2" t="s">
        <v>1156</v>
      </c>
      <c r="C615" s="2" t="s">
        <v>1114</v>
      </c>
      <c r="D615" s="2" t="s">
        <v>52</v>
      </c>
      <c r="E615">
        <v>588053.4639666666</v>
      </c>
      <c r="F615">
        <v>263201.7678333334</v>
      </c>
      <c r="G615">
        <v>75.970899999999986</v>
      </c>
      <c r="J615" s="5" t="s">
        <v>1548</v>
      </c>
      <c r="K615" s="5" t="s">
        <v>1549</v>
      </c>
      <c r="L615" s="5" t="s">
        <v>1157</v>
      </c>
      <c r="M615" s="3">
        <f t="shared" si="51"/>
        <v>-7.0666666142642498E-3</v>
      </c>
      <c r="N615" s="3">
        <f t="shared" si="52"/>
        <v>2.0466666610445827E-2</v>
      </c>
      <c r="O615" s="3">
        <f t="shared" si="53"/>
        <v>1.6099999999980241E-2</v>
      </c>
      <c r="P615">
        <f t="shared" si="54"/>
        <v>4.9937777037156955E-5</v>
      </c>
      <c r="Q615">
        <f t="shared" si="55"/>
        <v>4.1888444214313808E-4</v>
      </c>
      <c r="R615">
        <f t="shared" si="56"/>
        <v>2.5920999999936374E-4</v>
      </c>
      <c r="S615">
        <f t="shared" si="57"/>
        <v>4.6882221918029504E-4</v>
      </c>
      <c r="T615">
        <f t="shared" si="58"/>
        <v>2.1652302860903617E-2</v>
      </c>
    </row>
    <row r="616" spans="1:20" x14ac:dyDescent="0.3">
      <c r="A616" s="2" t="s">
        <v>1165</v>
      </c>
      <c r="B616" s="2" t="s">
        <v>1160</v>
      </c>
      <c r="C616" s="2" t="s">
        <v>1108</v>
      </c>
      <c r="D616" s="2" t="s">
        <v>30</v>
      </c>
      <c r="E616">
        <v>581735.72126666666</v>
      </c>
      <c r="F616">
        <v>249015.94543333337</v>
      </c>
      <c r="G616">
        <v>66.330933333333334</v>
      </c>
      <c r="J616" s="5" t="s">
        <v>1550</v>
      </c>
      <c r="K616" s="5" t="s">
        <v>1551</v>
      </c>
      <c r="L616" s="5" t="s">
        <v>1161</v>
      </c>
      <c r="M616" s="3">
        <f t="shared" si="51"/>
        <v>1.2333333725109696E-3</v>
      </c>
      <c r="N616" s="3">
        <f t="shared" si="52"/>
        <v>6.3666666392236948E-3</v>
      </c>
      <c r="O616" s="3">
        <f t="shared" si="53"/>
        <v>1.5433333333334076E-2</v>
      </c>
      <c r="P616">
        <f t="shared" si="54"/>
        <v>1.5211112077492822E-6</v>
      </c>
      <c r="Q616">
        <f t="shared" si="55"/>
        <v>4.0534444095003937E-5</v>
      </c>
      <c r="R616">
        <f t="shared" si="56"/>
        <v>2.3818777777780072E-4</v>
      </c>
      <c r="S616">
        <f t="shared" si="57"/>
        <v>4.2055555302753219E-5</v>
      </c>
      <c r="T616">
        <f t="shared" si="58"/>
        <v>6.4850254666233365E-3</v>
      </c>
    </row>
    <row r="617" spans="1:20" x14ac:dyDescent="0.3">
      <c r="A617" s="2" t="s">
        <v>1165</v>
      </c>
      <c r="B617" s="2" t="s">
        <v>1160</v>
      </c>
      <c r="C617" s="2" t="s">
        <v>1108</v>
      </c>
      <c r="D617" s="2" t="s">
        <v>110</v>
      </c>
      <c r="E617">
        <v>581735.7252333333</v>
      </c>
      <c r="F617">
        <v>249015.95163333334</v>
      </c>
      <c r="G617">
        <v>66.324333333333342</v>
      </c>
      <c r="J617" s="5" t="s">
        <v>1550</v>
      </c>
      <c r="K617" s="5" t="s">
        <v>1551</v>
      </c>
      <c r="L617" s="5" t="s">
        <v>1161</v>
      </c>
      <c r="M617" s="3">
        <f t="shared" si="51"/>
        <v>-2.7333332691341639E-3</v>
      </c>
      <c r="N617" s="3">
        <f t="shared" si="52"/>
        <v>1.6666666488163173E-4</v>
      </c>
      <c r="O617" s="3">
        <f t="shared" si="53"/>
        <v>8.8333333333423525E-3</v>
      </c>
      <c r="P617">
        <f t="shared" si="54"/>
        <v>7.4711107601556554E-6</v>
      </c>
      <c r="Q617">
        <f t="shared" si="55"/>
        <v>2.7777777182766136E-8</v>
      </c>
      <c r="R617">
        <f t="shared" si="56"/>
        <v>7.8027777777937111E-5</v>
      </c>
      <c r="S617">
        <f t="shared" si="57"/>
        <v>7.4988885373384216E-6</v>
      </c>
      <c r="T617">
        <f t="shared" si="58"/>
        <v>2.7384098556166537E-3</v>
      </c>
    </row>
    <row r="618" spans="1:20" x14ac:dyDescent="0.3">
      <c r="A618" s="2" t="s">
        <v>1165</v>
      </c>
      <c r="B618" s="2" t="s">
        <v>1160</v>
      </c>
      <c r="C618" s="2" t="s">
        <v>1108</v>
      </c>
      <c r="D618" s="2" t="s">
        <v>1112</v>
      </c>
      <c r="E618">
        <v>581735.71453333332</v>
      </c>
      <c r="F618">
        <v>249015.94796666666</v>
      </c>
      <c r="G618">
        <v>66.33356666666667</v>
      </c>
      <c r="J618" s="5" t="s">
        <v>1550</v>
      </c>
      <c r="K618" s="5" t="s">
        <v>1551</v>
      </c>
      <c r="L618" s="5" t="s">
        <v>1161</v>
      </c>
      <c r="M618" s="3">
        <f t="shared" si="51"/>
        <v>7.9666667152196169E-3</v>
      </c>
      <c r="N618" s="3">
        <f t="shared" si="52"/>
        <v>3.8333333504851907E-3</v>
      </c>
      <c r="O618" s="3">
        <f t="shared" si="53"/>
        <v>1.8066666666669562E-2</v>
      </c>
      <c r="P618">
        <f t="shared" si="54"/>
        <v>6.346777855138812E-5</v>
      </c>
      <c r="Q618">
        <f t="shared" si="55"/>
        <v>1.4694444575942017E-5</v>
      </c>
      <c r="R618">
        <f t="shared" si="56"/>
        <v>3.2640444444454906E-4</v>
      </c>
      <c r="S618">
        <f t="shared" si="57"/>
        <v>7.8162223127330145E-5</v>
      </c>
      <c r="T618">
        <f t="shared" si="58"/>
        <v>8.8409401721383767E-3</v>
      </c>
    </row>
    <row r="619" spans="1:20" x14ac:dyDescent="0.3">
      <c r="A619" s="2" t="s">
        <v>1165</v>
      </c>
      <c r="B619" s="2" t="s">
        <v>1160</v>
      </c>
      <c r="C619" s="2" t="s">
        <v>1108</v>
      </c>
      <c r="D619" s="2" t="s">
        <v>37</v>
      </c>
      <c r="E619">
        <v>581735.73150000011</v>
      </c>
      <c r="F619">
        <v>249015.95983333336</v>
      </c>
      <c r="G619">
        <v>66.297733333333326</v>
      </c>
      <c r="J619" s="5" t="s">
        <v>1550</v>
      </c>
      <c r="K619" s="5" t="s">
        <v>1551</v>
      </c>
      <c r="L619" s="5" t="s">
        <v>1161</v>
      </c>
      <c r="M619" s="3">
        <f t="shared" si="51"/>
        <v>-9.0000000782310963E-3</v>
      </c>
      <c r="N619" s="3">
        <f t="shared" si="52"/>
        <v>-8.033333346247673E-3</v>
      </c>
      <c r="O619" s="3">
        <f t="shared" si="53"/>
        <v>1.7766666666673814E-2</v>
      </c>
      <c r="P619">
        <f t="shared" si="54"/>
        <v>8.1000001408159739E-5</v>
      </c>
      <c r="Q619">
        <f t="shared" si="55"/>
        <v>6.4534444651934836E-5</v>
      </c>
      <c r="R619">
        <f t="shared" si="56"/>
        <v>3.1565444444469839E-4</v>
      </c>
      <c r="S619">
        <f t="shared" si="57"/>
        <v>1.4553444606009457E-4</v>
      </c>
      <c r="T619">
        <f t="shared" si="58"/>
        <v>1.2063765832446127E-2</v>
      </c>
    </row>
    <row r="620" spans="1:20" x14ac:dyDescent="0.3">
      <c r="A620" s="2" t="s">
        <v>1165</v>
      </c>
      <c r="B620" s="2" t="s">
        <v>1160</v>
      </c>
      <c r="C620" s="2" t="s">
        <v>1108</v>
      </c>
      <c r="D620" s="2" t="s">
        <v>46</v>
      </c>
      <c r="E620">
        <v>581735.73056666669</v>
      </c>
      <c r="F620">
        <v>249015.95896666669</v>
      </c>
      <c r="G620">
        <v>66.298133333333325</v>
      </c>
      <c r="J620" s="5" t="s">
        <v>1550</v>
      </c>
      <c r="K620" s="5" t="s">
        <v>1551</v>
      </c>
      <c r="L620" s="5" t="s">
        <v>1161</v>
      </c>
      <c r="M620" s="3">
        <f t="shared" si="51"/>
        <v>-8.0666666617617011E-3</v>
      </c>
      <c r="N620" s="3">
        <f t="shared" si="52"/>
        <v>-7.1666666772216558E-3</v>
      </c>
      <c r="O620" s="3">
        <f t="shared" si="53"/>
        <v>1.7366666666674746E-2</v>
      </c>
      <c r="P620">
        <f t="shared" si="54"/>
        <v>6.5071111031977667E-5</v>
      </c>
      <c r="Q620">
        <f t="shared" si="55"/>
        <v>5.1361111262399289E-5</v>
      </c>
      <c r="R620">
        <f t="shared" si="56"/>
        <v>3.0160111111139171E-4</v>
      </c>
      <c r="S620">
        <f t="shared" si="57"/>
        <v>1.1643222229437696E-4</v>
      </c>
      <c r="T620">
        <f t="shared" si="58"/>
        <v>1.0790376374083388E-2</v>
      </c>
    </row>
    <row r="621" spans="1:20" x14ac:dyDescent="0.3">
      <c r="A621" s="2" t="s">
        <v>1165</v>
      </c>
      <c r="B621" s="2" t="s">
        <v>1160</v>
      </c>
      <c r="C621" s="2" t="s">
        <v>1114</v>
      </c>
      <c r="D621" s="2" t="s">
        <v>63</v>
      </c>
      <c r="E621">
        <v>581735.69909999997</v>
      </c>
      <c r="F621">
        <v>249015.89689999996</v>
      </c>
      <c r="G621">
        <v>66.433899999999994</v>
      </c>
      <c r="J621" s="5" t="s">
        <v>1550</v>
      </c>
      <c r="K621" s="5" t="s">
        <v>1551</v>
      </c>
      <c r="L621" s="5" t="s">
        <v>1161</v>
      </c>
      <c r="M621" s="3">
        <f t="shared" si="51"/>
        <v>2.3400000063702464E-2</v>
      </c>
      <c r="N621" s="3">
        <f t="shared" si="52"/>
        <v>5.4900000046472996E-2</v>
      </c>
      <c r="O621" s="3">
        <f t="shared" si="53"/>
        <v>0.11839999999999407</v>
      </c>
      <c r="P621">
        <f t="shared" si="54"/>
        <v>5.4756000298127527E-4</v>
      </c>
      <c r="Q621">
        <f t="shared" si="55"/>
        <v>3.0140100051027352E-3</v>
      </c>
      <c r="R621">
        <f t="shared" si="56"/>
        <v>1.4018559999998594E-2</v>
      </c>
      <c r="S621">
        <f t="shared" si="57"/>
        <v>3.5615700080840105E-3</v>
      </c>
      <c r="T621">
        <f t="shared" si="58"/>
        <v>5.9678890808090683E-2</v>
      </c>
    </row>
    <row r="622" spans="1:20" x14ac:dyDescent="0.3">
      <c r="A622" s="2" t="s">
        <v>1165</v>
      </c>
      <c r="B622" s="2" t="s">
        <v>1160</v>
      </c>
      <c r="C622" s="2" t="s">
        <v>1114</v>
      </c>
      <c r="D622" s="2" t="s">
        <v>52</v>
      </c>
      <c r="E622">
        <v>581735.72700000007</v>
      </c>
      <c r="F622">
        <v>249015.95746666667</v>
      </c>
      <c r="G622">
        <v>66.3215</v>
      </c>
      <c r="J622" s="5" t="s">
        <v>1550</v>
      </c>
      <c r="K622" s="5" t="s">
        <v>1551</v>
      </c>
      <c r="L622" s="5" t="s">
        <v>1161</v>
      </c>
      <c r="M622" s="3">
        <f t="shared" si="51"/>
        <v>-4.5000000391155481E-3</v>
      </c>
      <c r="N622" s="3">
        <f t="shared" si="52"/>
        <v>-5.6666666641831398E-3</v>
      </c>
      <c r="O622" s="3">
        <f t="shared" si="53"/>
        <v>6.0000000000002274E-3</v>
      </c>
      <c r="P622">
        <f t="shared" si="54"/>
        <v>2.0250000352039935E-5</v>
      </c>
      <c r="Q622">
        <f t="shared" si="55"/>
        <v>3.2111111082964473E-5</v>
      </c>
      <c r="R622">
        <f t="shared" si="56"/>
        <v>3.6000000000002732E-5</v>
      </c>
      <c r="S622">
        <f t="shared" si="57"/>
        <v>5.2361111435004408E-5</v>
      </c>
      <c r="T622">
        <f t="shared" si="58"/>
        <v>7.2360978044111873E-3</v>
      </c>
    </row>
    <row r="623" spans="1:20" x14ac:dyDescent="0.3">
      <c r="A623" s="2" t="s">
        <v>1165</v>
      </c>
      <c r="B623" s="2" t="s">
        <v>1160</v>
      </c>
      <c r="C623" s="2" t="s">
        <v>1108</v>
      </c>
      <c r="D623" s="2" t="s">
        <v>30</v>
      </c>
      <c r="E623">
        <v>581735.7254</v>
      </c>
      <c r="F623">
        <v>249015.94113333334</v>
      </c>
      <c r="G623">
        <v>66.298266666666663</v>
      </c>
      <c r="J623" s="5" t="s">
        <v>1550</v>
      </c>
      <c r="K623" s="5" t="s">
        <v>1551</v>
      </c>
      <c r="L623" s="5" t="s">
        <v>1161</v>
      </c>
      <c r="M623" s="3">
        <f t="shared" si="51"/>
        <v>-2.899999963119626E-3</v>
      </c>
      <c r="N623" s="3">
        <f t="shared" si="52"/>
        <v>1.0666666668839753E-2</v>
      </c>
      <c r="O623" s="3">
        <f t="shared" si="53"/>
        <v>1.7233333333336986E-2</v>
      </c>
      <c r="P623">
        <f t="shared" si="54"/>
        <v>8.4099997860938324E-6</v>
      </c>
      <c r="Q623">
        <f t="shared" si="55"/>
        <v>1.1377777782413695E-4</v>
      </c>
      <c r="R623">
        <f t="shared" si="56"/>
        <v>2.9698777777790368E-4</v>
      </c>
      <c r="S623">
        <f t="shared" si="57"/>
        <v>1.2218777761023076E-4</v>
      </c>
      <c r="T623">
        <f t="shared" si="58"/>
        <v>1.1053858041888848E-2</v>
      </c>
    </row>
    <row r="624" spans="1:20" x14ac:dyDescent="0.3">
      <c r="A624" s="2" t="s">
        <v>1165</v>
      </c>
      <c r="B624" s="2" t="s">
        <v>1160</v>
      </c>
      <c r="C624" s="2" t="s">
        <v>1120</v>
      </c>
      <c r="D624" s="4" t="s">
        <v>423</v>
      </c>
      <c r="E624">
        <v>581735.70313333336</v>
      </c>
      <c r="F624">
        <v>249015.97019999998</v>
      </c>
      <c r="G624">
        <v>66.42746666666666</v>
      </c>
      <c r="J624" s="5" t="s">
        <v>1550</v>
      </c>
      <c r="K624" s="5" t="s">
        <v>1551</v>
      </c>
      <c r="L624" s="5" t="s">
        <v>1161</v>
      </c>
      <c r="M624" s="3">
        <f t="shared" si="51"/>
        <v>1.9366666674613953E-2</v>
      </c>
      <c r="N624" s="3">
        <f t="shared" si="52"/>
        <v>-1.839999997173436E-2</v>
      </c>
      <c r="O624" s="3">
        <f t="shared" si="53"/>
        <v>0.11196666666666033</v>
      </c>
      <c r="P624">
        <f t="shared" si="54"/>
        <v>3.7506777808560265E-4</v>
      </c>
      <c r="Q624">
        <f t="shared" si="55"/>
        <v>3.3855999895982447E-4</v>
      </c>
      <c r="R624">
        <f t="shared" si="56"/>
        <v>1.2536534444443026E-2</v>
      </c>
      <c r="S624">
        <f t="shared" si="57"/>
        <v>7.1362777704542712E-4</v>
      </c>
      <c r="T624">
        <f t="shared" si="58"/>
        <v>2.6713812476796103E-2</v>
      </c>
    </row>
    <row r="625" spans="1:20" x14ac:dyDescent="0.3">
      <c r="A625" s="2" t="s">
        <v>1165</v>
      </c>
      <c r="B625" s="2" t="s">
        <v>1160</v>
      </c>
      <c r="C625" s="2" t="s">
        <v>1120</v>
      </c>
      <c r="D625" s="4" t="s">
        <v>1019</v>
      </c>
      <c r="E625">
        <v>581735.69623333332</v>
      </c>
      <c r="F625">
        <v>249015.96823333332</v>
      </c>
      <c r="G625">
        <v>66.436999999999998</v>
      </c>
      <c r="J625" s="5" t="s">
        <v>1550</v>
      </c>
      <c r="K625" s="5" t="s">
        <v>1551</v>
      </c>
      <c r="L625" s="5" t="s">
        <v>1161</v>
      </c>
      <c r="M625" s="3">
        <f t="shared" si="51"/>
        <v>2.6266666711308062E-2</v>
      </c>
      <c r="N625" s="3">
        <f t="shared" si="52"/>
        <v>-1.6433333308668807E-2</v>
      </c>
      <c r="O625" s="3">
        <f t="shared" si="53"/>
        <v>0.1214999999999975</v>
      </c>
      <c r="P625">
        <f t="shared" si="54"/>
        <v>6.8993778012293907E-4</v>
      </c>
      <c r="Q625">
        <f t="shared" si="55"/>
        <v>2.7005444363380367E-4</v>
      </c>
      <c r="R625">
        <f t="shared" si="56"/>
        <v>1.4762249999999392E-2</v>
      </c>
      <c r="S625">
        <f t="shared" si="57"/>
        <v>9.5999222375674274E-4</v>
      </c>
      <c r="T625">
        <f t="shared" si="58"/>
        <v>3.0983741280819248E-2</v>
      </c>
    </row>
    <row r="626" spans="1:20" x14ac:dyDescent="0.3">
      <c r="A626" s="2" t="s">
        <v>1165</v>
      </c>
      <c r="B626" s="2" t="s">
        <v>1162</v>
      </c>
      <c r="C626" s="2" t="s">
        <v>1108</v>
      </c>
      <c r="D626" s="2" t="s">
        <v>30</v>
      </c>
      <c r="E626">
        <v>527868.58823333331</v>
      </c>
      <c r="F626">
        <v>274958.46369999996</v>
      </c>
      <c r="G626">
        <v>66.673733333333345</v>
      </c>
      <c r="J626" s="5" t="s">
        <v>1552</v>
      </c>
      <c r="K626" s="5" t="s">
        <v>1553</v>
      </c>
      <c r="L626" s="5" t="s">
        <v>1163</v>
      </c>
      <c r="M626" s="3">
        <f t="shared" si="51"/>
        <v>-3.4333333605900407E-3</v>
      </c>
      <c r="N626" s="3">
        <f t="shared" si="52"/>
        <v>-1.1999999987892807E-2</v>
      </c>
      <c r="O626" s="3">
        <f t="shared" si="53"/>
        <v>2.0666666666500078E-3</v>
      </c>
      <c r="P626">
        <f t="shared" si="54"/>
        <v>1.1787777964940502E-5</v>
      </c>
      <c r="Q626">
        <f t="shared" si="55"/>
        <v>1.4399999970942734E-4</v>
      </c>
      <c r="R626">
        <f t="shared" si="56"/>
        <v>4.2711111110422541E-6</v>
      </c>
      <c r="S626">
        <f t="shared" si="57"/>
        <v>1.5578777767436783E-4</v>
      </c>
      <c r="T626">
        <f t="shared" si="58"/>
        <v>1.2481497413145902E-2</v>
      </c>
    </row>
    <row r="627" spans="1:20" x14ac:dyDescent="0.3">
      <c r="A627" s="2" t="s">
        <v>1165</v>
      </c>
      <c r="B627" s="2" t="s">
        <v>1162</v>
      </c>
      <c r="C627" s="2" t="s">
        <v>1108</v>
      </c>
      <c r="D627" s="2" t="s">
        <v>1112</v>
      </c>
      <c r="E627">
        <v>527868.52513333329</v>
      </c>
      <c r="F627">
        <v>274958.45773333329</v>
      </c>
      <c r="G627">
        <v>66.821866666666665</v>
      </c>
      <c r="J627" s="5" t="s">
        <v>1552</v>
      </c>
      <c r="K627" s="5" t="s">
        <v>1553</v>
      </c>
      <c r="L627" s="5" t="s">
        <v>1163</v>
      </c>
      <c r="M627" s="3">
        <f t="shared" si="51"/>
        <v>5.966666666790843E-2</v>
      </c>
      <c r="N627" s="3">
        <f t="shared" si="52"/>
        <v>-6.0333333094604313E-3</v>
      </c>
      <c r="O627" s="3">
        <f t="shared" si="53"/>
        <v>0.14606666666666968</v>
      </c>
      <c r="P627">
        <f t="shared" si="54"/>
        <v>3.5601111112592947E-3</v>
      </c>
      <c r="Q627">
        <f t="shared" si="55"/>
        <v>3.6401110823044758E-5</v>
      </c>
      <c r="R627">
        <f t="shared" si="56"/>
        <v>2.1335471111111989E-2</v>
      </c>
      <c r="S627">
        <f t="shared" si="57"/>
        <v>3.5965122220823396E-3</v>
      </c>
      <c r="T627">
        <f t="shared" si="58"/>
        <v>5.9970928140911241E-2</v>
      </c>
    </row>
    <row r="628" spans="1:20" x14ac:dyDescent="0.3">
      <c r="A628" s="2" t="s">
        <v>1165</v>
      </c>
      <c r="B628" s="2" t="s">
        <v>1162</v>
      </c>
      <c r="C628" s="2" t="s">
        <v>1108</v>
      </c>
      <c r="D628" s="2" t="s">
        <v>37</v>
      </c>
      <c r="E628">
        <v>527868.61326666677</v>
      </c>
      <c r="F628">
        <v>274958.48359999998</v>
      </c>
      <c r="G628">
        <v>66.669033333333331</v>
      </c>
      <c r="J628" s="5" t="s">
        <v>1552</v>
      </c>
      <c r="K628" s="5" t="s">
        <v>1553</v>
      </c>
      <c r="L628" s="5" t="s">
        <v>1163</v>
      </c>
      <c r="M628" s="3">
        <f t="shared" si="51"/>
        <v>-2.8466666815802455E-2</v>
      </c>
      <c r="N628" s="3">
        <f t="shared" si="52"/>
        <v>-3.1900000001769513E-2</v>
      </c>
      <c r="O628" s="3">
        <f t="shared" si="53"/>
        <v>6.766666666663923E-3</v>
      </c>
      <c r="P628">
        <f t="shared" si="54"/>
        <v>8.1035111960190863E-4</v>
      </c>
      <c r="Q628">
        <f t="shared" si="55"/>
        <v>1.0176100001128949E-3</v>
      </c>
      <c r="R628">
        <f t="shared" si="56"/>
        <v>4.5787777777740644E-5</v>
      </c>
      <c r="S628">
        <f t="shared" si="57"/>
        <v>1.8279611197148035E-3</v>
      </c>
      <c r="T628">
        <f t="shared" si="58"/>
        <v>4.2754661964688759E-2</v>
      </c>
    </row>
    <row r="629" spans="1:20" x14ac:dyDescent="0.3">
      <c r="A629" s="2" t="s">
        <v>1165</v>
      </c>
      <c r="B629" s="2" t="s">
        <v>1162</v>
      </c>
      <c r="C629" s="2" t="s">
        <v>1108</v>
      </c>
      <c r="D629" s="2" t="s">
        <v>46</v>
      </c>
      <c r="E629">
        <v>527868.60053333326</v>
      </c>
      <c r="F629">
        <v>274958.47123333329</v>
      </c>
      <c r="G629">
        <v>66.661699999999996</v>
      </c>
      <c r="J629" s="5" t="s">
        <v>1552</v>
      </c>
      <c r="K629" s="5" t="s">
        <v>1553</v>
      </c>
      <c r="L629" s="5" t="s">
        <v>1163</v>
      </c>
      <c r="M629" s="3">
        <f t="shared" si="51"/>
        <v>-1.5733333304524422E-2</v>
      </c>
      <c r="N629" s="3">
        <f t="shared" si="52"/>
        <v>-1.9533333310391754E-2</v>
      </c>
      <c r="O629" s="3">
        <f t="shared" si="53"/>
        <v>1.4099999999999113E-2</v>
      </c>
      <c r="P629">
        <f t="shared" si="54"/>
        <v>2.4753777687125736E-4</v>
      </c>
      <c r="Q629">
        <f t="shared" si="55"/>
        <v>3.8155111021486007E-4</v>
      </c>
      <c r="R629">
        <f t="shared" si="56"/>
        <v>1.9880999999997498E-4</v>
      </c>
      <c r="S629">
        <f t="shared" si="57"/>
        <v>6.2908888708611743E-4</v>
      </c>
      <c r="T629">
        <f t="shared" si="58"/>
        <v>2.5081644425478115E-2</v>
      </c>
    </row>
    <row r="630" spans="1:20" x14ac:dyDescent="0.3">
      <c r="A630" s="2" t="s">
        <v>1165</v>
      </c>
      <c r="B630" s="2" t="s">
        <v>1162</v>
      </c>
      <c r="C630" s="2" t="s">
        <v>1114</v>
      </c>
      <c r="D630" s="2" t="s">
        <v>63</v>
      </c>
      <c r="E630">
        <v>527868.62506666675</v>
      </c>
      <c r="F630">
        <v>274958.46336666663</v>
      </c>
      <c r="G630">
        <v>66.590033333333324</v>
      </c>
      <c r="J630" s="5" t="s">
        <v>1552</v>
      </c>
      <c r="K630" s="5" t="s">
        <v>1553</v>
      </c>
      <c r="L630" s="5" t="s">
        <v>1163</v>
      </c>
      <c r="M630" s="3">
        <f t="shared" si="51"/>
        <v>-4.0266666794195771E-2</v>
      </c>
      <c r="N630" s="3">
        <f t="shared" si="52"/>
        <v>-1.1666666658129543E-2</v>
      </c>
      <c r="O630" s="3">
        <f t="shared" si="53"/>
        <v>8.5766666666671654E-2</v>
      </c>
      <c r="P630">
        <f t="shared" si="54"/>
        <v>1.6214044547147883E-3</v>
      </c>
      <c r="Q630">
        <f t="shared" si="55"/>
        <v>1.3611111091191156E-4</v>
      </c>
      <c r="R630">
        <f t="shared" si="56"/>
        <v>7.3559211111119665E-3</v>
      </c>
      <c r="S630">
        <f t="shared" si="57"/>
        <v>1.7575155656266999E-3</v>
      </c>
      <c r="T630">
        <f t="shared" si="58"/>
        <v>4.1922733279531048E-2</v>
      </c>
    </row>
    <row r="631" spans="1:20" x14ac:dyDescent="0.3">
      <c r="A631" s="2" t="s">
        <v>1165</v>
      </c>
      <c r="B631" s="2" t="s">
        <v>1162</v>
      </c>
      <c r="C631" s="2" t="s">
        <v>1114</v>
      </c>
      <c r="D631" s="2" t="s">
        <v>30</v>
      </c>
      <c r="E631">
        <v>527868.6172000001</v>
      </c>
      <c r="F631">
        <v>274958.45750000002</v>
      </c>
      <c r="G631">
        <v>66.592433333333318</v>
      </c>
      <c r="J631" s="5" t="s">
        <v>1552</v>
      </c>
      <c r="K631" s="5" t="s">
        <v>1553</v>
      </c>
      <c r="L631" s="5" t="s">
        <v>1163</v>
      </c>
      <c r="M631" s="3">
        <f t="shared" si="51"/>
        <v>-3.240000014193356E-2</v>
      </c>
      <c r="N631" s="3">
        <f t="shared" si="52"/>
        <v>-5.8000000426545739E-3</v>
      </c>
      <c r="O631" s="3">
        <f t="shared" si="53"/>
        <v>8.3366666666677247E-2</v>
      </c>
      <c r="P631">
        <f t="shared" si="54"/>
        <v>1.0497600091972947E-3</v>
      </c>
      <c r="Q631">
        <f t="shared" si="55"/>
        <v>3.3640000494793059E-5</v>
      </c>
      <c r="R631">
        <f t="shared" si="56"/>
        <v>6.9500011111128749E-3</v>
      </c>
      <c r="S631">
        <f t="shared" si="57"/>
        <v>1.0834000096920878E-3</v>
      </c>
      <c r="T631">
        <f t="shared" si="58"/>
        <v>3.2915042301234973E-2</v>
      </c>
    </row>
    <row r="632" spans="1:20" x14ac:dyDescent="0.3">
      <c r="A632" s="2" t="s">
        <v>1165</v>
      </c>
      <c r="B632" s="2" t="s">
        <v>1162</v>
      </c>
      <c r="C632" s="2" t="s">
        <v>1114</v>
      </c>
      <c r="D632" s="2" t="s">
        <v>52</v>
      </c>
      <c r="E632">
        <v>527868.88503333332</v>
      </c>
      <c r="F632">
        <v>274958.4054333333</v>
      </c>
      <c r="G632">
        <v>66.813666666666663</v>
      </c>
      <c r="J632" s="5" t="s">
        <v>1552</v>
      </c>
      <c r="K632" s="5" t="s">
        <v>1553</v>
      </c>
      <c r="L632" s="5" t="s">
        <v>1163</v>
      </c>
      <c r="M632" s="3">
        <f t="shared" si="51"/>
        <v>-0.30023333337157965</v>
      </c>
      <c r="N632" s="3">
        <f t="shared" si="52"/>
        <v>4.6266666671726853E-2</v>
      </c>
      <c r="O632" s="3">
        <f t="shared" si="53"/>
        <v>0.13786666666666747</v>
      </c>
      <c r="P632">
        <f t="shared" si="54"/>
        <v>9.014005446741008E-2</v>
      </c>
      <c r="Q632">
        <f t="shared" si="55"/>
        <v>2.1406044449126804E-3</v>
      </c>
      <c r="R632">
        <f t="shared" si="56"/>
        <v>1.9007217777777998E-2</v>
      </c>
      <c r="S632">
        <f t="shared" si="57"/>
        <v>9.2280658912322761E-2</v>
      </c>
      <c r="T632">
        <f t="shared" si="58"/>
        <v>0.3037773179688088</v>
      </c>
    </row>
    <row r="633" spans="1:20" x14ac:dyDescent="0.3">
      <c r="A633" s="2" t="s">
        <v>1165</v>
      </c>
      <c r="B633" s="2" t="s">
        <v>1162</v>
      </c>
      <c r="C633" s="2" t="s">
        <v>1120</v>
      </c>
      <c r="D633" s="4" t="s">
        <v>1019</v>
      </c>
      <c r="E633">
        <v>527869.15496666671</v>
      </c>
      <c r="F633">
        <v>274958.37060000002</v>
      </c>
      <c r="G633">
        <v>67.049633333333347</v>
      </c>
      <c r="H633" t="s">
        <v>1554</v>
      </c>
      <c r="I633" t="s">
        <v>1554</v>
      </c>
      <c r="J633" s="5" t="s">
        <v>1552</v>
      </c>
      <c r="K633" s="5" t="s">
        <v>1553</v>
      </c>
      <c r="L633" s="5" t="s">
        <v>1163</v>
      </c>
      <c r="M633" s="3">
        <f t="shared" si="51"/>
        <v>-0.57016666675917804</v>
      </c>
      <c r="N633" s="3">
        <f t="shared" si="52"/>
        <v>8.109999995213002E-2</v>
      </c>
      <c r="O633" s="3">
        <f t="shared" si="53"/>
        <v>0.37383333333335145</v>
      </c>
      <c r="P633">
        <f t="shared" si="54"/>
        <v>0.32509002788327157</v>
      </c>
      <c r="Q633">
        <f t="shared" si="55"/>
        <v>6.5772099922354896E-3</v>
      </c>
      <c r="R633">
        <f t="shared" si="56"/>
        <v>0.13975136111112466</v>
      </c>
      <c r="S633">
        <f t="shared" si="57"/>
        <v>0.33166723787550706</v>
      </c>
      <c r="T633">
        <f t="shared" si="58"/>
        <v>0.57590558069488007</v>
      </c>
    </row>
    <row r="634" spans="1:20" x14ac:dyDescent="0.3">
      <c r="A634" s="2" t="s">
        <v>1165</v>
      </c>
      <c r="B634" s="2" t="s">
        <v>1162</v>
      </c>
      <c r="C634" s="2" t="s">
        <v>1120</v>
      </c>
      <c r="D634" s="4" t="s">
        <v>423</v>
      </c>
      <c r="E634">
        <v>527868.82983333326</v>
      </c>
      <c r="F634">
        <v>274958.4657</v>
      </c>
      <c r="G634">
        <v>66.968933333333339</v>
      </c>
      <c r="H634" t="s">
        <v>1554</v>
      </c>
      <c r="I634" t="s">
        <v>1554</v>
      </c>
      <c r="J634" s="5" t="s">
        <v>1552</v>
      </c>
      <c r="K634" s="5" t="s">
        <v>1553</v>
      </c>
      <c r="L634" s="5" t="s">
        <v>1163</v>
      </c>
      <c r="M634" s="3">
        <f t="shared" si="51"/>
        <v>-0.24503333331085742</v>
      </c>
      <c r="N634" s="3">
        <f t="shared" si="52"/>
        <v>-1.4000000024680048E-2</v>
      </c>
      <c r="O634" s="3">
        <f t="shared" si="53"/>
        <v>0.29313333333334413</v>
      </c>
      <c r="P634">
        <f t="shared" si="54"/>
        <v>6.0041334433429745E-2</v>
      </c>
      <c r="Q634">
        <f t="shared" si="55"/>
        <v>1.9600000069104135E-4</v>
      </c>
      <c r="R634">
        <f t="shared" si="56"/>
        <v>8.5927151111117442E-2</v>
      </c>
      <c r="S634">
        <f t="shared" si="57"/>
        <v>6.0237334434120784E-2</v>
      </c>
      <c r="T634">
        <f t="shared" si="58"/>
        <v>0.24543295303222992</v>
      </c>
    </row>
    <row r="635" spans="1:20" x14ac:dyDescent="0.3">
      <c r="A635" s="2" t="s">
        <v>1165</v>
      </c>
      <c r="B635" s="2" t="s">
        <v>1543</v>
      </c>
      <c r="C635" s="2" t="s">
        <v>1108</v>
      </c>
      <c r="D635" s="2" t="s">
        <v>110</v>
      </c>
      <c r="E635">
        <v>527868.76446666662</v>
      </c>
      <c r="F635">
        <v>274958.6271333333</v>
      </c>
      <c r="G635">
        <v>67.099266666666665</v>
      </c>
      <c r="H635" t="s">
        <v>1554</v>
      </c>
      <c r="I635" t="s">
        <v>1554</v>
      </c>
      <c r="J635" s="5" t="s">
        <v>1552</v>
      </c>
      <c r="K635" s="5" t="s">
        <v>1553</v>
      </c>
      <c r="L635" s="5" t="s">
        <v>1163</v>
      </c>
      <c r="M635" s="3">
        <f t="shared" si="51"/>
        <v>-0.17966666666325182</v>
      </c>
      <c r="N635" s="3">
        <f t="shared" si="52"/>
        <v>-0.17543333332287148</v>
      </c>
      <c r="O635" s="3">
        <f t="shared" si="53"/>
        <v>0.42346666666666977</v>
      </c>
      <c r="P635">
        <f t="shared" si="54"/>
        <v>3.228011110988404E-2</v>
      </c>
      <c r="Q635">
        <f t="shared" si="55"/>
        <v>3.0776854440773726E-2</v>
      </c>
      <c r="R635">
        <f t="shared" si="56"/>
        <v>0.1793240177777804</v>
      </c>
      <c r="S635">
        <f t="shared" si="57"/>
        <v>6.3056965550657762E-2</v>
      </c>
      <c r="T635">
        <f t="shared" si="58"/>
        <v>0.25111146041281701</v>
      </c>
    </row>
    <row r="636" spans="1:20" x14ac:dyDescent="0.3">
      <c r="A636" s="2" t="s">
        <v>1279</v>
      </c>
      <c r="B636" s="4" t="s">
        <v>1179</v>
      </c>
      <c r="C636" s="2" t="s">
        <v>1108</v>
      </c>
      <c r="D636" s="2" t="s">
        <v>30</v>
      </c>
      <c r="E636" s="8">
        <v>554380.74226666661</v>
      </c>
      <c r="F636" s="8">
        <v>286933.76806666667</v>
      </c>
      <c r="G636" s="3">
        <v>232.86733333333333</v>
      </c>
      <c r="J636" s="5" t="s">
        <v>1213</v>
      </c>
      <c r="K636" s="5" t="s">
        <v>1214</v>
      </c>
      <c r="L636" s="5" t="s">
        <v>1280</v>
      </c>
      <c r="M636" s="3">
        <f t="shared" ref="M636:N650" si="59">J636-E636</f>
        <v>2.8833333402872086E-2</v>
      </c>
      <c r="N636" s="3">
        <f t="shared" si="59"/>
        <v>1.253333332715556E-2</v>
      </c>
      <c r="O636" s="3">
        <f t="shared" ref="O636:O667" si="60">ABS(L636-G636)</f>
        <v>1.5566666666671836E-2</v>
      </c>
      <c r="P636">
        <f t="shared" ref="P636:R699" si="61">POWER(M636,2)</f>
        <v>8.3136111512117916E-4</v>
      </c>
      <c r="Q636">
        <f t="shared" si="61"/>
        <v>1.5708444428958826E-4</v>
      </c>
      <c r="R636">
        <f t="shared" si="61"/>
        <v>2.4232111111127202E-4</v>
      </c>
      <c r="S636">
        <f t="shared" ref="S636:S667" si="62">P636+Q636</f>
        <v>9.884455594107674E-4</v>
      </c>
      <c r="T636">
        <f t="shared" ref="T636:T667" si="63">SQRT(S636)</f>
        <v>3.143955405871348E-2</v>
      </c>
    </row>
    <row r="637" spans="1:20" x14ac:dyDescent="0.3">
      <c r="A637" s="2" t="s">
        <v>1279</v>
      </c>
      <c r="B637" s="4" t="s">
        <v>1179</v>
      </c>
      <c r="C637" s="2" t="s">
        <v>1108</v>
      </c>
      <c r="D637" s="2" t="s">
        <v>1112</v>
      </c>
      <c r="E637" s="8">
        <v>554380.74326666666</v>
      </c>
      <c r="F637" s="8">
        <v>286933.77240000002</v>
      </c>
      <c r="G637" s="3">
        <v>232.857</v>
      </c>
      <c r="J637" s="5" t="s">
        <v>1213</v>
      </c>
      <c r="K637" s="5" t="s">
        <v>1214</v>
      </c>
      <c r="L637" s="5" t="s">
        <v>1280</v>
      </c>
      <c r="M637" s="3">
        <f t="shared" si="59"/>
        <v>2.7833333355374634E-2</v>
      </c>
      <c r="N637" s="3">
        <f t="shared" si="59"/>
        <v>8.1999999820254743E-3</v>
      </c>
      <c r="O637" s="3">
        <f t="shared" si="60"/>
        <v>2.590000000000714E-2</v>
      </c>
      <c r="P637">
        <f t="shared" si="61"/>
        <v>7.7469444567141018E-4</v>
      </c>
      <c r="Q637">
        <f t="shared" si="61"/>
        <v>6.7239999705217776E-5</v>
      </c>
      <c r="R637">
        <f t="shared" si="61"/>
        <v>6.708100000003698E-4</v>
      </c>
      <c r="S637">
        <f t="shared" si="62"/>
        <v>8.4193444537662796E-4</v>
      </c>
      <c r="T637">
        <f t="shared" si="63"/>
        <v>2.9016106654350234E-2</v>
      </c>
    </row>
    <row r="638" spans="1:20" x14ac:dyDescent="0.3">
      <c r="A638" s="2" t="s">
        <v>1279</v>
      </c>
      <c r="B638" s="4" t="s">
        <v>1180</v>
      </c>
      <c r="C638" s="2" t="s">
        <v>1108</v>
      </c>
      <c r="D638" s="2" t="s">
        <v>37</v>
      </c>
      <c r="E638" s="8">
        <v>554380.74353333341</v>
      </c>
      <c r="F638" s="8">
        <v>286933.78849999997</v>
      </c>
      <c r="G638" s="3">
        <v>232.85633333333331</v>
      </c>
      <c r="J638" s="5" t="s">
        <v>1215</v>
      </c>
      <c r="K638" s="5" t="s">
        <v>1216</v>
      </c>
      <c r="L638" s="5" t="s">
        <v>1280</v>
      </c>
      <c r="M638" s="3">
        <f t="shared" si="59"/>
        <v>2.7566666598431766E-2</v>
      </c>
      <c r="N638" s="3">
        <f t="shared" si="59"/>
        <v>-7.8999999677762389E-3</v>
      </c>
      <c r="O638" s="3">
        <f t="shared" si="60"/>
        <v>2.6566666666695937E-2</v>
      </c>
      <c r="P638">
        <f t="shared" si="61"/>
        <v>7.5992110734909358E-4</v>
      </c>
      <c r="Q638">
        <f t="shared" si="61"/>
        <v>6.2409999490864576E-5</v>
      </c>
      <c r="R638">
        <f t="shared" si="61"/>
        <v>7.0578777777933306E-4</v>
      </c>
      <c r="S638">
        <f t="shared" si="62"/>
        <v>8.2233110683995814E-4</v>
      </c>
      <c r="T638">
        <f t="shared" si="63"/>
        <v>2.8676316130911206E-2</v>
      </c>
    </row>
    <row r="639" spans="1:20" x14ac:dyDescent="0.3">
      <c r="A639" s="2" t="s">
        <v>1279</v>
      </c>
      <c r="B639" s="4" t="s">
        <v>1180</v>
      </c>
      <c r="C639" s="2" t="s">
        <v>1108</v>
      </c>
      <c r="D639" s="2" t="s">
        <v>46</v>
      </c>
      <c r="E639" s="8">
        <v>554380.74320000003</v>
      </c>
      <c r="F639" s="8">
        <v>286933.76033333334</v>
      </c>
      <c r="G639" s="3">
        <v>232.89499999999998</v>
      </c>
      <c r="J639" s="5" t="s">
        <v>1215</v>
      </c>
      <c r="K639" s="5" t="s">
        <v>1216</v>
      </c>
      <c r="L639" s="5" t="s">
        <v>1280</v>
      </c>
      <c r="M639" s="3">
        <f t="shared" si="59"/>
        <v>2.789999998640269E-2</v>
      </c>
      <c r="N639" s="3">
        <f t="shared" si="59"/>
        <v>2.0266666659153998E-2</v>
      </c>
      <c r="O639" s="3">
        <f t="shared" si="60"/>
        <v>1.2099999999975353E-2</v>
      </c>
      <c r="P639">
        <f t="shared" si="61"/>
        <v>7.7840999924127011E-4</v>
      </c>
      <c r="Q639">
        <f t="shared" si="61"/>
        <v>4.1073777747326426E-4</v>
      </c>
      <c r="R639">
        <f t="shared" si="61"/>
        <v>1.4640999999940353E-4</v>
      </c>
      <c r="S639">
        <f t="shared" si="62"/>
        <v>1.1891477767145345E-3</v>
      </c>
      <c r="T639">
        <f t="shared" si="63"/>
        <v>3.4484022049559915E-2</v>
      </c>
    </row>
    <row r="640" spans="1:20" x14ac:dyDescent="0.3">
      <c r="A640" s="2" t="s">
        <v>1279</v>
      </c>
      <c r="B640" s="4" t="s">
        <v>1180</v>
      </c>
      <c r="C640" s="2" t="s">
        <v>1114</v>
      </c>
      <c r="D640" s="2" t="s">
        <v>30</v>
      </c>
      <c r="E640" s="8">
        <v>554380.73223333328</v>
      </c>
      <c r="F640" s="8">
        <v>286933.77659999998</v>
      </c>
      <c r="G640" s="3">
        <v>232.82866666666666</v>
      </c>
      <c r="J640" s="5" t="s">
        <v>1215</v>
      </c>
      <c r="K640" s="5" t="s">
        <v>1216</v>
      </c>
      <c r="L640" s="5" t="s">
        <v>1280</v>
      </c>
      <c r="M640" s="3">
        <f t="shared" si="59"/>
        <v>3.8866666727699339E-2</v>
      </c>
      <c r="N640" s="3">
        <f t="shared" si="59"/>
        <v>4.0000000153668225E-3</v>
      </c>
      <c r="O640" s="3">
        <f t="shared" si="60"/>
        <v>5.4233333333343126E-2</v>
      </c>
      <c r="P640">
        <f t="shared" si="61"/>
        <v>1.510617782522051E-3</v>
      </c>
      <c r="Q640">
        <f t="shared" si="61"/>
        <v>1.600000012293458E-5</v>
      </c>
      <c r="R640">
        <f t="shared" si="61"/>
        <v>2.9412544444455068E-3</v>
      </c>
      <c r="S640">
        <f t="shared" si="62"/>
        <v>1.5266177826449856E-3</v>
      </c>
      <c r="T640">
        <f t="shared" si="63"/>
        <v>3.9071956473217276E-2</v>
      </c>
    </row>
    <row r="641" spans="1:20" x14ac:dyDescent="0.3">
      <c r="A641" s="2" t="s">
        <v>1279</v>
      </c>
      <c r="B641" s="4" t="s">
        <v>1180</v>
      </c>
      <c r="C641" s="2" t="s">
        <v>1114</v>
      </c>
      <c r="D641" s="2" t="s">
        <v>52</v>
      </c>
      <c r="E641" s="8">
        <v>554380.74116666662</v>
      </c>
      <c r="F641" s="8">
        <v>286933.76900000003</v>
      </c>
      <c r="G641" s="3">
        <v>232.80833333333331</v>
      </c>
      <c r="J641" s="5" t="s">
        <v>1215</v>
      </c>
      <c r="K641" s="5" t="s">
        <v>1216</v>
      </c>
      <c r="L641" s="5" t="s">
        <v>1280</v>
      </c>
      <c r="M641" s="3">
        <f t="shared" si="59"/>
        <v>2.9933333396911621E-2</v>
      </c>
      <c r="N641" s="3">
        <f t="shared" si="59"/>
        <v>1.1599999968893826E-2</v>
      </c>
      <c r="O641" s="3">
        <f t="shared" si="60"/>
        <v>7.4566666666697756E-2</v>
      </c>
      <c r="P641">
        <f t="shared" si="61"/>
        <v>8.9600444825066461E-4</v>
      </c>
      <c r="Q641">
        <f t="shared" si="61"/>
        <v>1.3455999927833675E-4</v>
      </c>
      <c r="R641">
        <f t="shared" si="61"/>
        <v>5.5601877777824143E-3</v>
      </c>
      <c r="S641">
        <f t="shared" si="62"/>
        <v>1.0305644475290014E-3</v>
      </c>
      <c r="T641">
        <f t="shared" si="63"/>
        <v>3.21024056346094E-2</v>
      </c>
    </row>
    <row r="642" spans="1:20" x14ac:dyDescent="0.3">
      <c r="A642" s="2" t="s">
        <v>1279</v>
      </c>
      <c r="B642" s="4" t="s">
        <v>1180</v>
      </c>
      <c r="C642" s="2" t="s">
        <v>1114</v>
      </c>
      <c r="D642" s="2" t="s">
        <v>63</v>
      </c>
      <c r="E642" s="8">
        <v>554382.02656666667</v>
      </c>
      <c r="F642" s="8">
        <v>286933.84213333338</v>
      </c>
      <c r="G642" s="3">
        <v>232.02666666666664</v>
      </c>
      <c r="J642" s="5" t="s">
        <v>1215</v>
      </c>
      <c r="K642" s="5" t="s">
        <v>1216</v>
      </c>
      <c r="L642" s="5" t="s">
        <v>1280</v>
      </c>
      <c r="M642" s="3">
        <f t="shared" si="59"/>
        <v>-1.2554666666546836</v>
      </c>
      <c r="N642" s="3">
        <f t="shared" si="59"/>
        <v>-6.1533333384431899E-2</v>
      </c>
      <c r="O642" s="3">
        <f t="shared" si="60"/>
        <v>0.85623333333336404</v>
      </c>
      <c r="P642">
        <f t="shared" si="61"/>
        <v>1.5761965510810225</v>
      </c>
      <c r="Q642">
        <f t="shared" si="61"/>
        <v>3.7863511173996411E-3</v>
      </c>
      <c r="R642">
        <f t="shared" si="61"/>
        <v>0.73313552111116376</v>
      </c>
      <c r="S642">
        <f t="shared" si="62"/>
        <v>1.5799829021984222</v>
      </c>
      <c r="T642">
        <f t="shared" si="63"/>
        <v>1.2569737078389596</v>
      </c>
    </row>
    <row r="643" spans="1:20" x14ac:dyDescent="0.3">
      <c r="A643" s="2" t="s">
        <v>1279</v>
      </c>
      <c r="B643" s="4" t="s">
        <v>1181</v>
      </c>
      <c r="C643" s="2" t="s">
        <v>1108</v>
      </c>
      <c r="D643" s="2" t="s">
        <v>30</v>
      </c>
      <c r="E643" s="3">
        <v>568029.38300000003</v>
      </c>
      <c r="F643" s="3">
        <v>280126.41456666664</v>
      </c>
      <c r="G643" s="3">
        <v>167.91</v>
      </c>
      <c r="J643" s="5" t="s">
        <v>1217</v>
      </c>
      <c r="K643" s="5" t="s">
        <v>1218</v>
      </c>
      <c r="L643" s="5" t="s">
        <v>1281</v>
      </c>
      <c r="M643" s="3">
        <f t="shared" si="59"/>
        <v>-1.8200000049546361E-2</v>
      </c>
      <c r="N643" s="3">
        <f t="shared" si="59"/>
        <v>2.1033333381637931E-2</v>
      </c>
      <c r="O643" s="3">
        <f t="shared" si="60"/>
        <v>2.1500000000003183E-2</v>
      </c>
      <c r="P643">
        <f t="shared" si="61"/>
        <v>3.3124000180348754E-4</v>
      </c>
      <c r="Q643">
        <f t="shared" si="61"/>
        <v>4.4240111314312452E-4</v>
      </c>
      <c r="R643">
        <f t="shared" si="61"/>
        <v>4.6225000000013687E-4</v>
      </c>
      <c r="S643">
        <f t="shared" si="62"/>
        <v>7.7364111494661206E-4</v>
      </c>
      <c r="T643">
        <f t="shared" si="63"/>
        <v>2.7814404810216811E-2</v>
      </c>
    </row>
    <row r="644" spans="1:20" x14ac:dyDescent="0.3">
      <c r="A644" s="2" t="s">
        <v>1279</v>
      </c>
      <c r="B644" s="4" t="s">
        <v>1181</v>
      </c>
      <c r="C644" s="2" t="s">
        <v>1108</v>
      </c>
      <c r="D644" s="2" t="s">
        <v>37</v>
      </c>
      <c r="E644" s="3">
        <v>568029.37156666664</v>
      </c>
      <c r="F644" s="3">
        <v>280126.41656666668</v>
      </c>
      <c r="G644" s="3">
        <v>167.89366666666666</v>
      </c>
      <c r="J644" s="5" t="s">
        <v>1217</v>
      </c>
      <c r="K644" s="5" t="s">
        <v>1218</v>
      </c>
      <c r="L644" s="5" t="s">
        <v>1281</v>
      </c>
      <c r="M644" s="3">
        <f t="shared" si="59"/>
        <v>-6.7666666582226753E-3</v>
      </c>
      <c r="N644" s="3">
        <f t="shared" si="59"/>
        <v>1.9033333344850689E-2</v>
      </c>
      <c r="O644" s="3">
        <f t="shared" si="60"/>
        <v>5.166666666667652E-3</v>
      </c>
      <c r="P644">
        <f t="shared" si="61"/>
        <v>4.5787777663502428E-5</v>
      </c>
      <c r="Q644">
        <f t="shared" si="61"/>
        <v>3.6226777821620512E-4</v>
      </c>
      <c r="R644">
        <f t="shared" si="61"/>
        <v>2.6694444444454627E-5</v>
      </c>
      <c r="S644">
        <f t="shared" si="62"/>
        <v>4.0805555587970755E-4</v>
      </c>
      <c r="T644">
        <f t="shared" si="63"/>
        <v>2.0200385042857663E-2</v>
      </c>
    </row>
    <row r="645" spans="1:20" x14ac:dyDescent="0.3">
      <c r="A645" s="2" t="s">
        <v>1279</v>
      </c>
      <c r="B645" s="4" t="s">
        <v>1182</v>
      </c>
      <c r="C645" s="2" t="s">
        <v>1108</v>
      </c>
      <c r="D645" s="2" t="s">
        <v>46</v>
      </c>
      <c r="E645" s="3">
        <v>568029.35956666665</v>
      </c>
      <c r="F645" s="3">
        <v>280126.44766666665</v>
      </c>
      <c r="G645" s="3">
        <v>167.92066666666668</v>
      </c>
      <c r="J645" s="5" t="s">
        <v>1219</v>
      </c>
      <c r="K645" s="5" t="s">
        <v>1220</v>
      </c>
      <c r="L645" s="5" t="s">
        <v>1281</v>
      </c>
      <c r="M645" s="3">
        <f t="shared" si="59"/>
        <v>5.2333333296701312E-3</v>
      </c>
      <c r="N645" s="3">
        <f t="shared" si="59"/>
        <v>-1.2066666618920863E-2</v>
      </c>
      <c r="O645" s="3">
        <f t="shared" si="60"/>
        <v>3.2166666666682886E-2</v>
      </c>
      <c r="P645">
        <f t="shared" si="61"/>
        <v>2.7387777739436262E-5</v>
      </c>
      <c r="Q645">
        <f t="shared" si="61"/>
        <v>1.4560444329217903E-4</v>
      </c>
      <c r="R645">
        <f t="shared" si="61"/>
        <v>1.0346944444454879E-3</v>
      </c>
      <c r="S645">
        <f t="shared" si="62"/>
        <v>1.7299222103161528E-4</v>
      </c>
      <c r="T645">
        <f t="shared" si="63"/>
        <v>1.3152650722634402E-2</v>
      </c>
    </row>
    <row r="646" spans="1:20" x14ac:dyDescent="0.3">
      <c r="A646" s="2" t="s">
        <v>1279</v>
      </c>
      <c r="B646" s="4" t="s">
        <v>1182</v>
      </c>
      <c r="C646" s="2" t="s">
        <v>1108</v>
      </c>
      <c r="D646" s="2" t="s">
        <v>1112</v>
      </c>
      <c r="E646" s="3">
        <v>568029.37636666663</v>
      </c>
      <c r="F646" s="3">
        <v>280126.42859999998</v>
      </c>
      <c r="G646" s="3">
        <v>167.95466666666664</v>
      </c>
      <c r="J646" s="5" t="s">
        <v>1219</v>
      </c>
      <c r="K646" s="5" t="s">
        <v>1220</v>
      </c>
      <c r="L646" s="5" t="s">
        <v>1281</v>
      </c>
      <c r="M646" s="3">
        <f t="shared" si="59"/>
        <v>-1.1566666653379798E-2</v>
      </c>
      <c r="N646" s="3">
        <f t="shared" si="59"/>
        <v>7.0000000414438546E-3</v>
      </c>
      <c r="O646" s="3">
        <f t="shared" si="60"/>
        <v>6.6166666666646279E-2</v>
      </c>
      <c r="P646">
        <f t="shared" si="61"/>
        <v>1.3378777747040821E-4</v>
      </c>
      <c r="Q646">
        <f t="shared" si="61"/>
        <v>4.9000000580213962E-5</v>
      </c>
      <c r="R646">
        <f t="shared" si="61"/>
        <v>4.3780277777750801E-3</v>
      </c>
      <c r="S646">
        <f t="shared" si="62"/>
        <v>1.8278777805062218E-4</v>
      </c>
      <c r="T646">
        <f t="shared" si="63"/>
        <v>1.3519903034068779E-2</v>
      </c>
    </row>
    <row r="647" spans="1:20" x14ac:dyDescent="0.3">
      <c r="A647" s="2" t="s">
        <v>1279</v>
      </c>
      <c r="B647" s="4" t="s">
        <v>1182</v>
      </c>
      <c r="C647" s="2" t="s">
        <v>1114</v>
      </c>
      <c r="D647" s="2" t="s">
        <v>52</v>
      </c>
      <c r="E647" s="3">
        <v>568029.35290000006</v>
      </c>
      <c r="F647" s="3">
        <v>280126.44569999998</v>
      </c>
      <c r="G647" s="3">
        <v>167.82033333333334</v>
      </c>
      <c r="J647" s="5" t="s">
        <v>1219</v>
      </c>
      <c r="K647" s="5" t="s">
        <v>1220</v>
      </c>
      <c r="L647" s="5" t="s">
        <v>1281</v>
      </c>
      <c r="M647" s="3">
        <f t="shared" si="59"/>
        <v>1.18999999249354E-2</v>
      </c>
      <c r="N647" s="3">
        <f t="shared" si="59"/>
        <v>-1.009999995585531E-2</v>
      </c>
      <c r="O647" s="3">
        <f t="shared" si="60"/>
        <v>6.8166666666655829E-2</v>
      </c>
      <c r="P647">
        <f t="shared" si="61"/>
        <v>1.4160999821346252E-4</v>
      </c>
      <c r="Q647">
        <f t="shared" si="61"/>
        <v>1.0200999910827726E-4</v>
      </c>
      <c r="R647">
        <f t="shared" si="61"/>
        <v>4.6466944444429666E-3</v>
      </c>
      <c r="S647">
        <f t="shared" si="62"/>
        <v>2.4361999732173977E-4</v>
      </c>
      <c r="T647">
        <f t="shared" si="63"/>
        <v>1.5608331022942196E-2</v>
      </c>
    </row>
    <row r="648" spans="1:20" x14ac:dyDescent="0.3">
      <c r="A648" s="2" t="s">
        <v>1279</v>
      </c>
      <c r="B648" s="4" t="s">
        <v>1182</v>
      </c>
      <c r="C648" s="2" t="s">
        <v>1114</v>
      </c>
      <c r="D648" s="2" t="s">
        <v>30</v>
      </c>
      <c r="E648" s="3">
        <v>568029.36609999998</v>
      </c>
      <c r="F648" s="3">
        <v>280126.4241</v>
      </c>
      <c r="G648" s="3">
        <v>167.88</v>
      </c>
      <c r="J648" s="5" t="s">
        <v>1219</v>
      </c>
      <c r="K648" s="5" t="s">
        <v>1220</v>
      </c>
      <c r="L648" s="5" t="s">
        <v>1281</v>
      </c>
      <c r="M648" s="3">
        <f t="shared" si="59"/>
        <v>-1.3000000035390258E-3</v>
      </c>
      <c r="N648" s="3">
        <f t="shared" si="59"/>
        <v>1.1500000022351742E-2</v>
      </c>
      <c r="O648" s="3">
        <f t="shared" si="60"/>
        <v>8.4999999999979536E-3</v>
      </c>
      <c r="P648">
        <f t="shared" si="61"/>
        <v>1.690000009201467E-6</v>
      </c>
      <c r="Q648">
        <f t="shared" si="61"/>
        <v>1.3225000051409006E-4</v>
      </c>
      <c r="R648">
        <f t="shared" si="61"/>
        <v>7.2249999999965219E-5</v>
      </c>
      <c r="S648">
        <f t="shared" si="62"/>
        <v>1.3394000052329152E-4</v>
      </c>
      <c r="T648">
        <f t="shared" si="63"/>
        <v>1.157324502995126E-2</v>
      </c>
    </row>
    <row r="649" spans="1:20" x14ac:dyDescent="0.3">
      <c r="A649" s="2" t="s">
        <v>1279</v>
      </c>
      <c r="B649" s="4" t="s">
        <v>1182</v>
      </c>
      <c r="C649" s="2" t="s">
        <v>1120</v>
      </c>
      <c r="D649" s="2" t="s">
        <v>1019</v>
      </c>
      <c r="E649" s="3">
        <v>568029.36576666671</v>
      </c>
      <c r="F649" s="3">
        <v>280126.42016666668</v>
      </c>
      <c r="G649" s="3">
        <v>167.95966666666666</v>
      </c>
      <c r="J649" s="5" t="s">
        <v>1219</v>
      </c>
      <c r="K649" s="5" t="s">
        <v>1220</v>
      </c>
      <c r="L649" s="5" t="s">
        <v>1281</v>
      </c>
      <c r="M649" s="3">
        <f t="shared" si="59"/>
        <v>-9.6666673198342323E-4</v>
      </c>
      <c r="N649" s="3">
        <f t="shared" si="59"/>
        <v>1.5433333348482847E-2</v>
      </c>
      <c r="O649" s="3">
        <f t="shared" si="60"/>
        <v>7.1166666666670153E-2</v>
      </c>
      <c r="P649">
        <f t="shared" si="61"/>
        <v>9.3444457072351141E-7</v>
      </c>
      <c r="Q649">
        <f t="shared" si="61"/>
        <v>2.3818777824539277E-4</v>
      </c>
      <c r="R649">
        <f t="shared" si="61"/>
        <v>5.0646944444449407E-3</v>
      </c>
      <c r="S649">
        <f t="shared" si="62"/>
        <v>2.3912222281611628E-4</v>
      </c>
      <c r="T649">
        <f t="shared" si="63"/>
        <v>1.5463577296864922E-2</v>
      </c>
    </row>
    <row r="650" spans="1:20" x14ac:dyDescent="0.3">
      <c r="A650" s="2" t="s">
        <v>1279</v>
      </c>
      <c r="B650" s="4" t="s">
        <v>1182</v>
      </c>
      <c r="C650" s="2" t="s">
        <v>1120</v>
      </c>
      <c r="D650" s="2" t="s">
        <v>423</v>
      </c>
      <c r="E650" s="3">
        <v>568029.36416666664</v>
      </c>
      <c r="F650" s="3">
        <v>280126.42396666668</v>
      </c>
      <c r="G650" s="3">
        <v>167.97500000000002</v>
      </c>
      <c r="J650" s="5" t="s">
        <v>1219</v>
      </c>
      <c r="K650" s="5" t="s">
        <v>1220</v>
      </c>
      <c r="L650" s="5" t="s">
        <v>1281</v>
      </c>
      <c r="M650" s="3">
        <f t="shared" si="59"/>
        <v>6.3333334401249886E-4</v>
      </c>
      <c r="N650" s="3">
        <f t="shared" si="59"/>
        <v>1.1633333342615515E-2</v>
      </c>
      <c r="O650" s="3">
        <f t="shared" si="60"/>
        <v>8.6500000000029331E-2</v>
      </c>
      <c r="P650">
        <f t="shared" si="61"/>
        <v>4.0111112463805422E-7</v>
      </c>
      <c r="Q650">
        <f t="shared" si="61"/>
        <v>1.3533444466040987E-4</v>
      </c>
      <c r="R650">
        <f t="shared" si="61"/>
        <v>7.4822500000050743E-3</v>
      </c>
      <c r="S650">
        <f t="shared" si="62"/>
        <v>1.3573555578504792E-4</v>
      </c>
      <c r="T650">
        <f t="shared" si="63"/>
        <v>1.1650560320647584E-2</v>
      </c>
    </row>
    <row r="651" spans="1:20" x14ac:dyDescent="0.3">
      <c r="A651" s="2" t="s">
        <v>1279</v>
      </c>
      <c r="B651" s="4" t="s">
        <v>1183</v>
      </c>
      <c r="C651" s="2" t="s">
        <v>1108</v>
      </c>
      <c r="D651" s="2" t="s">
        <v>30</v>
      </c>
      <c r="E651" s="3">
        <v>592908.7182</v>
      </c>
      <c r="F651" s="3">
        <v>117532.8824</v>
      </c>
      <c r="G651" s="8">
        <v>286.31333333333333</v>
      </c>
      <c r="J651" s="5" t="s">
        <v>1221</v>
      </c>
      <c r="K651" s="5" t="s">
        <v>1222</v>
      </c>
      <c r="L651" s="5" t="s">
        <v>1282</v>
      </c>
      <c r="M651" s="3">
        <f t="shared" ref="M651:N714" si="64">J651-E651</f>
        <v>1.6100000008009374E-2</v>
      </c>
      <c r="N651" s="3">
        <f t="shared" si="64"/>
        <v>-1.3099999996484257E-2</v>
      </c>
      <c r="O651" s="3">
        <f t="shared" si="60"/>
        <v>9.4733333333351766E-2</v>
      </c>
      <c r="P651">
        <f t="shared" si="61"/>
        <v>2.5921000025790183E-4</v>
      </c>
      <c r="Q651">
        <f t="shared" si="61"/>
        <v>1.7160999990788753E-4</v>
      </c>
      <c r="R651">
        <f t="shared" si="61"/>
        <v>8.9744044444479368E-3</v>
      </c>
      <c r="S651">
        <f t="shared" si="62"/>
        <v>4.3082000016578936E-4</v>
      </c>
      <c r="T651">
        <f t="shared" si="63"/>
        <v>2.0756203895842547E-2</v>
      </c>
    </row>
    <row r="652" spans="1:20" x14ac:dyDescent="0.3">
      <c r="A652" s="2" t="s">
        <v>1279</v>
      </c>
      <c r="B652" s="4" t="s">
        <v>1183</v>
      </c>
      <c r="C652" s="2" t="s">
        <v>1108</v>
      </c>
      <c r="D652" s="2" t="s">
        <v>1112</v>
      </c>
      <c r="E652" s="3">
        <v>592908.74179999996</v>
      </c>
      <c r="F652" s="3">
        <v>117532.86350000001</v>
      </c>
      <c r="G652" s="8">
        <v>286.262</v>
      </c>
      <c r="J652" s="5" t="s">
        <v>1221</v>
      </c>
      <c r="K652" s="5" t="s">
        <v>1222</v>
      </c>
      <c r="L652" s="5" t="s">
        <v>1282</v>
      </c>
      <c r="M652" s="3">
        <f t="shared" si="64"/>
        <v>-7.4999999487772584E-3</v>
      </c>
      <c r="N652" s="3">
        <f t="shared" si="64"/>
        <v>5.7999999989988282E-3</v>
      </c>
      <c r="O652" s="3">
        <f t="shared" si="60"/>
        <v>4.3400000000019645E-2</v>
      </c>
      <c r="P652">
        <f t="shared" si="61"/>
        <v>5.6249999231658879E-5</v>
      </c>
      <c r="Q652">
        <f t="shared" si="61"/>
        <v>3.3639999988386409E-5</v>
      </c>
      <c r="R652">
        <f t="shared" si="61"/>
        <v>1.8835600000017053E-3</v>
      </c>
      <c r="S652">
        <f t="shared" si="62"/>
        <v>8.9889999220045281E-5</v>
      </c>
      <c r="T652">
        <f t="shared" si="63"/>
        <v>9.4810336577846443E-3</v>
      </c>
    </row>
    <row r="653" spans="1:20" x14ac:dyDescent="0.3">
      <c r="A653" s="2" t="s">
        <v>1279</v>
      </c>
      <c r="B653" s="4" t="s">
        <v>1184</v>
      </c>
      <c r="C653" s="2" t="s">
        <v>1108</v>
      </c>
      <c r="D653" s="2" t="s">
        <v>37</v>
      </c>
      <c r="E653" s="3">
        <v>592908.76989999996</v>
      </c>
      <c r="F653" s="3">
        <v>117532.85279999999</v>
      </c>
      <c r="G653" s="8">
        <v>286.2166666666667</v>
      </c>
      <c r="J653" s="5" t="s">
        <v>1223</v>
      </c>
      <c r="K653" s="5" t="s">
        <v>1224</v>
      </c>
      <c r="L653" s="5" t="s">
        <v>1282</v>
      </c>
      <c r="M653" s="3">
        <f t="shared" si="64"/>
        <v>-3.5599999944679439E-2</v>
      </c>
      <c r="N653" s="3">
        <f t="shared" si="64"/>
        <v>1.6500000012456439E-2</v>
      </c>
      <c r="O653" s="3">
        <f t="shared" si="60"/>
        <v>1.9333333332838265E-3</v>
      </c>
      <c r="P653">
        <f t="shared" si="61"/>
        <v>1.2673599960611761E-3</v>
      </c>
      <c r="Q653">
        <f t="shared" si="61"/>
        <v>2.7225000041106249E-4</v>
      </c>
      <c r="R653">
        <f t="shared" si="61"/>
        <v>3.7377777775863516E-6</v>
      </c>
      <c r="S653">
        <f t="shared" si="62"/>
        <v>1.5396099964722384E-3</v>
      </c>
      <c r="T653">
        <f t="shared" si="63"/>
        <v>3.9237864320987685E-2</v>
      </c>
    </row>
    <row r="654" spans="1:20" x14ac:dyDescent="0.3">
      <c r="A654" s="2" t="s">
        <v>1279</v>
      </c>
      <c r="B654" s="4" t="s">
        <v>1184</v>
      </c>
      <c r="C654" s="2" t="s">
        <v>1108</v>
      </c>
      <c r="D654" s="2" t="s">
        <v>46</v>
      </c>
      <c r="E654" s="3">
        <v>592908.76040000003</v>
      </c>
      <c r="F654" s="3">
        <v>117532.863</v>
      </c>
      <c r="G654" s="8">
        <v>286.24400000000003</v>
      </c>
      <c r="J654" s="5" t="s">
        <v>1223</v>
      </c>
      <c r="K654" s="5" t="s">
        <v>1224</v>
      </c>
      <c r="L654" s="5" t="s">
        <v>1282</v>
      </c>
      <c r="M654" s="3">
        <f t="shared" si="64"/>
        <v>-2.61000000173226E-2</v>
      </c>
      <c r="N654" s="3">
        <f t="shared" si="64"/>
        <v>6.3000000081956387E-3</v>
      </c>
      <c r="O654" s="3">
        <f t="shared" si="60"/>
        <v>2.5400000000047385E-2</v>
      </c>
      <c r="P654">
        <f t="shared" si="61"/>
        <v>6.812100009042397E-4</v>
      </c>
      <c r="Q654">
        <f t="shared" si="61"/>
        <v>3.9690000103265047E-5</v>
      </c>
      <c r="R654">
        <f t="shared" si="61"/>
        <v>6.4516000000240713E-4</v>
      </c>
      <c r="S654">
        <f t="shared" si="62"/>
        <v>7.2090000100750475E-4</v>
      </c>
      <c r="T654">
        <f t="shared" si="63"/>
        <v>2.6849581021079354E-2</v>
      </c>
    </row>
    <row r="655" spans="1:20" x14ac:dyDescent="0.3">
      <c r="A655" s="2" t="s">
        <v>1279</v>
      </c>
      <c r="B655" s="4" t="s">
        <v>1184</v>
      </c>
      <c r="C655" s="2" t="s">
        <v>1114</v>
      </c>
      <c r="D655" s="2" t="s">
        <v>52</v>
      </c>
      <c r="E655" s="3">
        <v>592908.58510000003</v>
      </c>
      <c r="F655" s="3">
        <v>117532.83289999999</v>
      </c>
      <c r="G655" s="8">
        <v>285.67466666666661</v>
      </c>
      <c r="J655" s="5" t="s">
        <v>1223</v>
      </c>
      <c r="K655" s="5" t="s">
        <v>1224</v>
      </c>
      <c r="L655" s="5" t="s">
        <v>1282</v>
      </c>
      <c r="M655" s="3">
        <f t="shared" si="64"/>
        <v>0.1491999999852851</v>
      </c>
      <c r="N655" s="3">
        <f t="shared" si="64"/>
        <v>3.6400000011781231E-2</v>
      </c>
      <c r="O655" s="3">
        <f t="shared" si="60"/>
        <v>0.54393333333337068</v>
      </c>
      <c r="P655">
        <f t="shared" si="61"/>
        <v>2.2260639995609077E-2</v>
      </c>
      <c r="Q655">
        <f t="shared" si="61"/>
        <v>1.3249600008576736E-3</v>
      </c>
      <c r="R655">
        <f t="shared" si="61"/>
        <v>0.29586347111115174</v>
      </c>
      <c r="S655">
        <f t="shared" si="62"/>
        <v>2.3585599996466752E-2</v>
      </c>
      <c r="T655">
        <f t="shared" si="63"/>
        <v>0.15357603978637668</v>
      </c>
    </row>
    <row r="656" spans="1:20" x14ac:dyDescent="0.3">
      <c r="A656" s="2" t="s">
        <v>1279</v>
      </c>
      <c r="B656" s="4" t="s">
        <v>1185</v>
      </c>
      <c r="C656" s="2" t="s">
        <v>1108</v>
      </c>
      <c r="D656" s="2" t="s">
        <v>1112</v>
      </c>
      <c r="E656" s="3">
        <v>624875.86349999998</v>
      </c>
      <c r="F656" s="3">
        <v>155946.96633333332</v>
      </c>
      <c r="G656" s="3">
        <v>204.24300000000002</v>
      </c>
      <c r="J656" s="5" t="s">
        <v>1225</v>
      </c>
      <c r="K656" s="5" t="s">
        <v>1226</v>
      </c>
      <c r="L656" s="5" t="s">
        <v>1283</v>
      </c>
      <c r="M656" s="3">
        <f t="shared" si="64"/>
        <v>3.9600000018253922E-2</v>
      </c>
      <c r="N656" s="3">
        <f t="shared" si="64"/>
        <v>-9.6333333058282733E-3</v>
      </c>
      <c r="O656" s="3">
        <f t="shared" si="60"/>
        <v>3.7900000000036016E-2</v>
      </c>
      <c r="P656">
        <f t="shared" si="61"/>
        <v>1.5681600014457106E-3</v>
      </c>
      <c r="Q656">
        <f t="shared" si="61"/>
        <v>9.2801110581180288E-5</v>
      </c>
      <c r="R656">
        <f t="shared" si="61"/>
        <v>1.43641000000273E-3</v>
      </c>
      <c r="S656">
        <f t="shared" si="62"/>
        <v>1.6609611120268909E-3</v>
      </c>
      <c r="T656">
        <f t="shared" si="63"/>
        <v>4.0754890651637024E-2</v>
      </c>
    </row>
    <row r="657" spans="1:20" x14ac:dyDescent="0.3">
      <c r="A657" s="2" t="s">
        <v>1279</v>
      </c>
      <c r="B657" s="4" t="s">
        <v>1185</v>
      </c>
      <c r="C657" s="2" t="s">
        <v>1108</v>
      </c>
      <c r="D657" s="2" t="s">
        <v>30</v>
      </c>
      <c r="E657" s="3">
        <v>624875.87939999998</v>
      </c>
      <c r="F657" s="3">
        <v>155946.98676666667</v>
      </c>
      <c r="G657" s="3">
        <v>204.26766666666666</v>
      </c>
      <c r="J657" s="5" t="s">
        <v>1225</v>
      </c>
      <c r="K657" s="5" t="s">
        <v>1226</v>
      </c>
      <c r="L657" s="5" t="s">
        <v>1283</v>
      </c>
      <c r="M657" s="3">
        <f t="shared" si="64"/>
        <v>2.3700000019744039E-2</v>
      </c>
      <c r="N657" s="3">
        <f t="shared" si="64"/>
        <v>-3.0066666658967733E-2</v>
      </c>
      <c r="O657" s="3">
        <f t="shared" si="60"/>
        <v>6.256666666666888E-2</v>
      </c>
      <c r="P657">
        <f t="shared" si="61"/>
        <v>5.6169000093586737E-4</v>
      </c>
      <c r="Q657">
        <f t="shared" si="61"/>
        <v>9.0400444398148192E-4</v>
      </c>
      <c r="R657">
        <f t="shared" si="61"/>
        <v>3.9145877777780544E-3</v>
      </c>
      <c r="S657">
        <f t="shared" si="62"/>
        <v>1.4656944449173493E-3</v>
      </c>
      <c r="T657">
        <f t="shared" si="63"/>
        <v>3.8284389049811796E-2</v>
      </c>
    </row>
    <row r="658" spans="1:20" x14ac:dyDescent="0.3">
      <c r="A658" s="2" t="s">
        <v>1279</v>
      </c>
      <c r="B658" s="4" t="s">
        <v>1186</v>
      </c>
      <c r="C658" s="2" t="s">
        <v>1108</v>
      </c>
      <c r="D658" s="2" t="s">
        <v>37</v>
      </c>
      <c r="E658" s="3">
        <v>624875.88726666674</v>
      </c>
      <c r="F658" s="3">
        <v>155946.98873333333</v>
      </c>
      <c r="G658" s="3">
        <v>204.24833333333333</v>
      </c>
      <c r="J658" s="5" t="s">
        <v>1227</v>
      </c>
      <c r="K658" s="5" t="s">
        <v>1228</v>
      </c>
      <c r="L658" s="5" t="s">
        <v>1283</v>
      </c>
      <c r="M658" s="3">
        <f t="shared" si="64"/>
        <v>1.5833333251066506E-2</v>
      </c>
      <c r="N658" s="3">
        <f t="shared" si="64"/>
        <v>-3.2033333322033286E-2</v>
      </c>
      <c r="O658" s="3">
        <f t="shared" si="60"/>
        <v>4.3233333333347446E-2</v>
      </c>
      <c r="P658">
        <f t="shared" si="61"/>
        <v>2.5069444183932824E-4</v>
      </c>
      <c r="Q658">
        <f t="shared" si="61"/>
        <v>1.026134443720488E-3</v>
      </c>
      <c r="R658">
        <f t="shared" si="61"/>
        <v>1.8691211111123314E-3</v>
      </c>
      <c r="S658">
        <f t="shared" si="62"/>
        <v>1.2768288855598163E-3</v>
      </c>
      <c r="T658">
        <f t="shared" si="63"/>
        <v>3.5732742485846451E-2</v>
      </c>
    </row>
    <row r="659" spans="1:20" x14ac:dyDescent="0.3">
      <c r="A659" s="2" t="s">
        <v>1279</v>
      </c>
      <c r="B659" s="4" t="s">
        <v>1186</v>
      </c>
      <c r="C659" s="2" t="s">
        <v>1108</v>
      </c>
      <c r="D659" s="2" t="s">
        <v>46</v>
      </c>
      <c r="E659" s="3">
        <v>624875.88730000006</v>
      </c>
      <c r="F659" s="3">
        <v>155946.98643333334</v>
      </c>
      <c r="G659" s="3">
        <v>204.25199999999998</v>
      </c>
      <c r="J659" s="5" t="s">
        <v>1227</v>
      </c>
      <c r="K659" s="5" t="s">
        <v>1228</v>
      </c>
      <c r="L659" s="5" t="s">
        <v>1283</v>
      </c>
      <c r="M659" s="3">
        <f t="shared" si="64"/>
        <v>1.5799999935552478E-2</v>
      </c>
      <c r="N659" s="3">
        <f t="shared" si="64"/>
        <v>-2.973333332920447E-2</v>
      </c>
      <c r="O659" s="3">
        <f t="shared" si="60"/>
        <v>4.6899999999993724E-2</v>
      </c>
      <c r="P659">
        <f t="shared" si="61"/>
        <v>2.496399979634583E-4</v>
      </c>
      <c r="Q659">
        <f t="shared" si="61"/>
        <v>8.8407111086558142E-4</v>
      </c>
      <c r="R659">
        <f t="shared" si="61"/>
        <v>2.1996099999994113E-3</v>
      </c>
      <c r="S659">
        <f t="shared" si="62"/>
        <v>1.1337111088290397E-3</v>
      </c>
      <c r="T659">
        <f t="shared" si="63"/>
        <v>3.3670626795903873E-2</v>
      </c>
    </row>
    <row r="660" spans="1:20" x14ac:dyDescent="0.3">
      <c r="A660" s="2" t="s">
        <v>1279</v>
      </c>
      <c r="B660" s="4" t="s">
        <v>1186</v>
      </c>
      <c r="C660" s="2" t="s">
        <v>1114</v>
      </c>
      <c r="D660" s="2" t="s">
        <v>63</v>
      </c>
      <c r="E660" s="3">
        <v>624875.85386666667</v>
      </c>
      <c r="F660" s="3">
        <v>155947.00936666667</v>
      </c>
      <c r="G660" s="8">
        <v>204.239</v>
      </c>
      <c r="J660" s="5" t="s">
        <v>1227</v>
      </c>
      <c r="K660" s="5" t="s">
        <v>1228</v>
      </c>
      <c r="L660" s="5" t="s">
        <v>1283</v>
      </c>
      <c r="M660" s="3">
        <f t="shared" si="64"/>
        <v>4.9233333324082196E-2</v>
      </c>
      <c r="N660" s="3">
        <f t="shared" si="64"/>
        <v>-5.2666666655568406E-2</v>
      </c>
      <c r="O660" s="3">
        <f t="shared" si="60"/>
        <v>3.3900000000016917E-2</v>
      </c>
      <c r="P660">
        <f t="shared" si="61"/>
        <v>2.4239211102001826E-3</v>
      </c>
      <c r="Q660">
        <f t="shared" si="61"/>
        <v>2.7737777766087611E-3</v>
      </c>
      <c r="R660">
        <f t="shared" si="61"/>
        <v>1.149210000001147E-3</v>
      </c>
      <c r="S660">
        <f t="shared" si="62"/>
        <v>5.1976988868089437E-3</v>
      </c>
      <c r="T660">
        <f t="shared" si="63"/>
        <v>7.209506839450909E-2</v>
      </c>
    </row>
    <row r="661" spans="1:20" x14ac:dyDescent="0.3">
      <c r="A661" s="2" t="s">
        <v>1279</v>
      </c>
      <c r="B661" s="4" t="s">
        <v>1186</v>
      </c>
      <c r="C661" s="2" t="s">
        <v>1114</v>
      </c>
      <c r="D661" s="2" t="s">
        <v>30</v>
      </c>
      <c r="E661" s="3">
        <v>624875.8838666667</v>
      </c>
      <c r="F661" s="3">
        <v>155946.98466666669</v>
      </c>
      <c r="G661" s="3">
        <v>204.26999999999998</v>
      </c>
      <c r="J661" s="5" t="s">
        <v>1227</v>
      </c>
      <c r="K661" s="5" t="s">
        <v>1228</v>
      </c>
      <c r="L661" s="5" t="s">
        <v>1283</v>
      </c>
      <c r="M661" s="3">
        <f t="shared" si="64"/>
        <v>1.9233333296142519E-2</v>
      </c>
      <c r="N661" s="3">
        <f t="shared" si="64"/>
        <v>-2.7966666675638407E-2</v>
      </c>
      <c r="O661" s="3">
        <f t="shared" si="60"/>
        <v>6.4899999999994407E-2</v>
      </c>
      <c r="P661">
        <f t="shared" si="61"/>
        <v>3.6992110968050442E-4</v>
      </c>
      <c r="Q661">
        <f t="shared" si="61"/>
        <v>7.8213444494626384E-4</v>
      </c>
      <c r="R661">
        <f t="shared" si="61"/>
        <v>4.2120099999992736E-3</v>
      </c>
      <c r="S661">
        <f t="shared" si="62"/>
        <v>1.1520555546267683E-3</v>
      </c>
      <c r="T661">
        <f t="shared" si="63"/>
        <v>3.3941943884031864E-2</v>
      </c>
    </row>
    <row r="662" spans="1:20" x14ac:dyDescent="0.3">
      <c r="A662" s="2" t="s">
        <v>1279</v>
      </c>
      <c r="B662" s="4" t="s">
        <v>1186</v>
      </c>
      <c r="C662" s="2" t="s">
        <v>1114</v>
      </c>
      <c r="D662" s="2" t="s">
        <v>52</v>
      </c>
      <c r="E662" s="3">
        <v>624875.8857333333</v>
      </c>
      <c r="F662" s="3">
        <v>155946.98853333332</v>
      </c>
      <c r="G662" s="3">
        <v>204.25699999999998</v>
      </c>
      <c r="J662" s="5" t="s">
        <v>1227</v>
      </c>
      <c r="K662" s="5" t="s">
        <v>1228</v>
      </c>
      <c r="L662" s="5" t="s">
        <v>1283</v>
      </c>
      <c r="M662" s="3">
        <f t="shared" si="64"/>
        <v>1.7366666696034372E-2</v>
      </c>
      <c r="N662" s="3">
        <f t="shared" si="64"/>
        <v>-3.1833333312533796E-2</v>
      </c>
      <c r="O662" s="3">
        <f t="shared" si="60"/>
        <v>5.1899999999989177E-2</v>
      </c>
      <c r="P662">
        <f t="shared" si="61"/>
        <v>3.0160111213114939E-4</v>
      </c>
      <c r="Q662">
        <f t="shared" si="61"/>
        <v>1.013361109786874E-3</v>
      </c>
      <c r="R662">
        <f t="shared" si="61"/>
        <v>2.6936099999988767E-3</v>
      </c>
      <c r="S662">
        <f t="shared" si="62"/>
        <v>1.3149622219180233E-3</v>
      </c>
      <c r="T662">
        <f t="shared" si="63"/>
        <v>3.6262407833981783E-2</v>
      </c>
    </row>
    <row r="663" spans="1:20" x14ac:dyDescent="0.3">
      <c r="A663" s="2" t="s">
        <v>1279</v>
      </c>
      <c r="B663" s="4" t="s">
        <v>1187</v>
      </c>
      <c r="C663" s="2" t="s">
        <v>1108</v>
      </c>
      <c r="D663" s="2" t="s">
        <v>30</v>
      </c>
      <c r="E663" s="3">
        <v>615786.8073333333</v>
      </c>
      <c r="F663" s="3">
        <v>134911.61776666666</v>
      </c>
      <c r="G663" s="3">
        <v>297.97700000000003</v>
      </c>
      <c r="J663" s="5" t="s">
        <v>1229</v>
      </c>
      <c r="K663" s="5" t="s">
        <v>1230</v>
      </c>
      <c r="L663" s="5" t="s">
        <v>1284</v>
      </c>
      <c r="M663" s="3">
        <f t="shared" si="64"/>
        <v>-2.1133333328180015E-2</v>
      </c>
      <c r="N663" s="3">
        <f t="shared" si="64"/>
        <v>-2.9666666669072583E-2</v>
      </c>
      <c r="O663" s="3">
        <f t="shared" si="60"/>
        <v>2.0400000000051932E-2</v>
      </c>
      <c r="P663">
        <f t="shared" si="61"/>
        <v>4.4661777755996418E-4</v>
      </c>
      <c r="Q663">
        <f t="shared" si="61"/>
        <v>8.8011111125386218E-4</v>
      </c>
      <c r="R663">
        <f t="shared" si="61"/>
        <v>4.1616000000211886E-4</v>
      </c>
      <c r="S663">
        <f t="shared" si="62"/>
        <v>1.3267288888138265E-3</v>
      </c>
      <c r="T663">
        <f t="shared" si="63"/>
        <v>3.6424289818935751E-2</v>
      </c>
    </row>
    <row r="664" spans="1:20" x14ac:dyDescent="0.3">
      <c r="A664" s="2" t="s">
        <v>1279</v>
      </c>
      <c r="B664" s="4" t="s">
        <v>1187</v>
      </c>
      <c r="C664" s="2" t="s">
        <v>1108</v>
      </c>
      <c r="D664" s="2" t="s">
        <v>1112</v>
      </c>
      <c r="E664" s="3">
        <v>615786.80993333331</v>
      </c>
      <c r="F664" s="3">
        <v>134911.62043333333</v>
      </c>
      <c r="G664" s="3">
        <v>297.94600000000003</v>
      </c>
      <c r="J664" s="5" t="s">
        <v>1229</v>
      </c>
      <c r="K664" s="5" t="s">
        <v>1230</v>
      </c>
      <c r="L664" s="5" t="s">
        <v>1284</v>
      </c>
      <c r="M664" s="3">
        <f t="shared" si="64"/>
        <v>-2.3733333335258067E-2</v>
      </c>
      <c r="N664" s="3">
        <f t="shared" si="64"/>
        <v>-3.2333333336282521E-2</v>
      </c>
      <c r="O664" s="3">
        <f t="shared" si="60"/>
        <v>1.059999999995398E-2</v>
      </c>
      <c r="P664">
        <f t="shared" si="61"/>
        <v>5.6327111120247177E-4</v>
      </c>
      <c r="Q664">
        <f t="shared" si="61"/>
        <v>1.0454444446351585E-3</v>
      </c>
      <c r="R664">
        <f t="shared" si="61"/>
        <v>1.1235999999902437E-4</v>
      </c>
      <c r="S664">
        <f t="shared" si="62"/>
        <v>1.6087155558376304E-3</v>
      </c>
      <c r="T664">
        <f t="shared" si="63"/>
        <v>4.0108796489518733E-2</v>
      </c>
    </row>
    <row r="665" spans="1:20" x14ac:dyDescent="0.3">
      <c r="A665" s="2" t="s">
        <v>1279</v>
      </c>
      <c r="B665" s="4" t="s">
        <v>1187</v>
      </c>
      <c r="C665" s="2" t="s">
        <v>1108</v>
      </c>
      <c r="D665" s="2" t="s">
        <v>37</v>
      </c>
      <c r="E665" s="3">
        <v>615786.80326666671</v>
      </c>
      <c r="F665" s="3">
        <v>134911.62306666668</v>
      </c>
      <c r="G665" s="3">
        <v>297.97899999999998</v>
      </c>
      <c r="J665" s="5" t="s">
        <v>1231</v>
      </c>
      <c r="K665" s="5" t="s">
        <v>1232</v>
      </c>
      <c r="L665" s="5" t="s">
        <v>1284</v>
      </c>
      <c r="M665" s="3">
        <f t="shared" si="64"/>
        <v>-1.7066666739992797E-2</v>
      </c>
      <c r="N665" s="3">
        <f t="shared" si="64"/>
        <v>-3.4966666687978432E-2</v>
      </c>
      <c r="O665" s="3">
        <f t="shared" si="60"/>
        <v>2.2400000000004638E-2</v>
      </c>
      <c r="P665">
        <f t="shared" si="61"/>
        <v>2.9127111361397636E-4</v>
      </c>
      <c r="Q665">
        <f t="shared" si="61"/>
        <v>1.2226677792681806E-3</v>
      </c>
      <c r="R665">
        <f t="shared" si="61"/>
        <v>5.0176000000020781E-4</v>
      </c>
      <c r="S665">
        <f t="shared" si="62"/>
        <v>1.5139388928821569E-3</v>
      </c>
      <c r="T665">
        <f t="shared" si="63"/>
        <v>3.8909367675177615E-2</v>
      </c>
    </row>
    <row r="666" spans="1:20" x14ac:dyDescent="0.3">
      <c r="A666" s="2" t="s">
        <v>1279</v>
      </c>
      <c r="B666" s="4" t="s">
        <v>1187</v>
      </c>
      <c r="C666" s="2" t="s">
        <v>1108</v>
      </c>
      <c r="D666" s="2" t="s">
        <v>46</v>
      </c>
      <c r="E666" s="3">
        <v>615786.81246666668</v>
      </c>
      <c r="F666" s="3">
        <v>134911.6096</v>
      </c>
      <c r="G666" s="3">
        <v>297.9733333333333</v>
      </c>
      <c r="J666" s="5" t="s">
        <v>1231</v>
      </c>
      <c r="K666" s="5" t="s">
        <v>1232</v>
      </c>
      <c r="L666" s="5" t="s">
        <v>1284</v>
      </c>
      <c r="M666" s="3">
        <f t="shared" si="64"/>
        <v>-2.6266666711308062E-2</v>
      </c>
      <c r="N666" s="3">
        <f t="shared" si="64"/>
        <v>-2.1500000002561137E-2</v>
      </c>
      <c r="O666" s="3">
        <f t="shared" si="60"/>
        <v>1.6733333333320388E-2</v>
      </c>
      <c r="P666">
        <f t="shared" si="61"/>
        <v>6.8993778012293907E-4</v>
      </c>
      <c r="Q666">
        <f t="shared" si="61"/>
        <v>4.6225000011012891E-4</v>
      </c>
      <c r="R666">
        <f t="shared" si="61"/>
        <v>2.800044444440112E-4</v>
      </c>
      <c r="S666">
        <f t="shared" si="62"/>
        <v>1.1521877802330681E-3</v>
      </c>
      <c r="T666">
        <f t="shared" si="63"/>
        <v>3.3943891648322649E-2</v>
      </c>
    </row>
    <row r="667" spans="1:20" x14ac:dyDescent="0.3">
      <c r="A667" s="2" t="s">
        <v>1279</v>
      </c>
      <c r="B667" s="4" t="s">
        <v>1187</v>
      </c>
      <c r="C667" s="2" t="s">
        <v>1114</v>
      </c>
      <c r="D667" s="2" t="s">
        <v>63</v>
      </c>
      <c r="E667" s="8">
        <v>615786.7888333333</v>
      </c>
      <c r="F667" s="8">
        <v>134911.59246666668</v>
      </c>
      <c r="G667" s="3">
        <v>297.82633333333337</v>
      </c>
      <c r="J667" s="5" t="s">
        <v>1231</v>
      </c>
      <c r="K667" s="5" t="s">
        <v>1232</v>
      </c>
      <c r="L667" s="5" t="s">
        <v>1284</v>
      </c>
      <c r="M667" s="3">
        <f t="shared" si="64"/>
        <v>-2.6333333225920796E-3</v>
      </c>
      <c r="N667" s="3">
        <f t="shared" si="64"/>
        <v>-4.3666666897479445E-3</v>
      </c>
      <c r="O667" s="3">
        <f t="shared" si="60"/>
        <v>0.13026666666661413</v>
      </c>
      <c r="P667">
        <f t="shared" si="61"/>
        <v>6.9344443878738418E-6</v>
      </c>
      <c r="Q667">
        <f t="shared" si="61"/>
        <v>1.906777797935427E-5</v>
      </c>
      <c r="R667">
        <f t="shared" si="61"/>
        <v>1.6969404444430757E-2</v>
      </c>
      <c r="S667">
        <f t="shared" si="62"/>
        <v>2.6002222367228112E-5</v>
      </c>
      <c r="T667">
        <f t="shared" si="63"/>
        <v>5.0992374299720653E-3</v>
      </c>
    </row>
    <row r="668" spans="1:20" x14ac:dyDescent="0.3">
      <c r="A668" s="2" t="s">
        <v>1279</v>
      </c>
      <c r="B668" s="4" t="s">
        <v>1187</v>
      </c>
      <c r="C668" s="2" t="s">
        <v>1114</v>
      </c>
      <c r="D668" s="2" t="s">
        <v>30</v>
      </c>
      <c r="E668" s="8">
        <v>615786.81149999995</v>
      </c>
      <c r="F668" s="8">
        <v>134911.60903333334</v>
      </c>
      <c r="G668" s="3">
        <v>297.82933333333335</v>
      </c>
      <c r="J668" s="5" t="s">
        <v>1231</v>
      </c>
      <c r="K668" s="5" t="s">
        <v>1232</v>
      </c>
      <c r="L668" s="5" t="s">
        <v>1284</v>
      </c>
      <c r="M668" s="3">
        <f t="shared" si="64"/>
        <v>-2.5299999979324639E-2</v>
      </c>
      <c r="N668" s="3">
        <f t="shared" si="64"/>
        <v>-2.0933333347784355E-2</v>
      </c>
      <c r="O668" s="3">
        <f t="shared" ref="O668:O731" si="65">ABS(L668-G668)</f>
        <v>0.12726666666662823</v>
      </c>
      <c r="P668">
        <f t="shared" si="61"/>
        <v>6.4008999895382671E-4</v>
      </c>
      <c r="Q668">
        <f t="shared" si="61"/>
        <v>4.3820444504946059E-4</v>
      </c>
      <c r="R668">
        <f t="shared" si="61"/>
        <v>1.6196804444434661E-2</v>
      </c>
      <c r="S668">
        <f t="shared" ref="S668:S731" si="66">P668+Q668</f>
        <v>1.0782944440032873E-3</v>
      </c>
      <c r="T668">
        <f t="shared" ref="T668:T731" si="67">SQRT(S668)</f>
        <v>3.2837393989220386E-2</v>
      </c>
    </row>
    <row r="669" spans="1:20" x14ac:dyDescent="0.3">
      <c r="A669" s="2" t="s">
        <v>1279</v>
      </c>
      <c r="B669" s="4" t="s">
        <v>1187</v>
      </c>
      <c r="C669" s="2" t="s">
        <v>1114</v>
      </c>
      <c r="D669" s="2" t="s">
        <v>52</v>
      </c>
      <c r="E669" s="8">
        <v>615786.80893333326</v>
      </c>
      <c r="F669" s="8">
        <v>134911.61306666667</v>
      </c>
      <c r="G669" s="3">
        <v>297.83833333333331</v>
      </c>
      <c r="J669" s="5" t="s">
        <v>1231</v>
      </c>
      <c r="K669" s="5" t="s">
        <v>1232</v>
      </c>
      <c r="L669" s="5" t="s">
        <v>1284</v>
      </c>
      <c r="M669" s="3">
        <f t="shared" si="64"/>
        <v>-2.2733333287760615E-2</v>
      </c>
      <c r="N669" s="3">
        <f t="shared" si="64"/>
        <v>-2.4966666678665206E-2</v>
      </c>
      <c r="O669" s="3">
        <f t="shared" si="65"/>
        <v>0.11826666666667052</v>
      </c>
      <c r="P669">
        <f t="shared" si="61"/>
        <v>5.1680444237240481E-4</v>
      </c>
      <c r="Q669">
        <f t="shared" si="61"/>
        <v>6.2333444504357146E-4</v>
      </c>
      <c r="R669">
        <f t="shared" si="61"/>
        <v>1.3987004444445355E-2</v>
      </c>
      <c r="S669">
        <f t="shared" si="66"/>
        <v>1.1401388874159764E-3</v>
      </c>
      <c r="T669">
        <f t="shared" si="67"/>
        <v>3.3765942714752931E-2</v>
      </c>
    </row>
    <row r="670" spans="1:20" x14ac:dyDescent="0.3">
      <c r="A670" s="2" t="s">
        <v>1279</v>
      </c>
      <c r="B670" s="4" t="s">
        <v>1188</v>
      </c>
      <c r="C670" s="2" t="s">
        <v>1108</v>
      </c>
      <c r="D670" s="2" t="s">
        <v>30</v>
      </c>
      <c r="E670" s="8">
        <v>595224.65253333328</v>
      </c>
      <c r="F670" s="8">
        <v>144997.83259999999</v>
      </c>
      <c r="G670" s="3">
        <v>385.28233333333333</v>
      </c>
      <c r="J670" s="9">
        <v>595224.64820000005</v>
      </c>
      <c r="K670" s="9">
        <v>144997.83470000001</v>
      </c>
      <c r="L670" s="5" t="s">
        <v>1285</v>
      </c>
      <c r="M670" s="3">
        <f t="shared" si="64"/>
        <v>-4.3333332287147641E-3</v>
      </c>
      <c r="N670" s="3">
        <f t="shared" si="64"/>
        <v>2.1000000124331564E-3</v>
      </c>
      <c r="O670" s="3">
        <f t="shared" si="65"/>
        <v>5.7566666666673427E-2</v>
      </c>
      <c r="P670">
        <f t="shared" si="61"/>
        <v>1.8777776871083522E-5</v>
      </c>
      <c r="Q670">
        <f t="shared" si="61"/>
        <v>4.4100000522192569E-6</v>
      </c>
      <c r="R670">
        <f t="shared" si="61"/>
        <v>3.3139211111118893E-3</v>
      </c>
      <c r="S670">
        <f t="shared" si="66"/>
        <v>2.3187776923302778E-5</v>
      </c>
      <c r="T670">
        <f t="shared" si="67"/>
        <v>4.8153688252617552E-3</v>
      </c>
    </row>
    <row r="671" spans="1:20" x14ac:dyDescent="0.3">
      <c r="A671" s="2" t="s">
        <v>1279</v>
      </c>
      <c r="B671" s="4" t="s">
        <v>1188</v>
      </c>
      <c r="C671" s="2" t="s">
        <v>1108</v>
      </c>
      <c r="D671" s="2" t="s">
        <v>1112</v>
      </c>
      <c r="E671" s="8">
        <v>595224.6691666668</v>
      </c>
      <c r="F671" s="8">
        <v>144997.83596666667</v>
      </c>
      <c r="G671" s="3">
        <v>385.27500000000003</v>
      </c>
      <c r="J671" s="9">
        <v>595224.64820000005</v>
      </c>
      <c r="K671" s="9">
        <v>144997.83470000001</v>
      </c>
      <c r="L671" s="5" t="s">
        <v>1285</v>
      </c>
      <c r="M671" s="3">
        <f t="shared" si="64"/>
        <v>-2.0966666750609875E-2</v>
      </c>
      <c r="N671" s="3">
        <f t="shared" si="64"/>
        <v>-1.2666666589211673E-3</v>
      </c>
      <c r="O671" s="3">
        <f t="shared" si="65"/>
        <v>6.4899999999965985E-2</v>
      </c>
      <c r="P671">
        <f t="shared" si="61"/>
        <v>4.3960111463112964E-4</v>
      </c>
      <c r="Q671">
        <f t="shared" si="61"/>
        <v>1.6044444248225127E-6</v>
      </c>
      <c r="R671">
        <f t="shared" si="61"/>
        <v>4.2120099999955847E-3</v>
      </c>
      <c r="S671">
        <f t="shared" si="66"/>
        <v>4.4120555905595215E-4</v>
      </c>
      <c r="T671">
        <f t="shared" si="67"/>
        <v>2.1004893693040965E-2</v>
      </c>
    </row>
    <row r="672" spans="1:20" x14ac:dyDescent="0.3">
      <c r="A672" s="2" t="s">
        <v>1279</v>
      </c>
      <c r="B672" s="4" t="s">
        <v>1189</v>
      </c>
      <c r="C672" s="2" t="s">
        <v>1108</v>
      </c>
      <c r="D672" s="2" t="s">
        <v>37</v>
      </c>
      <c r="E672" s="8">
        <v>595224.65943333332</v>
      </c>
      <c r="F672" s="8">
        <v>144997.82676666669</v>
      </c>
      <c r="G672" s="3">
        <v>385.22166666666664</v>
      </c>
      <c r="J672" s="9">
        <v>595224.64820000005</v>
      </c>
      <c r="K672" s="9">
        <v>144997.83470000001</v>
      </c>
      <c r="L672" s="5" t="s">
        <v>1285</v>
      </c>
      <c r="M672" s="3">
        <f t="shared" si="64"/>
        <v>-1.1233333265408874E-2</v>
      </c>
      <c r="N672" s="3">
        <f t="shared" si="64"/>
        <v>7.9333333123940974E-3</v>
      </c>
      <c r="O672" s="3">
        <f t="shared" si="65"/>
        <v>0.1182333333333645</v>
      </c>
      <c r="P672">
        <f t="shared" si="61"/>
        <v>1.2618777625174159E-4</v>
      </c>
      <c r="Q672">
        <f t="shared" si="61"/>
        <v>6.2937777445541901E-5</v>
      </c>
      <c r="R672">
        <f t="shared" si="61"/>
        <v>1.3979121111118481E-2</v>
      </c>
      <c r="S672">
        <f t="shared" si="66"/>
        <v>1.891255536972835E-4</v>
      </c>
      <c r="T672">
        <f t="shared" si="67"/>
        <v>1.3752292670579822E-2</v>
      </c>
    </row>
    <row r="673" spans="1:20" x14ac:dyDescent="0.3">
      <c r="A673" s="2" t="s">
        <v>1279</v>
      </c>
      <c r="B673" s="4" t="s">
        <v>1189</v>
      </c>
      <c r="C673" s="2" t="s">
        <v>1108</v>
      </c>
      <c r="D673" s="2" t="s">
        <v>46</v>
      </c>
      <c r="E673" s="8">
        <v>595224.66403333342</v>
      </c>
      <c r="F673" s="8">
        <v>144997.81996666666</v>
      </c>
      <c r="G673" s="3">
        <v>385.25333333333333</v>
      </c>
      <c r="J673" s="9">
        <v>595224.64820000005</v>
      </c>
      <c r="K673" s="9">
        <v>144997.83470000001</v>
      </c>
      <c r="L673" s="5" t="s">
        <v>1285</v>
      </c>
      <c r="M673" s="3">
        <f t="shared" si="64"/>
        <v>-1.5833333367481828E-2</v>
      </c>
      <c r="N673" s="3">
        <f t="shared" si="64"/>
        <v>1.4733333344338462E-2</v>
      </c>
      <c r="O673" s="3">
        <f t="shared" si="65"/>
        <v>8.6566666666669789E-2</v>
      </c>
      <c r="P673">
        <f t="shared" si="61"/>
        <v>2.5069444552581344E-4</v>
      </c>
      <c r="Q673">
        <f t="shared" si="61"/>
        <v>2.1707111143539557E-4</v>
      </c>
      <c r="R673">
        <f t="shared" si="61"/>
        <v>7.4937877777783183E-3</v>
      </c>
      <c r="S673">
        <f t="shared" si="66"/>
        <v>4.6776555696120901E-4</v>
      </c>
      <c r="T673">
        <f t="shared" si="67"/>
        <v>2.1627888407359814E-2</v>
      </c>
    </row>
    <row r="674" spans="1:20" x14ac:dyDescent="0.3">
      <c r="A674" s="2" t="s">
        <v>1279</v>
      </c>
      <c r="B674" s="4" t="s">
        <v>1189</v>
      </c>
      <c r="C674" s="2" t="s">
        <v>1114</v>
      </c>
      <c r="D674" s="2" t="s">
        <v>30</v>
      </c>
      <c r="E674" s="8">
        <v>595224.6619666667</v>
      </c>
      <c r="F674" s="8">
        <v>144997.82180000001</v>
      </c>
      <c r="G674" s="3">
        <v>385.15766666666667</v>
      </c>
      <c r="J674" s="9">
        <v>595224.64820000005</v>
      </c>
      <c r="K674" s="9">
        <v>144997.83470000001</v>
      </c>
      <c r="L674" s="5" t="s">
        <v>1285</v>
      </c>
      <c r="M674" s="3">
        <f t="shared" si="64"/>
        <v>-1.3766666641458869E-2</v>
      </c>
      <c r="N674" s="3">
        <f t="shared" si="64"/>
        <v>1.2900000001536682E-2</v>
      </c>
      <c r="O674" s="3">
        <f t="shared" si="65"/>
        <v>0.18223333333332903</v>
      </c>
      <c r="P674">
        <f t="shared" si="61"/>
        <v>1.8952111041705642E-4</v>
      </c>
      <c r="Q674">
        <f t="shared" si="61"/>
        <v>1.664100000396464E-4</v>
      </c>
      <c r="R674">
        <f t="shared" si="61"/>
        <v>3.3208987777776207E-2</v>
      </c>
      <c r="S674">
        <f t="shared" si="66"/>
        <v>3.5593111045670279E-4</v>
      </c>
      <c r="T674">
        <f t="shared" si="67"/>
        <v>1.8866136606541965E-2</v>
      </c>
    </row>
    <row r="675" spans="1:20" x14ac:dyDescent="0.3">
      <c r="A675" s="2" t="s">
        <v>1279</v>
      </c>
      <c r="B675" s="4" t="s">
        <v>1189</v>
      </c>
      <c r="C675" s="2" t="s">
        <v>1114</v>
      </c>
      <c r="D675" s="2" t="s">
        <v>52</v>
      </c>
      <c r="E675" s="3">
        <v>595224.65843333339</v>
      </c>
      <c r="F675" s="3">
        <v>144997.8265</v>
      </c>
      <c r="G675" s="3">
        <v>385.13866666666667</v>
      </c>
      <c r="J675" s="9">
        <v>595224.64820000005</v>
      </c>
      <c r="K675" s="9">
        <v>144997.83470000001</v>
      </c>
      <c r="L675" s="5" t="s">
        <v>1285</v>
      </c>
      <c r="M675" s="3">
        <f t="shared" si="64"/>
        <v>-1.0233333334326744E-2</v>
      </c>
      <c r="N675" s="3">
        <f t="shared" si="64"/>
        <v>8.2000000111293048E-3</v>
      </c>
      <c r="O675" s="3">
        <f t="shared" si="65"/>
        <v>0.20123333333333449</v>
      </c>
      <c r="P675">
        <f t="shared" si="61"/>
        <v>1.0472111113144292E-4</v>
      </c>
      <c r="Q675">
        <f t="shared" si="61"/>
        <v>6.7240000182520597E-5</v>
      </c>
      <c r="R675">
        <f t="shared" si="61"/>
        <v>4.0494854444444908E-2</v>
      </c>
      <c r="S675">
        <f t="shared" si="66"/>
        <v>1.7196111131396352E-4</v>
      </c>
      <c r="T675">
        <f t="shared" si="67"/>
        <v>1.3113394347535024E-2</v>
      </c>
    </row>
    <row r="676" spans="1:20" x14ac:dyDescent="0.3">
      <c r="A676" s="2" t="s">
        <v>1279</v>
      </c>
      <c r="B676" s="4" t="s">
        <v>1189</v>
      </c>
      <c r="C676" s="2" t="s">
        <v>1120</v>
      </c>
      <c r="D676" s="2" t="s">
        <v>423</v>
      </c>
      <c r="E676" s="3">
        <v>595224.67156666669</v>
      </c>
      <c r="F676" s="3">
        <v>144997.81806666669</v>
      </c>
      <c r="G676" s="3">
        <v>385.30999999999995</v>
      </c>
      <c r="J676" s="9">
        <v>595224.64820000005</v>
      </c>
      <c r="K676" s="9">
        <v>144997.83470000001</v>
      </c>
      <c r="L676" s="5" t="s">
        <v>1285</v>
      </c>
      <c r="M676" s="3">
        <f t="shared" si="64"/>
        <v>-2.3366666631773114E-2</v>
      </c>
      <c r="N676" s="3">
        <f t="shared" si="64"/>
        <v>1.6633333318168297E-2</v>
      </c>
      <c r="O676" s="3">
        <f t="shared" si="65"/>
        <v>2.9900000000054661E-2</v>
      </c>
      <c r="P676">
        <f t="shared" si="61"/>
        <v>5.4600110948041904E-4</v>
      </c>
      <c r="Q676">
        <f t="shared" si="61"/>
        <v>2.7666777727328759E-4</v>
      </c>
      <c r="R676">
        <f t="shared" si="61"/>
        <v>8.9401000000326875E-4</v>
      </c>
      <c r="S676">
        <f t="shared" si="66"/>
        <v>8.2266888675370663E-4</v>
      </c>
      <c r="T676">
        <f t="shared" si="67"/>
        <v>2.8682205053895467E-2</v>
      </c>
    </row>
    <row r="677" spans="1:20" x14ac:dyDescent="0.3">
      <c r="A677" s="2" t="s">
        <v>1279</v>
      </c>
      <c r="B677" s="4" t="s">
        <v>1190</v>
      </c>
      <c r="C677" s="2" t="s">
        <v>1108</v>
      </c>
      <c r="D677" s="2" t="s">
        <v>30</v>
      </c>
      <c r="E677" s="3">
        <v>586109.76333333331</v>
      </c>
      <c r="F677" s="3">
        <v>134675.72779999999</v>
      </c>
      <c r="G677" s="3">
        <v>419.47800000000001</v>
      </c>
      <c r="J677" s="5" t="s">
        <v>1233</v>
      </c>
      <c r="K677" s="5" t="s">
        <v>1234</v>
      </c>
      <c r="L677" s="5" t="s">
        <v>1286</v>
      </c>
      <c r="M677" s="3">
        <f t="shared" si="64"/>
        <v>-2.2933333297260106E-2</v>
      </c>
      <c r="N677" s="3">
        <f t="shared" si="64"/>
        <v>-1.7099999997299165E-2</v>
      </c>
      <c r="O677" s="3">
        <f t="shared" si="65"/>
        <v>5.4700000000025284E-2</v>
      </c>
      <c r="P677">
        <f t="shared" si="61"/>
        <v>5.2593777612321905E-4</v>
      </c>
      <c r="Q677">
        <f t="shared" si="61"/>
        <v>2.9240999990763145E-4</v>
      </c>
      <c r="R677">
        <f t="shared" si="61"/>
        <v>2.9920900000027662E-3</v>
      </c>
      <c r="S677">
        <f t="shared" si="66"/>
        <v>8.1834777603085056E-4</v>
      </c>
      <c r="T677">
        <f t="shared" si="67"/>
        <v>2.8606778497951329E-2</v>
      </c>
    </row>
    <row r="678" spans="1:20" x14ac:dyDescent="0.3">
      <c r="A678" s="2" t="s">
        <v>1279</v>
      </c>
      <c r="B678" s="4" t="s">
        <v>1190</v>
      </c>
      <c r="C678" s="2" t="s">
        <v>1108</v>
      </c>
      <c r="D678" s="2" t="s">
        <v>1112</v>
      </c>
      <c r="E678" s="3">
        <v>586109.75936666667</v>
      </c>
      <c r="F678" s="3">
        <v>134675.73329999999</v>
      </c>
      <c r="G678" s="3">
        <v>419.47766666666666</v>
      </c>
      <c r="J678" s="5" t="s">
        <v>1233</v>
      </c>
      <c r="K678" s="5" t="s">
        <v>1234</v>
      </c>
      <c r="L678" s="5" t="s">
        <v>1286</v>
      </c>
      <c r="M678" s="3">
        <f t="shared" si="64"/>
        <v>-1.8966666655614972E-2</v>
      </c>
      <c r="N678" s="3">
        <f t="shared" si="64"/>
        <v>-2.2599999996600673E-2</v>
      </c>
      <c r="O678" s="3">
        <f t="shared" si="65"/>
        <v>5.4366666666680885E-2</v>
      </c>
      <c r="P678">
        <f t="shared" si="61"/>
        <v>3.5973444402521683E-4</v>
      </c>
      <c r="Q678">
        <f t="shared" si="61"/>
        <v>5.1075999984635041E-4</v>
      </c>
      <c r="R678">
        <f t="shared" si="61"/>
        <v>2.9557344444459907E-3</v>
      </c>
      <c r="S678">
        <f t="shared" si="66"/>
        <v>8.7049444387156719E-4</v>
      </c>
      <c r="T678">
        <f t="shared" si="67"/>
        <v>2.9504142825568874E-2</v>
      </c>
    </row>
    <row r="679" spans="1:20" x14ac:dyDescent="0.3">
      <c r="A679" s="2" t="s">
        <v>1279</v>
      </c>
      <c r="B679" s="4" t="s">
        <v>1190</v>
      </c>
      <c r="C679" s="2" t="s">
        <v>1108</v>
      </c>
      <c r="D679" s="2" t="s">
        <v>37</v>
      </c>
      <c r="E679">
        <v>586109.76519999991</v>
      </c>
      <c r="F679">
        <v>134675.7176</v>
      </c>
      <c r="G679">
        <v>419.43433333333331</v>
      </c>
      <c r="J679" s="5" t="s">
        <v>1235</v>
      </c>
      <c r="K679" s="5" t="s">
        <v>1236</v>
      </c>
      <c r="L679" s="5" t="s">
        <v>1286</v>
      </c>
      <c r="M679" s="3">
        <f t="shared" si="64"/>
        <v>-2.4799999897368252E-2</v>
      </c>
      <c r="N679" s="3">
        <f t="shared" si="64"/>
        <v>-6.900000007590279E-3</v>
      </c>
      <c r="O679" s="3">
        <f t="shared" si="65"/>
        <v>1.103333333333012E-2</v>
      </c>
      <c r="P679">
        <f t="shared" si="61"/>
        <v>6.1503999490946531E-4</v>
      </c>
      <c r="Q679">
        <f t="shared" si="61"/>
        <v>4.7610000104745849E-5</v>
      </c>
      <c r="R679">
        <f t="shared" si="61"/>
        <v>1.2173444444437353E-4</v>
      </c>
      <c r="S679">
        <f t="shared" si="66"/>
        <v>6.6264999501421118E-4</v>
      </c>
      <c r="T679">
        <f t="shared" si="67"/>
        <v>2.5741988948296345E-2</v>
      </c>
    </row>
    <row r="680" spans="1:20" x14ac:dyDescent="0.3">
      <c r="A680" s="2" t="s">
        <v>1279</v>
      </c>
      <c r="B680" s="4" t="s">
        <v>1191</v>
      </c>
      <c r="C680" s="2" t="s">
        <v>1108</v>
      </c>
      <c r="D680" s="2" t="s">
        <v>46</v>
      </c>
      <c r="E680">
        <v>586109.75823333336</v>
      </c>
      <c r="F680">
        <v>134675.71953333335</v>
      </c>
      <c r="G680">
        <v>419.45233333333334</v>
      </c>
      <c r="J680" s="5" t="s">
        <v>1235</v>
      </c>
      <c r="K680" s="5" t="s">
        <v>1236</v>
      </c>
      <c r="L680" s="5" t="s">
        <v>1286</v>
      </c>
      <c r="M680" s="3">
        <f t="shared" si="64"/>
        <v>-1.7833333346061409E-2</v>
      </c>
      <c r="N680" s="3">
        <f t="shared" si="64"/>
        <v>-8.8333333551418036E-3</v>
      </c>
      <c r="O680" s="3">
        <f t="shared" si="65"/>
        <v>2.9033333333359224E-2</v>
      </c>
      <c r="P680">
        <f t="shared" si="61"/>
        <v>3.1802777823174578E-4</v>
      </c>
      <c r="Q680">
        <f t="shared" si="61"/>
        <v>7.8027778163060753E-5</v>
      </c>
      <c r="R680">
        <f t="shared" si="61"/>
        <v>8.4293444444594775E-4</v>
      </c>
      <c r="S680">
        <f t="shared" si="66"/>
        <v>3.960555563948065E-4</v>
      </c>
      <c r="T680">
        <f t="shared" si="67"/>
        <v>1.9901144600118017E-2</v>
      </c>
    </row>
    <row r="681" spans="1:20" x14ac:dyDescent="0.3">
      <c r="A681" s="2" t="s">
        <v>1279</v>
      </c>
      <c r="B681" s="4" t="s">
        <v>1191</v>
      </c>
      <c r="C681" s="2" t="s">
        <v>1114</v>
      </c>
      <c r="D681" s="2" t="s">
        <v>63</v>
      </c>
      <c r="E681">
        <v>586109.71536666667</v>
      </c>
      <c r="F681">
        <v>134675.70423333332</v>
      </c>
      <c r="G681">
        <v>419.34233333333333</v>
      </c>
      <c r="J681" s="5" t="s">
        <v>1235</v>
      </c>
      <c r="K681" s="5" t="s">
        <v>1236</v>
      </c>
      <c r="L681" s="5" t="s">
        <v>1286</v>
      </c>
      <c r="M681" s="3">
        <f t="shared" si="64"/>
        <v>2.5033333338797092E-2</v>
      </c>
      <c r="N681" s="3">
        <f t="shared" si="64"/>
        <v>6.4666666730772704E-3</v>
      </c>
      <c r="O681" s="3">
        <f t="shared" si="65"/>
        <v>8.0966666666654419E-2</v>
      </c>
      <c r="P681">
        <f t="shared" si="61"/>
        <v>6.2666777805132998E-4</v>
      </c>
      <c r="Q681">
        <f t="shared" si="61"/>
        <v>4.1817777860688252E-5</v>
      </c>
      <c r="R681">
        <f t="shared" si="61"/>
        <v>6.5556011111091274E-3</v>
      </c>
      <c r="S681">
        <f t="shared" si="66"/>
        <v>6.6848555591201826E-4</v>
      </c>
      <c r="T681">
        <f t="shared" si="67"/>
        <v>2.5855087621433778E-2</v>
      </c>
    </row>
    <row r="682" spans="1:20" x14ac:dyDescent="0.3">
      <c r="A682" s="2" t="s">
        <v>1279</v>
      </c>
      <c r="B682" s="4" t="s">
        <v>1191</v>
      </c>
      <c r="C682" s="2" t="s">
        <v>1114</v>
      </c>
      <c r="D682" s="2" t="s">
        <v>30</v>
      </c>
      <c r="E682">
        <v>586109.75650000002</v>
      </c>
      <c r="F682">
        <v>134675.72296666668</v>
      </c>
      <c r="G682">
        <v>419.31866666666673</v>
      </c>
      <c r="J682" s="5" t="s">
        <v>1235</v>
      </c>
      <c r="K682" s="5" t="s">
        <v>1236</v>
      </c>
      <c r="L682" s="5" t="s">
        <v>1286</v>
      </c>
      <c r="M682" s="3">
        <f t="shared" si="64"/>
        <v>-1.6100000008009374E-2</v>
      </c>
      <c r="N682" s="3">
        <f t="shared" si="64"/>
        <v>-1.2266666686628014E-2</v>
      </c>
      <c r="O682" s="3">
        <f t="shared" si="65"/>
        <v>0.10463333333325409</v>
      </c>
      <c r="P682">
        <f t="shared" si="61"/>
        <v>2.5921000025790183E-4</v>
      </c>
      <c r="Q682">
        <f t="shared" si="61"/>
        <v>1.5047111160082949E-4</v>
      </c>
      <c r="R682">
        <f t="shared" si="61"/>
        <v>1.0948134444427861E-2</v>
      </c>
      <c r="S682">
        <f t="shared" si="66"/>
        <v>4.0968111185873133E-4</v>
      </c>
      <c r="T682">
        <f t="shared" si="67"/>
        <v>2.0240580818215947E-2</v>
      </c>
    </row>
    <row r="683" spans="1:20" x14ac:dyDescent="0.3">
      <c r="A683" s="2" t="s">
        <v>1279</v>
      </c>
      <c r="B683" s="4" t="s">
        <v>1191</v>
      </c>
      <c r="C683" s="2" t="s">
        <v>1114</v>
      </c>
      <c r="D683" s="2" t="s">
        <v>52</v>
      </c>
      <c r="E683">
        <v>586109.75800000003</v>
      </c>
      <c r="F683">
        <v>134675.72626666666</v>
      </c>
      <c r="G683">
        <v>419.33033333333333</v>
      </c>
      <c r="J683" s="5" t="s">
        <v>1235</v>
      </c>
      <c r="K683" s="5" t="s">
        <v>1236</v>
      </c>
      <c r="L683" s="5" t="s">
        <v>1286</v>
      </c>
      <c r="M683" s="3">
        <f t="shared" si="64"/>
        <v>-1.760000002104789E-2</v>
      </c>
      <c r="N683" s="3">
        <f t="shared" si="64"/>
        <v>-1.556666666874662E-2</v>
      </c>
      <c r="O683" s="3">
        <f t="shared" si="65"/>
        <v>9.2966666666654874E-2</v>
      </c>
      <c r="P683">
        <f t="shared" si="61"/>
        <v>3.0976000074088572E-4</v>
      </c>
      <c r="Q683">
        <f t="shared" si="61"/>
        <v>2.42321111175867E-4</v>
      </c>
      <c r="R683">
        <f t="shared" si="61"/>
        <v>8.6428011111089192E-3</v>
      </c>
      <c r="S683">
        <f t="shared" si="66"/>
        <v>5.5208111191675272E-4</v>
      </c>
      <c r="T683">
        <f t="shared" si="67"/>
        <v>2.3496406361755678E-2</v>
      </c>
    </row>
    <row r="684" spans="1:20" x14ac:dyDescent="0.3">
      <c r="A684" s="2" t="s">
        <v>1279</v>
      </c>
      <c r="B684" s="4" t="s">
        <v>1192</v>
      </c>
      <c r="C684" s="2" t="s">
        <v>1120</v>
      </c>
      <c r="D684" s="2" t="s">
        <v>1019</v>
      </c>
      <c r="E684">
        <v>571161.48736666667</v>
      </c>
      <c r="F684">
        <v>147440.3707</v>
      </c>
      <c r="G684">
        <v>674.51200000000006</v>
      </c>
      <c r="J684" s="5" t="s">
        <v>1237</v>
      </c>
      <c r="K684" s="5" t="s">
        <v>1238</v>
      </c>
      <c r="L684" s="5" t="s">
        <v>1287</v>
      </c>
      <c r="M684" s="3">
        <f t="shared" si="64"/>
        <v>-1.3666666345670819E-3</v>
      </c>
      <c r="N684" s="3">
        <f t="shared" si="64"/>
        <v>3.4999999916180968E-3</v>
      </c>
      <c r="O684" s="3">
        <f t="shared" si="65"/>
        <v>0.11440000000004602</v>
      </c>
      <c r="P684">
        <f t="shared" si="61"/>
        <v>1.8677776900389139E-6</v>
      </c>
      <c r="Q684">
        <f t="shared" si="61"/>
        <v>1.2249999941326678E-5</v>
      </c>
      <c r="R684">
        <f t="shared" si="61"/>
        <v>1.3087360000010529E-2</v>
      </c>
      <c r="S684">
        <f t="shared" si="66"/>
        <v>1.4117777631365592E-5</v>
      </c>
      <c r="T684">
        <f t="shared" si="67"/>
        <v>3.7573631221064583E-3</v>
      </c>
    </row>
    <row r="685" spans="1:20" x14ac:dyDescent="0.3">
      <c r="A685" s="2" t="s">
        <v>1279</v>
      </c>
      <c r="B685" s="4" t="s">
        <v>1192</v>
      </c>
      <c r="C685" s="2" t="s">
        <v>1120</v>
      </c>
      <c r="D685" s="2" t="s">
        <v>423</v>
      </c>
      <c r="E685">
        <v>571161.48456666665</v>
      </c>
      <c r="F685">
        <v>147440.3732</v>
      </c>
      <c r="G685">
        <v>674.49866666666674</v>
      </c>
      <c r="J685" s="5" t="s">
        <v>1237</v>
      </c>
      <c r="K685" s="5" t="s">
        <v>1238</v>
      </c>
      <c r="L685" s="5" t="s">
        <v>1287</v>
      </c>
      <c r="M685" s="3">
        <f t="shared" si="64"/>
        <v>1.4333333820104599E-3</v>
      </c>
      <c r="N685" s="3">
        <f t="shared" si="64"/>
        <v>9.9999998928979039E-4</v>
      </c>
      <c r="O685" s="3">
        <f t="shared" si="65"/>
        <v>0.10106666666672481</v>
      </c>
      <c r="P685">
        <f t="shared" si="61"/>
        <v>2.054444583985543E-6</v>
      </c>
      <c r="Q685">
        <f t="shared" si="61"/>
        <v>9.999999785795809E-7</v>
      </c>
      <c r="R685">
        <f t="shared" si="61"/>
        <v>1.0214471111122865E-2</v>
      </c>
      <c r="S685">
        <f t="shared" si="66"/>
        <v>3.0544445625651239E-6</v>
      </c>
      <c r="T685">
        <f t="shared" si="67"/>
        <v>1.7476969309823496E-3</v>
      </c>
    </row>
    <row r="686" spans="1:20" x14ac:dyDescent="0.3">
      <c r="A686" s="2" t="s">
        <v>1279</v>
      </c>
      <c r="B686" s="4" t="s">
        <v>1193</v>
      </c>
      <c r="C686" s="2" t="s">
        <v>1114</v>
      </c>
      <c r="D686" s="2" t="s">
        <v>30</v>
      </c>
      <c r="E686">
        <v>571161.49083333334</v>
      </c>
      <c r="F686">
        <v>147440.36919999999</v>
      </c>
      <c r="G686">
        <v>674.37966666666659</v>
      </c>
      <c r="J686" s="5" t="s">
        <v>1239</v>
      </c>
      <c r="K686" s="5" t="s">
        <v>1240</v>
      </c>
      <c r="L686" s="5" t="s">
        <v>1287</v>
      </c>
      <c r="M686" s="3">
        <f t="shared" si="64"/>
        <v>-4.8333333106711507E-3</v>
      </c>
      <c r="N686" s="3">
        <f t="shared" si="64"/>
        <v>5.0000000046566129E-3</v>
      </c>
      <c r="O686" s="3">
        <f t="shared" si="65"/>
        <v>1.7933333333417067E-2</v>
      </c>
      <c r="P686">
        <f t="shared" si="61"/>
        <v>2.3361110892043346E-5</v>
      </c>
      <c r="Q686">
        <f t="shared" si="61"/>
        <v>2.5000000046566129E-5</v>
      </c>
      <c r="R686">
        <f t="shared" si="61"/>
        <v>3.2160444444744772E-4</v>
      </c>
      <c r="S686">
        <f t="shared" si="66"/>
        <v>4.8361110938609475E-5</v>
      </c>
      <c r="T686">
        <f t="shared" si="67"/>
        <v>6.9542153359390211E-3</v>
      </c>
    </row>
    <row r="687" spans="1:20" x14ac:dyDescent="0.3">
      <c r="A687" s="2" t="s">
        <v>1279</v>
      </c>
      <c r="B687" s="4" t="s">
        <v>1193</v>
      </c>
      <c r="C687" s="2" t="s">
        <v>1114</v>
      </c>
      <c r="D687" s="2" t="s">
        <v>52</v>
      </c>
      <c r="E687">
        <v>571161.4920333334</v>
      </c>
      <c r="F687">
        <v>147440.383</v>
      </c>
      <c r="G687">
        <v>674.38333333333333</v>
      </c>
      <c r="J687" s="5" t="s">
        <v>1239</v>
      </c>
      <c r="K687" s="5" t="s">
        <v>1240</v>
      </c>
      <c r="L687" s="5" t="s">
        <v>1287</v>
      </c>
      <c r="M687" s="3">
        <f t="shared" si="64"/>
        <v>-6.0333333676680923E-3</v>
      </c>
      <c r="N687" s="3">
        <f t="shared" si="64"/>
        <v>-8.8000000105239451E-3</v>
      </c>
      <c r="O687" s="3">
        <f t="shared" si="65"/>
        <v>1.4266666666685524E-2</v>
      </c>
      <c r="P687">
        <f t="shared" si="61"/>
        <v>3.6401111525417203E-5</v>
      </c>
      <c r="Q687">
        <f t="shared" si="61"/>
        <v>7.744000018522143E-5</v>
      </c>
      <c r="R687">
        <f t="shared" si="61"/>
        <v>2.0353777777831582E-4</v>
      </c>
      <c r="S687">
        <f t="shared" si="66"/>
        <v>1.1384111171063863E-4</v>
      </c>
      <c r="T687">
        <f t="shared" si="67"/>
        <v>1.066963503174493E-2</v>
      </c>
    </row>
    <row r="688" spans="1:20" x14ac:dyDescent="0.3">
      <c r="A688" s="2" t="s">
        <v>1279</v>
      </c>
      <c r="B688" s="4" t="s">
        <v>1193</v>
      </c>
      <c r="C688" s="2" t="s">
        <v>1108</v>
      </c>
      <c r="D688" s="2" t="s">
        <v>30</v>
      </c>
      <c r="E688">
        <v>571161.49046666664</v>
      </c>
      <c r="F688">
        <v>147440.38119999997</v>
      </c>
      <c r="G688">
        <v>674.45100000000002</v>
      </c>
      <c r="J688" s="5" t="s">
        <v>1239</v>
      </c>
      <c r="K688" s="5" t="s">
        <v>1240</v>
      </c>
      <c r="L688" s="5" t="s">
        <v>1287</v>
      </c>
      <c r="M688" s="3">
        <f t="shared" si="64"/>
        <v>-4.4666666071861982E-3</v>
      </c>
      <c r="N688" s="3">
        <f t="shared" si="64"/>
        <v>-6.9999999832361937E-3</v>
      </c>
      <c r="O688" s="3">
        <f t="shared" si="65"/>
        <v>5.340000000001055E-2</v>
      </c>
      <c r="P688">
        <f t="shared" si="61"/>
        <v>1.9951110579752263E-5</v>
      </c>
      <c r="Q688">
        <f t="shared" si="61"/>
        <v>4.8999999765306711E-5</v>
      </c>
      <c r="R688">
        <f t="shared" si="61"/>
        <v>2.8515600000011266E-3</v>
      </c>
      <c r="S688">
        <f t="shared" si="66"/>
        <v>6.8951110345058975E-5</v>
      </c>
      <c r="T688">
        <f t="shared" si="67"/>
        <v>8.3036805300456366E-3</v>
      </c>
    </row>
    <row r="689" spans="1:20" x14ac:dyDescent="0.3">
      <c r="A689" s="2" t="s">
        <v>1279</v>
      </c>
      <c r="B689" s="4" t="s">
        <v>1193</v>
      </c>
      <c r="C689" s="2" t="s">
        <v>1108</v>
      </c>
      <c r="D689" s="2" t="s">
        <v>1112</v>
      </c>
      <c r="E689">
        <v>571161.49540000001</v>
      </c>
      <c r="F689">
        <v>147440.38706666665</v>
      </c>
      <c r="G689">
        <v>674.44033333333334</v>
      </c>
      <c r="J689" s="5" t="s">
        <v>1239</v>
      </c>
      <c r="K689" s="5" t="s">
        <v>1240</v>
      </c>
      <c r="L689" s="5" t="s">
        <v>1287</v>
      </c>
      <c r="M689" s="3">
        <f t="shared" si="64"/>
        <v>-9.399999980814755E-3</v>
      </c>
      <c r="N689" s="3">
        <f t="shared" si="64"/>
        <v>-1.2866666656918824E-2</v>
      </c>
      <c r="O689" s="3">
        <f t="shared" si="65"/>
        <v>4.2733333333330847E-2</v>
      </c>
      <c r="P689">
        <f t="shared" si="61"/>
        <v>8.8359999639317394E-5</v>
      </c>
      <c r="Q689">
        <f t="shared" si="61"/>
        <v>1.6555111086026661E-4</v>
      </c>
      <c r="R689">
        <f t="shared" si="61"/>
        <v>1.8261377777775653E-3</v>
      </c>
      <c r="S689">
        <f t="shared" si="66"/>
        <v>2.5391111049958399E-4</v>
      </c>
      <c r="T689">
        <f t="shared" si="67"/>
        <v>1.5934588494830482E-2</v>
      </c>
    </row>
    <row r="690" spans="1:20" x14ac:dyDescent="0.3">
      <c r="A690" s="2" t="s">
        <v>1279</v>
      </c>
      <c r="B690" s="4" t="s">
        <v>1193</v>
      </c>
      <c r="C690" s="2" t="s">
        <v>1108</v>
      </c>
      <c r="D690" s="2" t="s">
        <v>37</v>
      </c>
      <c r="E690">
        <v>571161.48303333332</v>
      </c>
      <c r="F690">
        <v>147440.36803333333</v>
      </c>
      <c r="G690">
        <v>674.41966666666667</v>
      </c>
      <c r="J690" s="5" t="s">
        <v>1239</v>
      </c>
      <c r="K690" s="5" t="s">
        <v>1240</v>
      </c>
      <c r="L690" s="5" t="s">
        <v>1287</v>
      </c>
      <c r="M690" s="3">
        <f t="shared" si="64"/>
        <v>2.966666710563004E-3</v>
      </c>
      <c r="N690" s="3">
        <f t="shared" si="64"/>
        <v>6.166666658828035E-3</v>
      </c>
      <c r="O690" s="3">
        <f t="shared" si="65"/>
        <v>2.206666666666024E-2</v>
      </c>
      <c r="P690">
        <f t="shared" si="61"/>
        <v>8.8011113715627146E-6</v>
      </c>
      <c r="Q690">
        <f t="shared" si="61"/>
        <v>3.802777768110132E-5</v>
      </c>
      <c r="R690">
        <f t="shared" si="61"/>
        <v>4.8693777777749411E-4</v>
      </c>
      <c r="S690">
        <f t="shared" si="66"/>
        <v>4.6828889052664034E-5</v>
      </c>
      <c r="T690">
        <f t="shared" si="67"/>
        <v>6.8431636727952104E-3</v>
      </c>
    </row>
    <row r="691" spans="1:20" x14ac:dyDescent="0.3">
      <c r="A691" s="2" t="s">
        <v>1279</v>
      </c>
      <c r="B691" s="4" t="s">
        <v>1193</v>
      </c>
      <c r="C691" s="2" t="s">
        <v>1108</v>
      </c>
      <c r="D691" s="2" t="s">
        <v>46</v>
      </c>
      <c r="E691">
        <v>571161.49253333337</v>
      </c>
      <c r="F691">
        <v>147440.37076666666</v>
      </c>
      <c r="G691">
        <v>674.45933333333335</v>
      </c>
      <c r="J691" s="5" t="s">
        <v>1239</v>
      </c>
      <c r="K691" s="5" t="s">
        <v>1240</v>
      </c>
      <c r="L691" s="5" t="s">
        <v>1287</v>
      </c>
      <c r="M691" s="3">
        <f t="shared" si="64"/>
        <v>-6.533333333209157E-3</v>
      </c>
      <c r="N691" s="3">
        <f t="shared" si="64"/>
        <v>3.4333333314862102E-3</v>
      </c>
      <c r="O691" s="3">
        <f t="shared" si="65"/>
        <v>6.1733333333336304E-2</v>
      </c>
      <c r="P691">
        <f t="shared" si="61"/>
        <v>4.2684444442821874E-5</v>
      </c>
      <c r="Q691">
        <f t="shared" si="61"/>
        <v>1.1787777765094198E-5</v>
      </c>
      <c r="R691">
        <f t="shared" si="61"/>
        <v>3.8110044444448115E-3</v>
      </c>
      <c r="S691">
        <f t="shared" si="66"/>
        <v>5.4472222207916072E-5</v>
      </c>
      <c r="T691">
        <f t="shared" si="67"/>
        <v>7.3805299408589943E-3</v>
      </c>
    </row>
    <row r="692" spans="1:20" x14ac:dyDescent="0.3">
      <c r="A692" s="2" t="s">
        <v>1279</v>
      </c>
      <c r="B692" s="4" t="s">
        <v>1194</v>
      </c>
      <c r="C692" s="2" t="s">
        <v>1108</v>
      </c>
      <c r="D692" s="2" t="s">
        <v>30</v>
      </c>
      <c r="E692">
        <v>562216.39613333333</v>
      </c>
      <c r="F692">
        <v>157485.21303333333</v>
      </c>
      <c r="G692">
        <v>733.82833333333326</v>
      </c>
      <c r="J692" s="5" t="s">
        <v>1241</v>
      </c>
      <c r="K692" s="5" t="s">
        <v>1242</v>
      </c>
      <c r="L692" s="5" t="s">
        <v>1288</v>
      </c>
      <c r="M692" s="3">
        <f t="shared" si="64"/>
        <v>-9.8333333153277636E-3</v>
      </c>
      <c r="N692" s="3">
        <f t="shared" si="64"/>
        <v>-2.0933333347784355E-2</v>
      </c>
      <c r="O692" s="3">
        <f t="shared" si="65"/>
        <v>1.8333333332520851E-3</v>
      </c>
      <c r="P692">
        <f t="shared" si="61"/>
        <v>9.6694444090334906E-5</v>
      </c>
      <c r="Q692">
        <f t="shared" si="61"/>
        <v>4.3820444504946059E-4</v>
      </c>
      <c r="R692">
        <f t="shared" si="61"/>
        <v>3.3611111108132009E-6</v>
      </c>
      <c r="S692">
        <f t="shared" si="66"/>
        <v>5.3489888913979544E-4</v>
      </c>
      <c r="T692">
        <f t="shared" si="67"/>
        <v>2.3127881207317617E-2</v>
      </c>
    </row>
    <row r="693" spans="1:20" x14ac:dyDescent="0.3">
      <c r="A693" s="2" t="s">
        <v>1279</v>
      </c>
      <c r="B693" s="4" t="s">
        <v>1194</v>
      </c>
      <c r="C693" s="2" t="s">
        <v>1108</v>
      </c>
      <c r="D693" s="2" t="s">
        <v>1112</v>
      </c>
      <c r="E693">
        <v>562216.3960666667</v>
      </c>
      <c r="F693">
        <v>157485.20563333333</v>
      </c>
      <c r="G693">
        <v>733.83299999999997</v>
      </c>
      <c r="J693" s="5" t="s">
        <v>1241</v>
      </c>
      <c r="K693" s="5" t="s">
        <v>1242</v>
      </c>
      <c r="L693" s="5" t="s">
        <v>1288</v>
      </c>
      <c r="M693" s="3">
        <f t="shared" si="64"/>
        <v>-9.7666666842997074E-3</v>
      </c>
      <c r="N693" s="3">
        <f t="shared" si="64"/>
        <v>-1.3533333345549181E-2</v>
      </c>
      <c r="O693" s="3">
        <f t="shared" si="65"/>
        <v>6.4999999999599822E-3</v>
      </c>
      <c r="P693">
        <f t="shared" si="61"/>
        <v>9.5387778122209841E-5</v>
      </c>
      <c r="Q693">
        <f t="shared" si="61"/>
        <v>1.8315111144175339E-4</v>
      </c>
      <c r="R693">
        <f t="shared" si="61"/>
        <v>4.224999999947977E-5</v>
      </c>
      <c r="S693">
        <f t="shared" si="66"/>
        <v>2.7853888956396323E-4</v>
      </c>
      <c r="T693">
        <f t="shared" si="67"/>
        <v>1.6689484400782526E-2</v>
      </c>
    </row>
    <row r="694" spans="1:20" x14ac:dyDescent="0.3">
      <c r="A694" s="2" t="s">
        <v>1279</v>
      </c>
      <c r="B694" s="4" t="s">
        <v>1195</v>
      </c>
      <c r="C694" s="2" t="s">
        <v>1108</v>
      </c>
      <c r="D694" s="2" t="s">
        <v>37</v>
      </c>
      <c r="E694">
        <v>562216.38599999994</v>
      </c>
      <c r="F694">
        <v>157485.20643333334</v>
      </c>
      <c r="G694">
        <v>733.81366666666656</v>
      </c>
      <c r="J694" s="5" t="s">
        <v>1243</v>
      </c>
      <c r="K694" s="5" t="s">
        <v>1244</v>
      </c>
      <c r="L694" s="5" t="s">
        <v>1288</v>
      </c>
      <c r="M694" s="3">
        <f t="shared" si="64"/>
        <v>3.0000007245689631E-4</v>
      </c>
      <c r="N694" s="3">
        <f t="shared" si="64"/>
        <v>-1.4333333354443312E-2</v>
      </c>
      <c r="O694" s="3">
        <f t="shared" si="65"/>
        <v>1.2833333333446717E-2</v>
      </c>
      <c r="P694">
        <f t="shared" si="61"/>
        <v>9.0000043474143033E-8</v>
      </c>
      <c r="Q694">
        <f t="shared" si="61"/>
        <v>2.0544444504959716E-4</v>
      </c>
      <c r="R694">
        <f t="shared" si="61"/>
        <v>1.6469444444735463E-4</v>
      </c>
      <c r="S694">
        <f t="shared" si="66"/>
        <v>2.0553444509307129E-4</v>
      </c>
      <c r="T694">
        <f t="shared" si="67"/>
        <v>1.433647254707626E-2</v>
      </c>
    </row>
    <row r="695" spans="1:20" x14ac:dyDescent="0.3">
      <c r="A695" s="2" t="s">
        <v>1279</v>
      </c>
      <c r="B695" s="4" t="s">
        <v>1195</v>
      </c>
      <c r="C695" s="2" t="s">
        <v>1108</v>
      </c>
      <c r="D695" s="2" t="s">
        <v>46</v>
      </c>
      <c r="E695">
        <v>562216.38363333337</v>
      </c>
      <c r="F695">
        <v>157485.20860000001</v>
      </c>
      <c r="G695">
        <v>733.85300000000007</v>
      </c>
      <c r="J695" s="5" t="s">
        <v>1243</v>
      </c>
      <c r="K695" s="5" t="s">
        <v>1244</v>
      </c>
      <c r="L695" s="5" t="s">
        <v>1288</v>
      </c>
      <c r="M695" s="3">
        <f t="shared" si="64"/>
        <v>2.6666666381061077E-3</v>
      </c>
      <c r="N695" s="3">
        <f t="shared" si="64"/>
        <v>-1.6500000027008355E-2</v>
      </c>
      <c r="O695" s="3">
        <f t="shared" si="65"/>
        <v>2.6500000000055479E-2</v>
      </c>
      <c r="P695">
        <f t="shared" si="61"/>
        <v>7.1111109587881308E-6</v>
      </c>
      <c r="Q695">
        <f t="shared" si="61"/>
        <v>2.7225000089127569E-4</v>
      </c>
      <c r="R695">
        <f t="shared" si="61"/>
        <v>7.0225000000294043E-4</v>
      </c>
      <c r="S695">
        <f t="shared" si="66"/>
        <v>2.7936111185006382E-4</v>
      </c>
      <c r="T695">
        <f t="shared" si="67"/>
        <v>1.6714099193497201E-2</v>
      </c>
    </row>
    <row r="696" spans="1:20" x14ac:dyDescent="0.3">
      <c r="A696" s="2" t="s">
        <v>1279</v>
      </c>
      <c r="B696" s="4" t="s">
        <v>1195</v>
      </c>
      <c r="C696" s="2" t="s">
        <v>1114</v>
      </c>
      <c r="D696" s="2" t="s">
        <v>30</v>
      </c>
      <c r="E696">
        <v>562216.38670000003</v>
      </c>
      <c r="F696">
        <v>157485.22566666667</v>
      </c>
      <c r="G696">
        <v>733.82666666666671</v>
      </c>
      <c r="J696" s="5" t="s">
        <v>1243</v>
      </c>
      <c r="K696" s="5" t="s">
        <v>1244</v>
      </c>
      <c r="L696" s="5" t="s">
        <v>1288</v>
      </c>
      <c r="M696" s="3">
        <f t="shared" si="64"/>
        <v>-4.0000001899898052E-4</v>
      </c>
      <c r="N696" s="3">
        <f t="shared" si="64"/>
        <v>-3.3566666679689661E-2</v>
      </c>
      <c r="O696" s="3">
        <f t="shared" si="65"/>
        <v>1.6666666670062114E-4</v>
      </c>
      <c r="P696">
        <f t="shared" si="61"/>
        <v>1.6000001519918478E-7</v>
      </c>
      <c r="Q696">
        <f t="shared" si="61"/>
        <v>1.1267211119853882E-3</v>
      </c>
      <c r="R696">
        <f t="shared" si="61"/>
        <v>2.7777777789095934E-8</v>
      </c>
      <c r="S696">
        <f t="shared" si="66"/>
        <v>1.1268811120005873E-3</v>
      </c>
      <c r="T696">
        <f t="shared" si="67"/>
        <v>3.3569049912092946E-2</v>
      </c>
    </row>
    <row r="697" spans="1:20" x14ac:dyDescent="0.3">
      <c r="A697" s="2" t="s">
        <v>1279</v>
      </c>
      <c r="B697" s="4" t="s">
        <v>1195</v>
      </c>
      <c r="C697" s="2" t="s">
        <v>1114</v>
      </c>
      <c r="D697" s="2" t="s">
        <v>52</v>
      </c>
      <c r="E697">
        <v>562216.39170000004</v>
      </c>
      <c r="F697">
        <v>157485.21109999999</v>
      </c>
      <c r="G697">
        <v>733.84966666666662</v>
      </c>
      <c r="J697" s="5" t="s">
        <v>1243</v>
      </c>
      <c r="K697" s="5" t="s">
        <v>1244</v>
      </c>
      <c r="L697" s="5" t="s">
        <v>1288</v>
      </c>
      <c r="M697" s="3">
        <f t="shared" si="64"/>
        <v>-5.4000000236555934E-3</v>
      </c>
      <c r="N697" s="3">
        <f t="shared" si="64"/>
        <v>-1.9000000000232831E-2</v>
      </c>
      <c r="O697" s="3">
        <f t="shared" si="65"/>
        <v>2.3166666666611491E-2</v>
      </c>
      <c r="P697">
        <f t="shared" si="61"/>
        <v>2.9160000255480409E-5</v>
      </c>
      <c r="Q697">
        <f t="shared" si="61"/>
        <v>3.6100000000884757E-4</v>
      </c>
      <c r="R697">
        <f t="shared" si="61"/>
        <v>5.3669444444188791E-4</v>
      </c>
      <c r="S697">
        <f t="shared" si="66"/>
        <v>3.9016000026432797E-4</v>
      </c>
      <c r="T697">
        <f t="shared" si="67"/>
        <v>1.9752468206893234E-2</v>
      </c>
    </row>
    <row r="698" spans="1:20" x14ac:dyDescent="0.3">
      <c r="A698" s="2" t="s">
        <v>1279</v>
      </c>
      <c r="B698" s="4" t="s">
        <v>1195</v>
      </c>
      <c r="C698" s="2" t="s">
        <v>1120</v>
      </c>
      <c r="D698" s="2" t="s">
        <v>423</v>
      </c>
      <c r="E698">
        <v>562216.3790666667</v>
      </c>
      <c r="F698">
        <v>157484.98483333332</v>
      </c>
      <c r="G698">
        <v>734.23900000000003</v>
      </c>
      <c r="J698" s="5" t="s">
        <v>1243</v>
      </c>
      <c r="K698" s="5" t="s">
        <v>1244</v>
      </c>
      <c r="L698" s="5" t="s">
        <v>1288</v>
      </c>
      <c r="M698" s="3">
        <f t="shared" si="64"/>
        <v>7.233333308249712E-3</v>
      </c>
      <c r="N698" s="3">
        <f t="shared" si="64"/>
        <v>0.2072666666645091</v>
      </c>
      <c r="O698" s="3">
        <f t="shared" si="65"/>
        <v>0.41250000000002274</v>
      </c>
      <c r="P698">
        <f t="shared" si="61"/>
        <v>5.2321110748234723E-5</v>
      </c>
      <c r="Q698">
        <f t="shared" si="61"/>
        <v>4.2959471110216731E-2</v>
      </c>
      <c r="R698">
        <f t="shared" si="61"/>
        <v>0.17015625000001877</v>
      </c>
      <c r="S698">
        <f t="shared" si="66"/>
        <v>4.3011792220964969E-2</v>
      </c>
      <c r="T698">
        <f t="shared" si="67"/>
        <v>0.20739284515374432</v>
      </c>
    </row>
    <row r="699" spans="1:20" x14ac:dyDescent="0.3">
      <c r="A699" s="2" t="s">
        <v>1279</v>
      </c>
      <c r="B699" s="4" t="s">
        <v>1195</v>
      </c>
      <c r="C699" s="2" t="s">
        <v>1120</v>
      </c>
      <c r="D699" s="2" t="s">
        <v>1019</v>
      </c>
      <c r="E699">
        <v>562216.39233333338</v>
      </c>
      <c r="F699">
        <v>157484.9706</v>
      </c>
      <c r="G699">
        <v>734.17533333333324</v>
      </c>
      <c r="J699" s="5" t="s">
        <v>1243</v>
      </c>
      <c r="K699" s="5" t="s">
        <v>1244</v>
      </c>
      <c r="L699" s="5" t="s">
        <v>1288</v>
      </c>
      <c r="M699" s="3">
        <f t="shared" si="64"/>
        <v>-6.0333333676680923E-3</v>
      </c>
      <c r="N699" s="3">
        <f t="shared" si="64"/>
        <v>0.22149999998509884</v>
      </c>
      <c r="O699" s="3">
        <f t="shared" si="65"/>
        <v>0.34883333333323208</v>
      </c>
      <c r="P699">
        <f t="shared" si="61"/>
        <v>3.6401111525417203E-5</v>
      </c>
      <c r="Q699">
        <f t="shared" si="61"/>
        <v>4.9062249993398782E-2</v>
      </c>
      <c r="R699">
        <f t="shared" si="61"/>
        <v>0.1216846944443738</v>
      </c>
      <c r="S699">
        <f t="shared" si="66"/>
        <v>4.9098651104924201E-2</v>
      </c>
      <c r="T699">
        <f t="shared" si="67"/>
        <v>0.22158215430156869</v>
      </c>
    </row>
    <row r="700" spans="1:20" x14ac:dyDescent="0.3">
      <c r="A700" s="2" t="s">
        <v>1279</v>
      </c>
      <c r="B700" s="2" t="s">
        <v>1196</v>
      </c>
      <c r="C700" s="2" t="s">
        <v>1120</v>
      </c>
      <c r="D700" s="2" t="s">
        <v>423</v>
      </c>
      <c r="E700">
        <v>574002.28353333334</v>
      </c>
      <c r="F700">
        <v>165875.16923333335</v>
      </c>
      <c r="G700">
        <v>978.57533333333333</v>
      </c>
      <c r="J700" s="5" t="s">
        <v>1245</v>
      </c>
      <c r="K700" s="5" t="s">
        <v>1246</v>
      </c>
      <c r="L700" s="5" t="s">
        <v>1289</v>
      </c>
      <c r="M700" s="3">
        <f t="shared" si="64"/>
        <v>1.7766666715033352E-2</v>
      </c>
      <c r="N700" s="3">
        <f t="shared" si="64"/>
        <v>-6.0033333342289552E-2</v>
      </c>
      <c r="O700" s="3">
        <f t="shared" si="65"/>
        <v>1.3133333333371411E-2</v>
      </c>
      <c r="P700">
        <f t="shared" ref="P700:R761" si="68">POWER(M700,2)</f>
        <v>3.15654446163074E-4</v>
      </c>
      <c r="Q700">
        <f t="shared" si="68"/>
        <v>3.6040011121864545E-3</v>
      </c>
      <c r="R700">
        <f t="shared" si="68"/>
        <v>1.7248444444544462E-4</v>
      </c>
      <c r="S700">
        <f t="shared" si="66"/>
        <v>3.9196555583495283E-3</v>
      </c>
      <c r="T700">
        <f t="shared" si="67"/>
        <v>6.2607152613335867E-2</v>
      </c>
    </row>
    <row r="701" spans="1:20" x14ac:dyDescent="0.3">
      <c r="A701" s="2" t="s">
        <v>1279</v>
      </c>
      <c r="B701" s="2" t="s">
        <v>1196</v>
      </c>
      <c r="C701" s="2" t="s">
        <v>1108</v>
      </c>
      <c r="D701" s="2" t="s">
        <v>30</v>
      </c>
      <c r="E701" s="8">
        <v>574002.28826666658</v>
      </c>
      <c r="F701" s="8">
        <v>165875.16850000003</v>
      </c>
      <c r="G701" s="8">
        <v>978.57133333333331</v>
      </c>
      <c r="J701" s="5" t="s">
        <v>1245</v>
      </c>
      <c r="K701" s="5" t="s">
        <v>1246</v>
      </c>
      <c r="L701" s="5" t="s">
        <v>1289</v>
      </c>
      <c r="M701" s="3">
        <f t="shared" si="64"/>
        <v>1.3033333467319608E-2</v>
      </c>
      <c r="N701" s="3">
        <f t="shared" si="64"/>
        <v>-5.9300000022631139E-2</v>
      </c>
      <c r="O701" s="3">
        <f t="shared" si="65"/>
        <v>9.1333333333523115E-3</v>
      </c>
      <c r="P701">
        <f t="shared" si="68"/>
        <v>1.6986778127035335E-4</v>
      </c>
      <c r="Q701">
        <f t="shared" si="68"/>
        <v>3.5164900026840532E-3</v>
      </c>
      <c r="R701">
        <f t="shared" si="68"/>
        <v>8.3417777778124449E-5</v>
      </c>
      <c r="S701">
        <f t="shared" si="66"/>
        <v>3.6863577839544065E-3</v>
      </c>
      <c r="T701">
        <f t="shared" si="67"/>
        <v>6.0715383420961826E-2</v>
      </c>
    </row>
    <row r="702" spans="1:20" x14ac:dyDescent="0.3">
      <c r="A702" s="2" t="s">
        <v>1279</v>
      </c>
      <c r="B702" s="2" t="s">
        <v>1197</v>
      </c>
      <c r="C702" s="2" t="s">
        <v>1108</v>
      </c>
      <c r="D702" s="2" t="s">
        <v>1112</v>
      </c>
      <c r="E702" s="8">
        <v>574002.29146666673</v>
      </c>
      <c r="F702" s="8">
        <v>165875.11179999998</v>
      </c>
      <c r="G702" s="8">
        <v>978.5386666666667</v>
      </c>
      <c r="J702" s="5" t="s">
        <v>1247</v>
      </c>
      <c r="K702" s="5" t="s">
        <v>1248</v>
      </c>
      <c r="L702" s="5" t="s">
        <v>1289</v>
      </c>
      <c r="M702" s="3">
        <f t="shared" si="64"/>
        <v>9.8333333153277636E-3</v>
      </c>
      <c r="N702" s="3">
        <f t="shared" si="64"/>
        <v>-2.5999999779742211E-3</v>
      </c>
      <c r="O702" s="3">
        <f t="shared" si="65"/>
        <v>2.3533333333261908E-2</v>
      </c>
      <c r="P702">
        <f t="shared" si="68"/>
        <v>9.6694444090334906E-5</v>
      </c>
      <c r="Q702">
        <f t="shared" si="68"/>
        <v>6.7599998854659503E-6</v>
      </c>
      <c r="R702">
        <f t="shared" si="68"/>
        <v>5.5381777777441601E-4</v>
      </c>
      <c r="S702">
        <f t="shared" si="66"/>
        <v>1.0345444397580086E-4</v>
      </c>
      <c r="T702">
        <f t="shared" si="67"/>
        <v>1.0171255771820943E-2</v>
      </c>
    </row>
    <row r="703" spans="1:20" x14ac:dyDescent="0.3">
      <c r="A703" s="2" t="s">
        <v>1279</v>
      </c>
      <c r="B703" s="2" t="s">
        <v>1197</v>
      </c>
      <c r="C703" s="2" t="s">
        <v>1108</v>
      </c>
      <c r="D703" s="2" t="s">
        <v>37</v>
      </c>
      <c r="E703" s="8">
        <v>574002.30066666671</v>
      </c>
      <c r="F703" s="8">
        <v>165875.13323333336</v>
      </c>
      <c r="G703" s="8">
        <v>978.50566666666657</v>
      </c>
      <c r="J703" s="5" t="s">
        <v>1247</v>
      </c>
      <c r="K703" s="5" t="s">
        <v>1248</v>
      </c>
      <c r="L703" s="5" t="s">
        <v>1289</v>
      </c>
      <c r="M703" s="3">
        <f t="shared" si="64"/>
        <v>6.3333334401249886E-4</v>
      </c>
      <c r="N703" s="3">
        <f t="shared" si="64"/>
        <v>-2.4033333349507302E-2</v>
      </c>
      <c r="O703" s="3">
        <f t="shared" si="65"/>
        <v>5.6533333333391056E-2</v>
      </c>
      <c r="P703">
        <f t="shared" si="68"/>
        <v>4.0111112463805422E-7</v>
      </c>
      <c r="Q703">
        <f t="shared" si="68"/>
        <v>5.7760111188853984E-4</v>
      </c>
      <c r="R703">
        <f t="shared" si="68"/>
        <v>3.1960177777843042E-3</v>
      </c>
      <c r="S703">
        <f t="shared" si="66"/>
        <v>5.780022230131779E-4</v>
      </c>
      <c r="T703">
        <f t="shared" si="67"/>
        <v>2.4041676792877362E-2</v>
      </c>
    </row>
    <row r="704" spans="1:20" x14ac:dyDescent="0.3">
      <c r="A704" s="2" t="s">
        <v>1279</v>
      </c>
      <c r="B704" s="2" t="s">
        <v>1197</v>
      </c>
      <c r="C704" s="2" t="s">
        <v>1108</v>
      </c>
      <c r="D704" s="2" t="s">
        <v>46</v>
      </c>
      <c r="E704" s="8">
        <v>574002.2932666667</v>
      </c>
      <c r="F704" s="8">
        <v>165875.10896666665</v>
      </c>
      <c r="G704" s="8">
        <v>978.53966666666668</v>
      </c>
      <c r="J704" s="5" t="s">
        <v>1247</v>
      </c>
      <c r="K704" s="5" t="s">
        <v>1248</v>
      </c>
      <c r="L704" s="5" t="s">
        <v>1289</v>
      </c>
      <c r="M704" s="3">
        <f t="shared" si="64"/>
        <v>8.033333346247673E-3</v>
      </c>
      <c r="N704" s="3">
        <f t="shared" si="64"/>
        <v>2.3333335411734879E-4</v>
      </c>
      <c r="O704" s="3">
        <f t="shared" si="65"/>
        <v>2.2533333333285555E-2</v>
      </c>
      <c r="P704">
        <f t="shared" si="68"/>
        <v>6.4534444651934836E-5</v>
      </c>
      <c r="Q704">
        <f t="shared" si="68"/>
        <v>5.444445414365209E-8</v>
      </c>
      <c r="R704">
        <f t="shared" si="68"/>
        <v>5.0775111110895783E-4</v>
      </c>
      <c r="S704">
        <f t="shared" si="66"/>
        <v>6.4588889106078487E-5</v>
      </c>
      <c r="T704">
        <f t="shared" si="67"/>
        <v>8.036721290805007E-3</v>
      </c>
    </row>
    <row r="705" spans="1:20" x14ac:dyDescent="0.3">
      <c r="A705" s="2" t="s">
        <v>1279</v>
      </c>
      <c r="B705" s="2" t="s">
        <v>1197</v>
      </c>
      <c r="C705" s="2" t="s">
        <v>1114</v>
      </c>
      <c r="D705" s="2" t="s">
        <v>30</v>
      </c>
      <c r="E705" s="8">
        <v>574002.28060000006</v>
      </c>
      <c r="F705" s="8">
        <v>165875.12483333334</v>
      </c>
      <c r="G705" s="8">
        <v>978.62033333333329</v>
      </c>
      <c r="J705" s="5" t="s">
        <v>1247</v>
      </c>
      <c r="K705" s="5" t="s">
        <v>1248</v>
      </c>
      <c r="L705" s="5" t="s">
        <v>1289</v>
      </c>
      <c r="M705" s="3">
        <f t="shared" si="64"/>
        <v>2.0699999993667006E-2</v>
      </c>
      <c r="N705" s="3">
        <f t="shared" si="64"/>
        <v>-1.5633333328878507E-2</v>
      </c>
      <c r="O705" s="3">
        <f t="shared" si="65"/>
        <v>5.8133333333330484E-2</v>
      </c>
      <c r="P705">
        <f t="shared" si="68"/>
        <v>4.2848999973781407E-4</v>
      </c>
      <c r="Q705">
        <f t="shared" si="68"/>
        <v>2.4440111097182352E-4</v>
      </c>
      <c r="R705">
        <f t="shared" si="68"/>
        <v>3.3794844444441133E-3</v>
      </c>
      <c r="S705">
        <f t="shared" si="66"/>
        <v>6.7289111070963754E-4</v>
      </c>
      <c r="T705">
        <f t="shared" si="67"/>
        <v>2.5940144770406303E-2</v>
      </c>
    </row>
    <row r="706" spans="1:20" x14ac:dyDescent="0.3">
      <c r="A706" s="2" t="s">
        <v>1279</v>
      </c>
      <c r="B706" s="2" t="s">
        <v>1197</v>
      </c>
      <c r="C706" s="2" t="s">
        <v>1114</v>
      </c>
      <c r="D706" s="2" t="s">
        <v>52</v>
      </c>
      <c r="E706" s="8">
        <v>574002.29810000013</v>
      </c>
      <c r="F706" s="8">
        <v>165875.11919999999</v>
      </c>
      <c r="G706" s="8">
        <v>978.58199999999999</v>
      </c>
      <c r="J706" s="5" t="s">
        <v>1247</v>
      </c>
      <c r="K706" s="5" t="s">
        <v>1248</v>
      </c>
      <c r="L706" s="5" t="s">
        <v>1289</v>
      </c>
      <c r="M706" s="3">
        <f t="shared" si="64"/>
        <v>3.1999999191612005E-3</v>
      </c>
      <c r="N706" s="3">
        <f t="shared" si="64"/>
        <v>-9.9999999802093953E-3</v>
      </c>
      <c r="O706" s="3">
        <f t="shared" si="65"/>
        <v>1.9800000000032014E-2</v>
      </c>
      <c r="P706">
        <f t="shared" si="68"/>
        <v>1.023999948263169E-5</v>
      </c>
      <c r="Q706">
        <f t="shared" si="68"/>
        <v>9.9999999604187905E-5</v>
      </c>
      <c r="R706">
        <f t="shared" si="68"/>
        <v>3.9204000000126778E-4</v>
      </c>
      <c r="S706">
        <f t="shared" si="66"/>
        <v>1.102399990868196E-4</v>
      </c>
      <c r="T706">
        <f t="shared" si="67"/>
        <v>1.0499523755238596E-2</v>
      </c>
    </row>
    <row r="707" spans="1:20" x14ac:dyDescent="0.3">
      <c r="A707" s="2" t="s">
        <v>1279</v>
      </c>
      <c r="B707" s="2" t="s">
        <v>1198</v>
      </c>
      <c r="C707" s="2" t="s">
        <v>1108</v>
      </c>
      <c r="D707" s="2" t="s">
        <v>46</v>
      </c>
      <c r="E707" s="8">
        <v>583187.60289999994</v>
      </c>
      <c r="F707" s="8">
        <v>177239.2598</v>
      </c>
      <c r="G707" s="8">
        <v>87.14200000000001</v>
      </c>
      <c r="J707" s="5" t="s">
        <v>1249</v>
      </c>
      <c r="K707" s="5" t="s">
        <v>1250</v>
      </c>
      <c r="L707" s="5" t="s">
        <v>1290</v>
      </c>
      <c r="M707" s="3">
        <f t="shared" si="64"/>
        <v>-9.0999999083578587E-3</v>
      </c>
      <c r="N707" s="3">
        <f t="shared" si="64"/>
        <v>-1.6499999997904524E-2</v>
      </c>
      <c r="O707" s="3">
        <f t="shared" si="65"/>
        <v>0.51649999999999352</v>
      </c>
      <c r="P707">
        <f t="shared" si="68"/>
        <v>8.2809998332113036E-5</v>
      </c>
      <c r="Q707">
        <f t="shared" si="68"/>
        <v>2.7224999993084929E-4</v>
      </c>
      <c r="R707">
        <f t="shared" si="68"/>
        <v>0.26677224999999333</v>
      </c>
      <c r="S707">
        <f t="shared" si="66"/>
        <v>3.5505999826296233E-4</v>
      </c>
      <c r="T707">
        <f t="shared" si="67"/>
        <v>1.8843035802729939E-2</v>
      </c>
    </row>
    <row r="708" spans="1:20" x14ac:dyDescent="0.3">
      <c r="A708" s="2" t="s">
        <v>1279</v>
      </c>
      <c r="B708" s="2" t="s">
        <v>1198</v>
      </c>
      <c r="C708" s="2" t="s">
        <v>1108</v>
      </c>
      <c r="D708" s="2" t="s">
        <v>37</v>
      </c>
      <c r="E708" s="8">
        <v>583187.58533333335</v>
      </c>
      <c r="F708" s="8">
        <v>177239.2389</v>
      </c>
      <c r="G708" s="8">
        <v>87.123333333333335</v>
      </c>
      <c r="J708" s="5" t="s">
        <v>1249</v>
      </c>
      <c r="K708" s="5" t="s">
        <v>1250</v>
      </c>
      <c r="L708" s="5" t="s">
        <v>1290</v>
      </c>
      <c r="M708" s="3">
        <f t="shared" si="64"/>
        <v>8.4666666807606816E-3</v>
      </c>
      <c r="N708" s="3">
        <f t="shared" si="64"/>
        <v>4.4000000052619725E-3</v>
      </c>
      <c r="O708" s="3">
        <f t="shared" si="65"/>
        <v>0.53516666666666879</v>
      </c>
      <c r="P708">
        <f t="shared" si="68"/>
        <v>7.1684444683103098E-5</v>
      </c>
      <c r="Q708">
        <f t="shared" si="68"/>
        <v>1.9360000046305358E-5</v>
      </c>
      <c r="R708">
        <f t="shared" si="68"/>
        <v>0.28640336111111336</v>
      </c>
      <c r="S708">
        <f t="shared" si="66"/>
        <v>9.1044444729408456E-5</v>
      </c>
      <c r="T708">
        <f t="shared" si="67"/>
        <v>9.5417212665958994E-3</v>
      </c>
    </row>
    <row r="709" spans="1:20" x14ac:dyDescent="0.3">
      <c r="A709" s="2" t="s">
        <v>1279</v>
      </c>
      <c r="B709" s="2" t="s">
        <v>1198</v>
      </c>
      <c r="C709" s="2" t="s">
        <v>1114</v>
      </c>
      <c r="D709" s="2" t="s">
        <v>52</v>
      </c>
      <c r="E709" s="8">
        <v>583187.60296666669</v>
      </c>
      <c r="F709" s="8">
        <v>177239.2506</v>
      </c>
      <c r="G709" s="8">
        <v>87.124333333333325</v>
      </c>
      <c r="J709" s="5" t="s">
        <v>1249</v>
      </c>
      <c r="K709" s="5" t="s">
        <v>1250</v>
      </c>
      <c r="L709" s="5" t="s">
        <v>1290</v>
      </c>
      <c r="M709" s="3">
        <f t="shared" si="64"/>
        <v>-9.1666666558012366E-3</v>
      </c>
      <c r="N709" s="3">
        <f t="shared" si="64"/>
        <v>-7.299999997485429E-3</v>
      </c>
      <c r="O709" s="3">
        <f t="shared" si="65"/>
        <v>0.53416666666667822</v>
      </c>
      <c r="P709">
        <f t="shared" si="68"/>
        <v>8.4027777578578227E-5</v>
      </c>
      <c r="Q709">
        <f t="shared" si="68"/>
        <v>5.3289999963287261E-5</v>
      </c>
      <c r="R709">
        <f t="shared" si="68"/>
        <v>0.2853340277777901</v>
      </c>
      <c r="S709">
        <f t="shared" si="66"/>
        <v>1.373177775418655E-4</v>
      </c>
      <c r="T709">
        <f t="shared" si="67"/>
        <v>1.1718266831825665E-2</v>
      </c>
    </row>
    <row r="710" spans="1:20" x14ac:dyDescent="0.3">
      <c r="A710" s="2" t="s">
        <v>1279</v>
      </c>
      <c r="B710" s="2" t="s">
        <v>1199</v>
      </c>
      <c r="C710" s="2" t="s">
        <v>1108</v>
      </c>
      <c r="D710" s="2" t="s">
        <v>30</v>
      </c>
      <c r="E710">
        <v>602314.32409999997</v>
      </c>
      <c r="F710">
        <v>160755.75736666666</v>
      </c>
      <c r="G710">
        <v>154.62833333333333</v>
      </c>
      <c r="J710" s="5" t="s">
        <v>1251</v>
      </c>
      <c r="K710" s="5" t="s">
        <v>1252</v>
      </c>
      <c r="L710" s="5" t="s">
        <v>1291</v>
      </c>
      <c r="M710" s="3">
        <f t="shared" si="64"/>
        <v>1.3600000063888729E-2</v>
      </c>
      <c r="N710" s="3">
        <f t="shared" si="64"/>
        <v>-3.316666666069068E-2</v>
      </c>
      <c r="O710" s="3">
        <f t="shared" si="65"/>
        <v>4.77333333333263E-2</v>
      </c>
      <c r="P710">
        <f t="shared" si="68"/>
        <v>1.8496000173777341E-4</v>
      </c>
      <c r="Q710">
        <f t="shared" si="68"/>
        <v>1.1000277773813706E-3</v>
      </c>
      <c r="R710">
        <f t="shared" si="68"/>
        <v>2.2784711111104397E-3</v>
      </c>
      <c r="S710">
        <f t="shared" si="66"/>
        <v>1.284987779119144E-3</v>
      </c>
      <c r="T710">
        <f t="shared" si="67"/>
        <v>3.5846726198066454E-2</v>
      </c>
    </row>
    <row r="711" spans="1:20" x14ac:dyDescent="0.3">
      <c r="A711" s="2" t="s">
        <v>1279</v>
      </c>
      <c r="B711" s="2" t="s">
        <v>1199</v>
      </c>
      <c r="C711" s="2" t="s">
        <v>1108</v>
      </c>
      <c r="D711" s="2" t="s">
        <v>1112</v>
      </c>
      <c r="E711">
        <v>602314.32239999995</v>
      </c>
      <c r="F711">
        <v>160755.75783333334</v>
      </c>
      <c r="G711">
        <v>154.62233333333333</v>
      </c>
      <c r="J711" s="5" t="s">
        <v>1251</v>
      </c>
      <c r="K711" s="5" t="s">
        <v>1252</v>
      </c>
      <c r="L711" s="5" t="s">
        <v>1291</v>
      </c>
      <c r="M711" s="3">
        <f t="shared" si="64"/>
        <v>1.5300000086426735E-2</v>
      </c>
      <c r="N711" s="3">
        <f t="shared" si="64"/>
        <v>-3.3633333339821547E-2</v>
      </c>
      <c r="O711" s="3">
        <f t="shared" si="65"/>
        <v>4.1733333333326073E-2</v>
      </c>
      <c r="P711">
        <f t="shared" si="68"/>
        <v>2.340900026446581E-4</v>
      </c>
      <c r="Q711">
        <f t="shared" si="68"/>
        <v>1.1312011115475517E-3</v>
      </c>
      <c r="R711">
        <f t="shared" si="68"/>
        <v>1.7416711111105051E-3</v>
      </c>
      <c r="S711">
        <f t="shared" si="66"/>
        <v>1.3652911141922098E-3</v>
      </c>
      <c r="T711">
        <f t="shared" si="67"/>
        <v>3.6949845929208011E-2</v>
      </c>
    </row>
    <row r="712" spans="1:20" x14ac:dyDescent="0.3">
      <c r="A712" s="2" t="s">
        <v>1279</v>
      </c>
      <c r="B712" s="2" t="s">
        <v>1200</v>
      </c>
      <c r="C712" s="2" t="s">
        <v>1108</v>
      </c>
      <c r="D712" s="2" t="s">
        <v>37</v>
      </c>
      <c r="E712">
        <v>602314.32633333327</v>
      </c>
      <c r="F712">
        <v>160755.75090000001</v>
      </c>
      <c r="G712">
        <v>154.643</v>
      </c>
      <c r="J712" s="5" t="s">
        <v>1253</v>
      </c>
      <c r="K712" s="5" t="s">
        <v>1254</v>
      </c>
      <c r="L712" s="5" t="s">
        <v>1291</v>
      </c>
      <c r="M712" s="3">
        <f t="shared" si="64"/>
        <v>1.136666676029563E-2</v>
      </c>
      <c r="N712" s="3">
        <f t="shared" si="64"/>
        <v>-2.670000001671724E-2</v>
      </c>
      <c r="O712" s="3">
        <f t="shared" si="65"/>
        <v>6.239999999999668E-2</v>
      </c>
      <c r="P712">
        <f t="shared" si="68"/>
        <v>1.2920111323960954E-4</v>
      </c>
      <c r="Q712">
        <f t="shared" si="68"/>
        <v>7.1289000089270061E-4</v>
      </c>
      <c r="R712">
        <f t="shared" si="68"/>
        <v>3.8937599999995859E-3</v>
      </c>
      <c r="S712">
        <f t="shared" si="66"/>
        <v>8.4209111413231015E-4</v>
      </c>
      <c r="T712">
        <f t="shared" si="67"/>
        <v>2.901880621480336E-2</v>
      </c>
    </row>
    <row r="713" spans="1:20" x14ac:dyDescent="0.3">
      <c r="A713" s="2" t="s">
        <v>1279</v>
      </c>
      <c r="B713" s="2" t="s">
        <v>1200</v>
      </c>
      <c r="C713" s="2" t="s">
        <v>1108</v>
      </c>
      <c r="D713" s="2" t="s">
        <v>46</v>
      </c>
      <c r="E713">
        <v>602314.32366666663</v>
      </c>
      <c r="F713">
        <v>160755.75203333335</v>
      </c>
      <c r="G713">
        <v>154.62</v>
      </c>
      <c r="J713" s="5" t="s">
        <v>1253</v>
      </c>
      <c r="K713" s="5" t="s">
        <v>1254</v>
      </c>
      <c r="L713" s="5" t="s">
        <v>1291</v>
      </c>
      <c r="M713" s="3">
        <f t="shared" si="64"/>
        <v>1.4033333398401737E-2</v>
      </c>
      <c r="N713" s="3">
        <f t="shared" si="64"/>
        <v>-2.7833333355374634E-2</v>
      </c>
      <c r="O713" s="3">
        <f t="shared" si="65"/>
        <v>3.9400000000000546E-2</v>
      </c>
      <c r="P713">
        <f t="shared" si="68"/>
        <v>1.9693444627069765E-4</v>
      </c>
      <c r="Q713">
        <f t="shared" si="68"/>
        <v>7.7469444567141018E-4</v>
      </c>
      <c r="R713">
        <f t="shared" si="68"/>
        <v>1.552360000000043E-3</v>
      </c>
      <c r="S713">
        <f t="shared" si="66"/>
        <v>9.7162889194210783E-4</v>
      </c>
      <c r="T713">
        <f t="shared" si="67"/>
        <v>3.1170962319795451E-2</v>
      </c>
    </row>
    <row r="714" spans="1:20" x14ac:dyDescent="0.3">
      <c r="A714" s="2" t="s">
        <v>1279</v>
      </c>
      <c r="B714" s="2" t="s">
        <v>1200</v>
      </c>
      <c r="C714" s="2" t="s">
        <v>1114</v>
      </c>
      <c r="D714" s="2" t="s">
        <v>52</v>
      </c>
      <c r="E714">
        <v>602314.33746666659</v>
      </c>
      <c r="F714">
        <v>160755.7458</v>
      </c>
      <c r="G714">
        <v>154.60900000000001</v>
      </c>
      <c r="J714" s="5" t="s">
        <v>1253</v>
      </c>
      <c r="K714" s="5" t="s">
        <v>1254</v>
      </c>
      <c r="L714" s="5" t="s">
        <v>1291</v>
      </c>
      <c r="M714" s="3">
        <f t="shared" si="64"/>
        <v>2.3333344142884016E-4</v>
      </c>
      <c r="N714" s="3">
        <f t="shared" si="64"/>
        <v>-2.1600000007310882E-2</v>
      </c>
      <c r="O714" s="3">
        <f t="shared" si="65"/>
        <v>2.8400000000004866E-2</v>
      </c>
      <c r="P714">
        <f t="shared" si="68"/>
        <v>5.4444494889025982E-8</v>
      </c>
      <c r="Q714">
        <f t="shared" si="68"/>
        <v>4.6656000031583013E-4</v>
      </c>
      <c r="R714">
        <f t="shared" si="68"/>
        <v>8.0656000000027637E-4</v>
      </c>
      <c r="S714">
        <f t="shared" si="66"/>
        <v>4.6661444481071914E-4</v>
      </c>
      <c r="T714">
        <f t="shared" si="67"/>
        <v>2.1601260259779268E-2</v>
      </c>
    </row>
    <row r="715" spans="1:20" x14ac:dyDescent="0.3">
      <c r="A715" s="2" t="s">
        <v>1279</v>
      </c>
      <c r="B715" s="2" t="s">
        <v>1200</v>
      </c>
      <c r="C715" s="2" t="s">
        <v>1114</v>
      </c>
      <c r="D715" s="2" t="s">
        <v>63</v>
      </c>
      <c r="E715">
        <v>602314.35473333334</v>
      </c>
      <c r="F715">
        <v>160755.78043333333</v>
      </c>
      <c r="G715">
        <v>154.62633333333332</v>
      </c>
      <c r="J715" s="5" t="s">
        <v>1253</v>
      </c>
      <c r="K715" s="5" t="s">
        <v>1254</v>
      </c>
      <c r="L715" s="5" t="s">
        <v>1291</v>
      </c>
      <c r="M715" s="3">
        <f t="shared" ref="M715:N761" si="69">J715-E715</f>
        <v>-1.7033333308063447E-2</v>
      </c>
      <c r="N715" s="3">
        <f t="shared" si="69"/>
        <v>-5.623333333642222E-2</v>
      </c>
      <c r="O715" s="3">
        <f t="shared" si="65"/>
        <v>4.573333333331675E-2</v>
      </c>
      <c r="P715">
        <f t="shared" si="68"/>
        <v>2.9013444358358365E-4</v>
      </c>
      <c r="Q715">
        <f t="shared" si="68"/>
        <v>3.1621877781251744E-3</v>
      </c>
      <c r="R715">
        <f t="shared" si="68"/>
        <v>2.091537777776261E-3</v>
      </c>
      <c r="S715">
        <f t="shared" si="66"/>
        <v>3.452322221708758E-3</v>
      </c>
      <c r="T715">
        <f t="shared" si="67"/>
        <v>5.8756465360918012E-2</v>
      </c>
    </row>
    <row r="716" spans="1:20" x14ac:dyDescent="0.3">
      <c r="A716" s="2" t="s">
        <v>1279</v>
      </c>
      <c r="B716" s="2" t="s">
        <v>1200</v>
      </c>
      <c r="C716" s="2" t="s">
        <v>1114</v>
      </c>
      <c r="D716" s="2" t="s">
        <v>30</v>
      </c>
      <c r="E716">
        <v>602314.32773333334</v>
      </c>
      <c r="F716">
        <v>160755.74830000001</v>
      </c>
      <c r="G716">
        <v>154.63</v>
      </c>
      <c r="J716" s="5" t="s">
        <v>1253</v>
      </c>
      <c r="K716" s="5" t="s">
        <v>1254</v>
      </c>
      <c r="L716" s="5" t="s">
        <v>1291</v>
      </c>
      <c r="M716" s="3">
        <f t="shared" si="69"/>
        <v>9.9666666937991977E-3</v>
      </c>
      <c r="N716" s="3">
        <f t="shared" si="69"/>
        <v>-2.4100000009639189E-2</v>
      </c>
      <c r="O716" s="3">
        <f t="shared" si="65"/>
        <v>4.9399999999991451E-2</v>
      </c>
      <c r="P716">
        <f t="shared" si="68"/>
        <v>9.933444498528623E-5</v>
      </c>
      <c r="Q716">
        <f t="shared" si="68"/>
        <v>5.8081000046460889E-4</v>
      </c>
      <c r="R716">
        <f t="shared" si="68"/>
        <v>2.4403599999991555E-3</v>
      </c>
      <c r="S716">
        <f t="shared" si="66"/>
        <v>6.8014444544989511E-4</v>
      </c>
      <c r="T716">
        <f t="shared" si="67"/>
        <v>2.6079579088817657E-2</v>
      </c>
    </row>
    <row r="717" spans="1:20" x14ac:dyDescent="0.3">
      <c r="A717" s="2" t="s">
        <v>1279</v>
      </c>
      <c r="B717" s="2" t="s">
        <v>1201</v>
      </c>
      <c r="C717" s="2" t="s">
        <v>1108</v>
      </c>
      <c r="D717" s="2" t="s">
        <v>30</v>
      </c>
      <c r="E717">
        <v>557542.48106666666</v>
      </c>
      <c r="F717">
        <v>199259.21070000003</v>
      </c>
      <c r="G717">
        <v>52.820666666666661</v>
      </c>
      <c r="J717" s="5" t="s">
        <v>1255</v>
      </c>
      <c r="K717" s="5" t="s">
        <v>1256</v>
      </c>
      <c r="L717" s="5" t="s">
        <v>1292</v>
      </c>
      <c r="M717" s="3">
        <f t="shared" si="69"/>
        <v>-1.3266666675917804E-2</v>
      </c>
      <c r="N717" s="3">
        <f t="shared" si="69"/>
        <v>-1.4600000024074689E-2</v>
      </c>
      <c r="O717" s="3">
        <f t="shared" si="65"/>
        <v>3.3333333333729342E-4</v>
      </c>
      <c r="P717">
        <f t="shared" si="68"/>
        <v>1.7600444468990795E-4</v>
      </c>
      <c r="Q717">
        <f t="shared" si="68"/>
        <v>2.1316000070298091E-4</v>
      </c>
      <c r="R717">
        <f t="shared" si="68"/>
        <v>1.1111111111375118E-7</v>
      </c>
      <c r="S717">
        <f t="shared" si="66"/>
        <v>3.8916444539288886E-4</v>
      </c>
      <c r="T717">
        <f t="shared" si="67"/>
        <v>1.972725133902057E-2</v>
      </c>
    </row>
    <row r="718" spans="1:20" x14ac:dyDescent="0.3">
      <c r="A718" s="2" t="s">
        <v>1279</v>
      </c>
      <c r="B718" s="2" t="s">
        <v>1201</v>
      </c>
      <c r="C718" s="2" t="s">
        <v>1108</v>
      </c>
      <c r="D718" s="2" t="s">
        <v>1112</v>
      </c>
      <c r="E718">
        <v>557542.4558</v>
      </c>
      <c r="F718">
        <v>199259.21070000003</v>
      </c>
      <c r="G718">
        <v>52.826666666666661</v>
      </c>
      <c r="J718" s="5" t="s">
        <v>1255</v>
      </c>
      <c r="K718" s="5" t="s">
        <v>1256</v>
      </c>
      <c r="L718" s="5" t="s">
        <v>1292</v>
      </c>
      <c r="M718" s="3">
        <f t="shared" si="69"/>
        <v>1.1999999987892807E-2</v>
      </c>
      <c r="N718" s="3">
        <f t="shared" si="69"/>
        <v>-1.4600000024074689E-2</v>
      </c>
      <c r="O718" s="3">
        <f t="shared" si="65"/>
        <v>5.6666666666629339E-3</v>
      </c>
      <c r="P718">
        <f t="shared" si="68"/>
        <v>1.4399999970942734E-4</v>
      </c>
      <c r="Q718">
        <f t="shared" si="68"/>
        <v>2.1316000070298091E-4</v>
      </c>
      <c r="R718">
        <f t="shared" si="68"/>
        <v>3.211111111106881E-5</v>
      </c>
      <c r="S718">
        <f t="shared" si="66"/>
        <v>3.5716000041240826E-4</v>
      </c>
      <c r="T718">
        <f t="shared" si="67"/>
        <v>1.8898677213297448E-2</v>
      </c>
    </row>
    <row r="719" spans="1:20" x14ac:dyDescent="0.3">
      <c r="A719" s="2" t="s">
        <v>1279</v>
      </c>
      <c r="B719" s="2" t="s">
        <v>1202</v>
      </c>
      <c r="C719" s="2" t="s">
        <v>1108</v>
      </c>
      <c r="D719" s="2" t="s">
        <v>37</v>
      </c>
      <c r="E719">
        <v>557542.46563333331</v>
      </c>
      <c r="F719">
        <v>199259.22186666666</v>
      </c>
      <c r="G719">
        <v>52.839666666666666</v>
      </c>
      <c r="J719" s="5" t="s">
        <v>1257</v>
      </c>
      <c r="K719" s="5" t="s">
        <v>1258</v>
      </c>
      <c r="L719" s="5" t="s">
        <v>1292</v>
      </c>
      <c r="M719" s="3">
        <f t="shared" si="69"/>
        <v>2.166666672565043E-3</v>
      </c>
      <c r="N719" s="3">
        <f t="shared" si="69"/>
        <v>-2.5766666658455506E-2</v>
      </c>
      <c r="O719" s="3">
        <f t="shared" si="65"/>
        <v>1.8666666666668164E-2</v>
      </c>
      <c r="P719">
        <f t="shared" si="68"/>
        <v>4.6944444700040751E-6</v>
      </c>
      <c r="Q719">
        <f t="shared" si="68"/>
        <v>6.6392111068796264E-4</v>
      </c>
      <c r="R719">
        <f t="shared" si="68"/>
        <v>3.4844444444450035E-4</v>
      </c>
      <c r="S719">
        <f t="shared" si="66"/>
        <v>6.686155551579667E-4</v>
      </c>
      <c r="T719">
        <f t="shared" si="67"/>
        <v>2.585760149661926E-2</v>
      </c>
    </row>
    <row r="720" spans="1:20" x14ac:dyDescent="0.3">
      <c r="A720" s="2" t="s">
        <v>1279</v>
      </c>
      <c r="B720" s="2" t="s">
        <v>1202</v>
      </c>
      <c r="C720" s="2" t="s">
        <v>1108</v>
      </c>
      <c r="D720" s="2" t="s">
        <v>46</v>
      </c>
      <c r="E720">
        <v>557542.45456666674</v>
      </c>
      <c r="F720">
        <v>199259.20600000001</v>
      </c>
      <c r="G720">
        <v>52.865333333333332</v>
      </c>
      <c r="J720" s="5" t="s">
        <v>1257</v>
      </c>
      <c r="K720" s="5" t="s">
        <v>1258</v>
      </c>
      <c r="L720" s="5" t="s">
        <v>1292</v>
      </c>
      <c r="M720" s="3">
        <f t="shared" si="69"/>
        <v>1.3233333243988454E-2</v>
      </c>
      <c r="N720" s="3">
        <f t="shared" si="69"/>
        <v>-9.9000000045634806E-3</v>
      </c>
      <c r="O720" s="3">
        <f t="shared" si="65"/>
        <v>4.4333333333334224E-2</v>
      </c>
      <c r="P720">
        <f t="shared" si="68"/>
        <v>1.7512110874644997E-4</v>
      </c>
      <c r="Q720">
        <f t="shared" si="68"/>
        <v>9.8010000090356913E-5</v>
      </c>
      <c r="R720">
        <f t="shared" si="68"/>
        <v>1.9654444444445235E-3</v>
      </c>
      <c r="S720">
        <f t="shared" si="66"/>
        <v>2.7313110883680689E-4</v>
      </c>
      <c r="T720">
        <f t="shared" si="67"/>
        <v>1.6526678699509072E-2</v>
      </c>
    </row>
    <row r="721" spans="1:20" x14ac:dyDescent="0.3">
      <c r="A721" s="2" t="s">
        <v>1279</v>
      </c>
      <c r="B721" s="2" t="s">
        <v>1202</v>
      </c>
      <c r="C721" s="2" t="s">
        <v>1114</v>
      </c>
      <c r="D721" s="2" t="s">
        <v>30</v>
      </c>
      <c r="E721">
        <v>557542.46963333338</v>
      </c>
      <c r="F721">
        <v>199259.21193333334</v>
      </c>
      <c r="G721">
        <v>52.844000000000001</v>
      </c>
      <c r="J721" s="5" t="s">
        <v>1257</v>
      </c>
      <c r="K721" s="5" t="s">
        <v>1258</v>
      </c>
      <c r="L721" s="5" t="s">
        <v>1292</v>
      </c>
      <c r="M721" s="3">
        <f t="shared" si="69"/>
        <v>-1.8333334010094404E-3</v>
      </c>
      <c r="N721" s="3">
        <f t="shared" si="69"/>
        <v>-1.5833333338377997E-2</v>
      </c>
      <c r="O721" s="3">
        <f t="shared" si="65"/>
        <v>2.300000000000324E-2</v>
      </c>
      <c r="P721">
        <f t="shared" si="68"/>
        <v>3.3611113592568417E-6</v>
      </c>
      <c r="Q721">
        <f t="shared" si="68"/>
        <v>2.5069444460419215E-4</v>
      </c>
      <c r="R721">
        <f t="shared" si="68"/>
        <v>5.2900000000014903E-4</v>
      </c>
      <c r="S721">
        <f t="shared" si="66"/>
        <v>2.5405555596344899E-4</v>
      </c>
      <c r="T721">
        <f t="shared" si="67"/>
        <v>1.5939120300802332E-2</v>
      </c>
    </row>
    <row r="722" spans="1:20" x14ac:dyDescent="0.3">
      <c r="A722" s="2" t="s">
        <v>1279</v>
      </c>
      <c r="B722" s="2" t="s">
        <v>1202</v>
      </c>
      <c r="C722" s="2" t="s">
        <v>1114</v>
      </c>
      <c r="D722" s="2" t="s">
        <v>52</v>
      </c>
      <c r="E722">
        <v>557542.47259999998</v>
      </c>
      <c r="F722">
        <v>199259.22010000001</v>
      </c>
      <c r="G722">
        <v>52.875666666666667</v>
      </c>
      <c r="J722" s="5" t="s">
        <v>1257</v>
      </c>
      <c r="K722" s="5" t="s">
        <v>1258</v>
      </c>
      <c r="L722" s="5" t="s">
        <v>1292</v>
      </c>
      <c r="M722" s="3">
        <f t="shared" si="69"/>
        <v>-4.7999999951571226E-3</v>
      </c>
      <c r="N722" s="3">
        <f t="shared" si="69"/>
        <v>-2.4000000004889444E-2</v>
      </c>
      <c r="O722" s="3">
        <f t="shared" si="65"/>
        <v>5.4666666666669528E-2</v>
      </c>
      <c r="P722">
        <f t="shared" si="68"/>
        <v>2.3039999953508377E-5</v>
      </c>
      <c r="Q722">
        <f t="shared" si="68"/>
        <v>5.7600000023469325E-4</v>
      </c>
      <c r="R722">
        <f t="shared" si="68"/>
        <v>2.9884444444447573E-3</v>
      </c>
      <c r="S722">
        <f t="shared" si="66"/>
        <v>5.9904000018820157E-4</v>
      </c>
      <c r="T722">
        <f t="shared" si="67"/>
        <v>2.4475293669090091E-2</v>
      </c>
    </row>
    <row r="723" spans="1:20" x14ac:dyDescent="0.3">
      <c r="A723" s="2" t="s">
        <v>1279</v>
      </c>
      <c r="B723" s="2" t="s">
        <v>1203</v>
      </c>
      <c r="C723" s="2" t="s">
        <v>1114</v>
      </c>
      <c r="D723" s="2" t="s">
        <v>63</v>
      </c>
      <c r="E723">
        <v>547579.71730000002</v>
      </c>
      <c r="F723">
        <v>194891.53373333334</v>
      </c>
      <c r="G723">
        <v>709.13366666666661</v>
      </c>
      <c r="J723" s="5" t="s">
        <v>1259</v>
      </c>
      <c r="K723" s="5" t="s">
        <v>1260</v>
      </c>
      <c r="L723" s="5" t="s">
        <v>1293</v>
      </c>
      <c r="M723" s="3">
        <f t="shared" si="69"/>
        <v>-4.5999999856576324E-3</v>
      </c>
      <c r="N723" s="3">
        <f t="shared" si="69"/>
        <v>-5.2333333587739617E-3</v>
      </c>
      <c r="O723" s="3">
        <f t="shared" si="65"/>
        <v>4.6266666666610945E-2</v>
      </c>
      <c r="P723">
        <f t="shared" si="68"/>
        <v>2.1159999868050218E-5</v>
      </c>
      <c r="Q723">
        <f t="shared" si="68"/>
        <v>2.7387778044056354E-5</v>
      </c>
      <c r="R723">
        <f t="shared" si="68"/>
        <v>2.1406044444392883E-3</v>
      </c>
      <c r="S723">
        <f t="shared" si="66"/>
        <v>4.8547777912106572E-5</v>
      </c>
      <c r="T723">
        <f t="shared" si="67"/>
        <v>6.967623548391989E-3</v>
      </c>
    </row>
    <row r="724" spans="1:20" x14ac:dyDescent="0.3">
      <c r="A724" s="2" t="s">
        <v>1279</v>
      </c>
      <c r="B724" s="2" t="s">
        <v>1203</v>
      </c>
      <c r="C724" s="2" t="s">
        <v>1114</v>
      </c>
      <c r="D724" s="2" t="s">
        <v>30</v>
      </c>
      <c r="E724">
        <v>547579.74739999999</v>
      </c>
      <c r="F724">
        <v>194891.50906666662</v>
      </c>
      <c r="G724">
        <v>709.16566666666665</v>
      </c>
      <c r="J724" s="5" t="s">
        <v>1259</v>
      </c>
      <c r="K724" s="5" t="s">
        <v>1260</v>
      </c>
      <c r="L724" s="5" t="s">
        <v>1293</v>
      </c>
      <c r="M724" s="3">
        <f t="shared" si="69"/>
        <v>-3.4699999960139394E-2</v>
      </c>
      <c r="N724" s="3">
        <f t="shared" si="69"/>
        <v>1.943333336384967E-2</v>
      </c>
      <c r="O724" s="3">
        <f t="shared" si="65"/>
        <v>7.8266666666650053E-2</v>
      </c>
      <c r="P724">
        <f t="shared" si="68"/>
        <v>1.2040899972336739E-3</v>
      </c>
      <c r="Q724">
        <f t="shared" si="68"/>
        <v>3.7765444563051274E-4</v>
      </c>
      <c r="R724">
        <f t="shared" si="68"/>
        <v>6.1256711111085105E-3</v>
      </c>
      <c r="S724">
        <f t="shared" si="66"/>
        <v>1.5817444428641867E-3</v>
      </c>
      <c r="T724">
        <f t="shared" si="67"/>
        <v>3.9771150886844936E-2</v>
      </c>
    </row>
    <row r="725" spans="1:20" x14ac:dyDescent="0.3">
      <c r="A725" s="2" t="s">
        <v>1279</v>
      </c>
      <c r="B725" s="2" t="s">
        <v>1204</v>
      </c>
      <c r="C725" s="2" t="s">
        <v>1114</v>
      </c>
      <c r="D725" s="2" t="s">
        <v>52</v>
      </c>
      <c r="E725">
        <v>547579.74653333332</v>
      </c>
      <c r="F725">
        <v>194891.51549999998</v>
      </c>
      <c r="G725">
        <v>709.16499999999996</v>
      </c>
      <c r="J725" s="5" t="s">
        <v>1261</v>
      </c>
      <c r="K725" s="5" t="s">
        <v>1262</v>
      </c>
      <c r="L725" s="5" t="s">
        <v>1293</v>
      </c>
      <c r="M725" s="3">
        <f t="shared" si="69"/>
        <v>-3.3833333291113377E-2</v>
      </c>
      <c r="N725" s="3">
        <f t="shared" si="69"/>
        <v>1.3000000006286427E-2</v>
      </c>
      <c r="O725" s="3">
        <f t="shared" si="65"/>
        <v>7.7599999999961256E-2</v>
      </c>
      <c r="P725">
        <f t="shared" si="68"/>
        <v>1.1446944415875607E-3</v>
      </c>
      <c r="Q725">
        <f t="shared" si="68"/>
        <v>1.6900000016344712E-4</v>
      </c>
      <c r="R725">
        <f t="shared" si="68"/>
        <v>6.0217599999939867E-3</v>
      </c>
      <c r="S725">
        <f t="shared" si="66"/>
        <v>1.3136944417510078E-3</v>
      </c>
      <c r="T725">
        <f t="shared" si="67"/>
        <v>3.6244922978963659E-2</v>
      </c>
    </row>
    <row r="726" spans="1:20" x14ac:dyDescent="0.3">
      <c r="A726" s="2" t="s">
        <v>1279</v>
      </c>
      <c r="B726" s="2" t="s">
        <v>1204</v>
      </c>
      <c r="C726" s="2" t="s">
        <v>1108</v>
      </c>
      <c r="D726" s="2" t="s">
        <v>30</v>
      </c>
      <c r="E726">
        <v>547579.74116666662</v>
      </c>
      <c r="F726">
        <v>194891.52670000002</v>
      </c>
      <c r="G726">
        <v>709.12566666666669</v>
      </c>
      <c r="J726" s="5" t="s">
        <v>1261</v>
      </c>
      <c r="K726" s="5" t="s">
        <v>1262</v>
      </c>
      <c r="L726" s="5" t="s">
        <v>1293</v>
      </c>
      <c r="M726" s="3">
        <f t="shared" si="69"/>
        <v>-2.8466666582971811E-2</v>
      </c>
      <c r="N726" s="3">
        <f t="shared" si="69"/>
        <v>1.7999999690800905E-3</v>
      </c>
      <c r="O726" s="3">
        <f t="shared" si="65"/>
        <v>3.8266666666686433E-2</v>
      </c>
      <c r="P726">
        <f t="shared" si="68"/>
        <v>8.1035110634608402E-4</v>
      </c>
      <c r="Q726">
        <f t="shared" si="68"/>
        <v>3.2399998886883268E-6</v>
      </c>
      <c r="R726">
        <f t="shared" si="68"/>
        <v>1.4643377777792906E-3</v>
      </c>
      <c r="S726">
        <f t="shared" si="66"/>
        <v>8.1359110623477229E-4</v>
      </c>
      <c r="T726">
        <f t="shared" si="67"/>
        <v>2.8523518475720561E-2</v>
      </c>
    </row>
    <row r="727" spans="1:20" x14ac:dyDescent="0.3">
      <c r="A727" s="2" t="s">
        <v>1279</v>
      </c>
      <c r="B727" s="2" t="s">
        <v>1204</v>
      </c>
      <c r="C727" s="2" t="s">
        <v>1108</v>
      </c>
      <c r="D727" s="2" t="s">
        <v>1112</v>
      </c>
      <c r="E727">
        <v>547579.73806666676</v>
      </c>
      <c r="F727">
        <v>194891.5239</v>
      </c>
      <c r="G727">
        <v>709.13</v>
      </c>
      <c r="J727" s="5" t="s">
        <v>1261</v>
      </c>
      <c r="K727" s="5" t="s">
        <v>1262</v>
      </c>
      <c r="L727" s="5" t="s">
        <v>1293</v>
      </c>
      <c r="M727" s="3">
        <f t="shared" si="69"/>
        <v>-2.5366666726768017E-2</v>
      </c>
      <c r="N727" s="3">
        <f t="shared" si="69"/>
        <v>4.5999999856576324E-3</v>
      </c>
      <c r="O727" s="3">
        <f t="shared" si="65"/>
        <v>4.2599999999993088E-2</v>
      </c>
      <c r="P727">
        <f t="shared" si="68"/>
        <v>6.4346778082691961E-4</v>
      </c>
      <c r="Q727">
        <f t="shared" si="68"/>
        <v>2.1159999868050218E-5</v>
      </c>
      <c r="R727">
        <f t="shared" si="68"/>
        <v>1.8147599999994112E-3</v>
      </c>
      <c r="S727">
        <f t="shared" si="66"/>
        <v>6.6462778069496982E-4</v>
      </c>
      <c r="T727">
        <f t="shared" si="67"/>
        <v>2.5780375883508174E-2</v>
      </c>
    </row>
    <row r="728" spans="1:20" x14ac:dyDescent="0.3">
      <c r="A728" s="2" t="s">
        <v>1279</v>
      </c>
      <c r="B728" s="2" t="s">
        <v>1204</v>
      </c>
      <c r="C728" s="2" t="s">
        <v>1108</v>
      </c>
      <c r="D728" s="2" t="s">
        <v>37</v>
      </c>
      <c r="E728">
        <v>547579.72426666657</v>
      </c>
      <c r="F728">
        <v>194891.52060000002</v>
      </c>
      <c r="G728">
        <v>709.11800000000005</v>
      </c>
      <c r="J728" s="5" t="s">
        <v>1261</v>
      </c>
      <c r="K728" s="5" t="s">
        <v>1262</v>
      </c>
      <c r="L728" s="5" t="s">
        <v>1293</v>
      </c>
      <c r="M728" s="3">
        <f t="shared" si="69"/>
        <v>-1.1566666536964476E-2</v>
      </c>
      <c r="N728" s="3">
        <f t="shared" si="69"/>
        <v>7.8999999677762389E-3</v>
      </c>
      <c r="O728" s="3">
        <f t="shared" si="65"/>
        <v>3.0600000000049477E-2</v>
      </c>
      <c r="P728">
        <f t="shared" si="68"/>
        <v>1.3378777477733377E-4</v>
      </c>
      <c r="Q728">
        <f t="shared" si="68"/>
        <v>6.2409999490864576E-5</v>
      </c>
      <c r="R728">
        <f t="shared" si="68"/>
        <v>9.3636000000302797E-4</v>
      </c>
      <c r="S728">
        <f t="shared" si="66"/>
        <v>1.9619777426819834E-4</v>
      </c>
      <c r="T728">
        <f t="shared" si="67"/>
        <v>1.4007061585793014E-2</v>
      </c>
    </row>
    <row r="729" spans="1:20" x14ac:dyDescent="0.3">
      <c r="A729" s="2" t="s">
        <v>1279</v>
      </c>
      <c r="B729" s="2" t="s">
        <v>1204</v>
      </c>
      <c r="C729" s="2" t="s">
        <v>1108</v>
      </c>
      <c r="D729" s="2" t="s">
        <v>46</v>
      </c>
      <c r="E729">
        <v>547579.71976666665</v>
      </c>
      <c r="F729">
        <v>194891.51869999999</v>
      </c>
      <c r="G729">
        <v>709.13066666666657</v>
      </c>
      <c r="J729" s="5" t="s">
        <v>1261</v>
      </c>
      <c r="K729" s="5" t="s">
        <v>1262</v>
      </c>
      <c r="L729" s="5" t="s">
        <v>1293</v>
      </c>
      <c r="M729" s="3">
        <f t="shared" si="69"/>
        <v>-7.0666666142642498E-3</v>
      </c>
      <c r="N729" s="3">
        <f t="shared" si="69"/>
        <v>9.7999999998137355E-3</v>
      </c>
      <c r="O729" s="3">
        <f t="shared" si="65"/>
        <v>4.3266666666568199E-2</v>
      </c>
      <c r="P729">
        <f t="shared" si="68"/>
        <v>4.9937777037156955E-5</v>
      </c>
      <c r="Q729">
        <f t="shared" si="68"/>
        <v>9.6039999996349216E-5</v>
      </c>
      <c r="R729">
        <f t="shared" si="68"/>
        <v>1.8720044444359236E-3</v>
      </c>
      <c r="S729">
        <f t="shared" si="66"/>
        <v>1.4597777703350616E-4</v>
      </c>
      <c r="T729">
        <f t="shared" si="67"/>
        <v>1.2082126345701992E-2</v>
      </c>
    </row>
    <row r="730" spans="1:20" x14ac:dyDescent="0.3">
      <c r="A730" s="2" t="s">
        <v>1279</v>
      </c>
      <c r="B730" s="2" t="s">
        <v>1204</v>
      </c>
      <c r="C730" s="2" t="s">
        <v>1120</v>
      </c>
      <c r="D730" s="2" t="s">
        <v>1019</v>
      </c>
      <c r="E730">
        <v>547579.71959999995</v>
      </c>
      <c r="F730">
        <v>194891.52969999998</v>
      </c>
      <c r="G730">
        <v>709.17666666666662</v>
      </c>
      <c r="J730" s="5" t="s">
        <v>1261</v>
      </c>
      <c r="K730" s="5" t="s">
        <v>1262</v>
      </c>
      <c r="L730" s="5" t="s">
        <v>1293</v>
      </c>
      <c r="M730" s="3">
        <f t="shared" si="69"/>
        <v>-6.8999999202787876E-3</v>
      </c>
      <c r="N730" s="3">
        <f t="shared" si="69"/>
        <v>-1.1999999987892807E-3</v>
      </c>
      <c r="O730" s="3">
        <f t="shared" si="65"/>
        <v>8.9266666666617311E-2</v>
      </c>
      <c r="P730">
        <f t="shared" si="68"/>
        <v>4.7609998899847275E-5</v>
      </c>
      <c r="Q730">
        <f t="shared" si="68"/>
        <v>1.4399999970942736E-6</v>
      </c>
      <c r="R730">
        <f t="shared" si="68"/>
        <v>7.9685377777689668E-3</v>
      </c>
      <c r="S730">
        <f t="shared" si="66"/>
        <v>4.9049998896941546E-5</v>
      </c>
      <c r="T730">
        <f t="shared" si="67"/>
        <v>7.0035704392075295E-3</v>
      </c>
    </row>
    <row r="731" spans="1:20" x14ac:dyDescent="0.3">
      <c r="A731" s="2" t="s">
        <v>1279</v>
      </c>
      <c r="B731" s="2" t="s">
        <v>1205</v>
      </c>
      <c r="C731" s="2" t="s">
        <v>1120</v>
      </c>
      <c r="D731" s="2" t="s">
        <v>423</v>
      </c>
      <c r="E731">
        <v>541112.81849999994</v>
      </c>
      <c r="F731">
        <v>182324.58956666666</v>
      </c>
      <c r="G731">
        <v>481.34433333333328</v>
      </c>
      <c r="J731" s="5" t="s">
        <v>1263</v>
      </c>
      <c r="K731" s="5" t="s">
        <v>1264</v>
      </c>
      <c r="L731" s="5" t="s">
        <v>1294</v>
      </c>
      <c r="M731" s="3">
        <f t="shared" si="69"/>
        <v>6.1000001151114702E-3</v>
      </c>
      <c r="N731" s="3">
        <f t="shared" si="69"/>
        <v>-6.3666666683275253E-3</v>
      </c>
      <c r="O731" s="3">
        <f t="shared" si="65"/>
        <v>0.124533333333261</v>
      </c>
      <c r="P731">
        <f t="shared" si="68"/>
        <v>3.721000140435995E-5</v>
      </c>
      <c r="Q731">
        <f t="shared" si="68"/>
        <v>4.053444446559271E-5</v>
      </c>
      <c r="R731">
        <f t="shared" si="68"/>
        <v>1.5508551111093095E-2</v>
      </c>
      <c r="S731">
        <f t="shared" si="66"/>
        <v>7.774444586995266E-5</v>
      </c>
      <c r="T731">
        <f t="shared" si="67"/>
        <v>8.817281092828597E-3</v>
      </c>
    </row>
    <row r="732" spans="1:20" x14ac:dyDescent="0.3">
      <c r="A732" s="2" t="s">
        <v>1279</v>
      </c>
      <c r="B732" s="2" t="s">
        <v>1205</v>
      </c>
      <c r="C732" s="2" t="s">
        <v>1120</v>
      </c>
      <c r="D732" s="2" t="s">
        <v>1019</v>
      </c>
      <c r="E732">
        <v>541112.80956666672</v>
      </c>
      <c r="F732">
        <v>182324.58823333331</v>
      </c>
      <c r="G732">
        <v>481.33633333333336</v>
      </c>
      <c r="J732" s="5" t="s">
        <v>1263</v>
      </c>
      <c r="K732" s="5" t="s">
        <v>1264</v>
      </c>
      <c r="L732" s="5" t="s">
        <v>1294</v>
      </c>
      <c r="M732" s="3">
        <f t="shared" si="69"/>
        <v>1.5033333329483867E-2</v>
      </c>
      <c r="N732" s="3">
        <f t="shared" si="69"/>
        <v>-5.0333333201706409E-3</v>
      </c>
      <c r="O732" s="3">
        <f t="shared" ref="O732:O795" si="70">ABS(L732-G732)</f>
        <v>0.11653333333333649</v>
      </c>
      <c r="P732">
        <f t="shared" si="68"/>
        <v>2.2600111099537048E-4</v>
      </c>
      <c r="Q732">
        <f t="shared" si="68"/>
        <v>2.5334444311940008E-5</v>
      </c>
      <c r="R732">
        <f t="shared" si="68"/>
        <v>1.3580017777778513E-2</v>
      </c>
      <c r="S732">
        <f t="shared" ref="S732:S795" si="71">P732+Q732</f>
        <v>2.5133555530731049E-4</v>
      </c>
      <c r="T732">
        <f t="shared" ref="T732:T795" si="72">SQRT(S732)</f>
        <v>1.5853566012330175E-2</v>
      </c>
    </row>
    <row r="733" spans="1:20" x14ac:dyDescent="0.3">
      <c r="A733" s="2" t="s">
        <v>1279</v>
      </c>
      <c r="B733" s="2" t="s">
        <v>1206</v>
      </c>
      <c r="C733" s="2" t="s">
        <v>1108</v>
      </c>
      <c r="D733" s="2" t="s">
        <v>30</v>
      </c>
      <c r="E733">
        <v>541112.82723333326</v>
      </c>
      <c r="F733">
        <v>182324.59636666664</v>
      </c>
      <c r="G733">
        <v>481.26466666666664</v>
      </c>
      <c r="J733" s="5" t="s">
        <v>1265</v>
      </c>
      <c r="K733" s="5" t="s">
        <v>1266</v>
      </c>
      <c r="L733" s="5" t="s">
        <v>1294</v>
      </c>
      <c r="M733" s="3">
        <f t="shared" si="69"/>
        <v>-2.6333332061767578E-3</v>
      </c>
      <c r="N733" s="3">
        <f t="shared" si="69"/>
        <v>-1.3166666642064229E-2</v>
      </c>
      <c r="O733" s="3">
        <f t="shared" si="70"/>
        <v>4.4866666666621313E-2</v>
      </c>
      <c r="P733">
        <f t="shared" si="68"/>
        <v>6.9344437747531629E-6</v>
      </c>
      <c r="Q733">
        <f t="shared" si="68"/>
        <v>1.7336111046324692E-4</v>
      </c>
      <c r="R733">
        <f t="shared" si="68"/>
        <v>2.013017777773708E-3</v>
      </c>
      <c r="S733">
        <f t="shared" si="71"/>
        <v>1.8029555423800008E-4</v>
      </c>
      <c r="T733">
        <f t="shared" si="72"/>
        <v>1.342741800339887E-2</v>
      </c>
    </row>
    <row r="734" spans="1:20" x14ac:dyDescent="0.3">
      <c r="A734" s="2" t="s">
        <v>1279</v>
      </c>
      <c r="B734" s="2" t="s">
        <v>1206</v>
      </c>
      <c r="C734" s="2" t="s">
        <v>1108</v>
      </c>
      <c r="D734" s="2" t="s">
        <v>1112</v>
      </c>
      <c r="E734">
        <v>541112.79516666662</v>
      </c>
      <c r="F734">
        <v>182324.61416666667</v>
      </c>
      <c r="G734">
        <v>481.29133333333334</v>
      </c>
      <c r="J734" s="5" t="s">
        <v>1265</v>
      </c>
      <c r="K734" s="5" t="s">
        <v>1266</v>
      </c>
      <c r="L734" s="5" t="s">
        <v>1294</v>
      </c>
      <c r="M734" s="3">
        <f t="shared" si="69"/>
        <v>2.9433333431370556E-2</v>
      </c>
      <c r="N734" s="3">
        <f t="shared" si="69"/>
        <v>-3.0966666672611609E-2</v>
      </c>
      <c r="O734" s="3">
        <f t="shared" si="70"/>
        <v>7.153333333332057E-2</v>
      </c>
      <c r="P734">
        <f t="shared" si="68"/>
        <v>8.6632111688223564E-4</v>
      </c>
      <c r="Q734">
        <f t="shared" si="68"/>
        <v>9.5893444481263458E-4</v>
      </c>
      <c r="R734">
        <f t="shared" si="68"/>
        <v>5.1170177777759519E-3</v>
      </c>
      <c r="S734">
        <f t="shared" si="71"/>
        <v>1.8252555616948703E-3</v>
      </c>
      <c r="T734">
        <f t="shared" si="72"/>
        <v>4.2723009745275091E-2</v>
      </c>
    </row>
    <row r="735" spans="1:20" x14ac:dyDescent="0.3">
      <c r="A735" s="2" t="s">
        <v>1279</v>
      </c>
      <c r="B735" s="2" t="s">
        <v>1206</v>
      </c>
      <c r="C735" s="2" t="s">
        <v>1108</v>
      </c>
      <c r="D735" s="2" t="s">
        <v>37</v>
      </c>
      <c r="E735">
        <v>541112.81589999993</v>
      </c>
      <c r="F735">
        <v>182324.6011</v>
      </c>
      <c r="G735">
        <v>481.29366666666664</v>
      </c>
      <c r="J735" s="5" t="s">
        <v>1265</v>
      </c>
      <c r="K735" s="5" t="s">
        <v>1266</v>
      </c>
      <c r="L735" s="5" t="s">
        <v>1294</v>
      </c>
      <c r="M735" s="3">
        <f t="shared" si="69"/>
        <v>8.7000001221895218E-3</v>
      </c>
      <c r="N735" s="3">
        <f t="shared" si="69"/>
        <v>-1.7900000006193295E-2</v>
      </c>
      <c r="O735" s="3">
        <f t="shared" si="70"/>
        <v>7.3866666666617675E-2</v>
      </c>
      <c r="P735">
        <f t="shared" si="68"/>
        <v>7.5690002126097694E-5</v>
      </c>
      <c r="Q735">
        <f t="shared" si="68"/>
        <v>3.2041000022171997E-4</v>
      </c>
      <c r="R735">
        <f t="shared" si="68"/>
        <v>5.4562844444372071E-3</v>
      </c>
      <c r="S735">
        <f t="shared" si="71"/>
        <v>3.9610000234781767E-4</v>
      </c>
      <c r="T735">
        <f t="shared" si="72"/>
        <v>1.9902261237050869E-2</v>
      </c>
    </row>
    <row r="736" spans="1:20" x14ac:dyDescent="0.3">
      <c r="A736" s="2" t="s">
        <v>1279</v>
      </c>
      <c r="B736" s="2" t="s">
        <v>1206</v>
      </c>
      <c r="C736" s="2" t="s">
        <v>1108</v>
      </c>
      <c r="D736" s="2" t="s">
        <v>46</v>
      </c>
      <c r="E736">
        <v>541112.82376666658</v>
      </c>
      <c r="F736">
        <v>182324.58739999999</v>
      </c>
      <c r="G736">
        <v>481.28333333333336</v>
      </c>
      <c r="J736" s="5" t="s">
        <v>1265</v>
      </c>
      <c r="K736" s="5" t="s">
        <v>1266</v>
      </c>
      <c r="L736" s="5" t="s">
        <v>1294</v>
      </c>
      <c r="M736" s="3">
        <f t="shared" si="69"/>
        <v>8.3333346992731094E-4</v>
      </c>
      <c r="N736" s="3">
        <f t="shared" si="69"/>
        <v>-4.1999999957624823E-3</v>
      </c>
      <c r="O736" s="3">
        <f t="shared" si="70"/>
        <v>6.3533333333339215E-2</v>
      </c>
      <c r="P736">
        <f t="shared" si="68"/>
        <v>6.9444467210109245E-7</v>
      </c>
      <c r="Q736">
        <f t="shared" si="68"/>
        <v>1.763999996440485E-5</v>
      </c>
      <c r="R736">
        <f t="shared" si="68"/>
        <v>4.0364844444451915E-3</v>
      </c>
      <c r="S736">
        <f t="shared" si="71"/>
        <v>1.8334444636505943E-5</v>
      </c>
      <c r="T736">
        <f t="shared" si="72"/>
        <v>4.2818739631738274E-3</v>
      </c>
    </row>
    <row r="737" spans="1:20" x14ac:dyDescent="0.3">
      <c r="A737" s="2" t="s">
        <v>1279</v>
      </c>
      <c r="B737" s="2" t="s">
        <v>1207</v>
      </c>
      <c r="C737" s="2" t="s">
        <v>1120</v>
      </c>
      <c r="D737" s="2" t="s">
        <v>1019</v>
      </c>
      <c r="E737">
        <v>540492.94006666669</v>
      </c>
      <c r="F737">
        <v>172014.33229999998</v>
      </c>
      <c r="G737">
        <v>386.95400000000001</v>
      </c>
      <c r="J737" s="5" t="s">
        <v>1267</v>
      </c>
      <c r="K737" s="5" t="s">
        <v>1268</v>
      </c>
      <c r="L737" s="5" t="s">
        <v>1295</v>
      </c>
      <c r="M737" s="3">
        <f t="shared" si="69"/>
        <v>1.0533333290368319E-2</v>
      </c>
      <c r="N737" s="3">
        <f t="shared" si="69"/>
        <v>-8.0999999772757292E-3</v>
      </c>
      <c r="O737" s="3">
        <f t="shared" si="70"/>
        <v>0.13470000000000937</v>
      </c>
      <c r="P737">
        <f t="shared" si="68"/>
        <v>1.1095111020598147E-4</v>
      </c>
      <c r="Q737">
        <f t="shared" si="68"/>
        <v>6.5609999631866813E-5</v>
      </c>
      <c r="R737">
        <f t="shared" si="68"/>
        <v>1.8144090000002524E-2</v>
      </c>
      <c r="S737">
        <f t="shared" si="71"/>
        <v>1.7656110983784828E-4</v>
      </c>
      <c r="T737">
        <f t="shared" si="72"/>
        <v>1.3287629955633483E-2</v>
      </c>
    </row>
    <row r="738" spans="1:20" x14ac:dyDescent="0.3">
      <c r="A738" s="2" t="s">
        <v>1279</v>
      </c>
      <c r="B738" s="2" t="s">
        <v>1207</v>
      </c>
      <c r="C738" s="2" t="s">
        <v>1120</v>
      </c>
      <c r="D738" s="2" t="s">
        <v>423</v>
      </c>
      <c r="E738">
        <v>540492.94423333334</v>
      </c>
      <c r="F738">
        <v>172014.32620000001</v>
      </c>
      <c r="G738">
        <v>386.95566666666667</v>
      </c>
      <c r="J738" s="5" t="s">
        <v>1267</v>
      </c>
      <c r="K738" s="5" t="s">
        <v>1268</v>
      </c>
      <c r="L738" s="5" t="s">
        <v>1295</v>
      </c>
      <c r="M738" s="3">
        <f t="shared" si="69"/>
        <v>6.3666666392236948E-3</v>
      </c>
      <c r="N738" s="3">
        <f t="shared" si="69"/>
        <v>-2.0000000076834112E-3</v>
      </c>
      <c r="O738" s="3">
        <f t="shared" si="70"/>
        <v>0.13636666666667452</v>
      </c>
      <c r="P738">
        <f t="shared" si="68"/>
        <v>4.0534444095003937E-5</v>
      </c>
      <c r="Q738">
        <f t="shared" si="68"/>
        <v>4.000000030733645E-6</v>
      </c>
      <c r="R738">
        <f t="shared" si="68"/>
        <v>1.8595867777779919E-2</v>
      </c>
      <c r="S738">
        <f t="shared" si="71"/>
        <v>4.4534444125737581E-5</v>
      </c>
      <c r="T738">
        <f t="shared" si="72"/>
        <v>6.6734132290558468E-3</v>
      </c>
    </row>
    <row r="739" spans="1:20" x14ac:dyDescent="0.3">
      <c r="A739" s="2" t="s">
        <v>1279</v>
      </c>
      <c r="B739" s="2" t="s">
        <v>1208</v>
      </c>
      <c r="C739" s="2" t="s">
        <v>1114</v>
      </c>
      <c r="D739" s="2" t="s">
        <v>63</v>
      </c>
      <c r="E739">
        <v>540492.91356666666</v>
      </c>
      <c r="F739">
        <v>172014.31389999998</v>
      </c>
      <c r="G739">
        <v>386.91733333333332</v>
      </c>
      <c r="J739" s="5" t="s">
        <v>1269</v>
      </c>
      <c r="K739" s="5" t="s">
        <v>1270</v>
      </c>
      <c r="L739" s="5" t="s">
        <v>1295</v>
      </c>
      <c r="M739" s="3">
        <f t="shared" si="69"/>
        <v>3.7033333326689899E-2</v>
      </c>
      <c r="N739" s="3">
        <f t="shared" si="69"/>
        <v>1.0300000023562461E-2</v>
      </c>
      <c r="O739" s="3">
        <f t="shared" si="70"/>
        <v>9.8033333333319206E-2</v>
      </c>
      <c r="P739">
        <f t="shared" si="68"/>
        <v>1.3714677772857207E-3</v>
      </c>
      <c r="Q739">
        <f t="shared" si="68"/>
        <v>1.060900004853867E-4</v>
      </c>
      <c r="R739">
        <f t="shared" si="68"/>
        <v>9.6105344444416749E-3</v>
      </c>
      <c r="S739">
        <f t="shared" si="71"/>
        <v>1.4775577777711075E-3</v>
      </c>
      <c r="T739">
        <f t="shared" si="72"/>
        <v>3.8439013746077146E-2</v>
      </c>
    </row>
    <row r="740" spans="1:20" x14ac:dyDescent="0.3">
      <c r="A740" s="2" t="s">
        <v>1279</v>
      </c>
      <c r="B740" s="2" t="s">
        <v>1208</v>
      </c>
      <c r="C740" s="2" t="s">
        <v>1114</v>
      </c>
      <c r="D740" s="2" t="s">
        <v>30</v>
      </c>
      <c r="E740">
        <v>540492.93823333329</v>
      </c>
      <c r="F740">
        <v>172014.31820000001</v>
      </c>
      <c r="G740">
        <v>386.91566666666671</v>
      </c>
      <c r="J740" s="5" t="s">
        <v>1269</v>
      </c>
      <c r="K740" s="5" t="s">
        <v>1270</v>
      </c>
      <c r="L740" s="5" t="s">
        <v>1295</v>
      </c>
      <c r="M740" s="3">
        <f t="shared" si="69"/>
        <v>1.2366666691377759E-2</v>
      </c>
      <c r="N740" s="3">
        <f t="shared" si="69"/>
        <v>5.9999999939464033E-3</v>
      </c>
      <c r="O740" s="3">
        <f t="shared" si="70"/>
        <v>9.6366666666710898E-2</v>
      </c>
      <c r="P740">
        <f t="shared" si="68"/>
        <v>1.5293444505563213E-4</v>
      </c>
      <c r="Q740">
        <f t="shared" si="68"/>
        <v>3.5999999927356836E-5</v>
      </c>
      <c r="R740">
        <f t="shared" si="68"/>
        <v>9.28653444445297E-3</v>
      </c>
      <c r="S740">
        <f t="shared" si="71"/>
        <v>1.8893444498298896E-4</v>
      </c>
      <c r="T740">
        <f t="shared" si="72"/>
        <v>1.3745342665171682E-2</v>
      </c>
    </row>
    <row r="741" spans="1:20" x14ac:dyDescent="0.3">
      <c r="A741" s="2" t="s">
        <v>1279</v>
      </c>
      <c r="B741" s="2" t="s">
        <v>1208</v>
      </c>
      <c r="C741" s="2" t="s">
        <v>1114</v>
      </c>
      <c r="D741" s="2" t="s">
        <v>52</v>
      </c>
      <c r="E741">
        <v>540492.9454666666</v>
      </c>
      <c r="F741">
        <v>172014.31656666668</v>
      </c>
      <c r="G741">
        <v>386.87933333333331</v>
      </c>
      <c r="J741" s="5" t="s">
        <v>1269</v>
      </c>
      <c r="K741" s="5" t="s">
        <v>1270</v>
      </c>
      <c r="L741" s="5" t="s">
        <v>1295</v>
      </c>
      <c r="M741" s="3">
        <f t="shared" si="69"/>
        <v>5.133333383128047E-3</v>
      </c>
      <c r="N741" s="3">
        <f t="shared" si="69"/>
        <v>7.6333333272486925E-3</v>
      </c>
      <c r="O741" s="3">
        <f t="shared" si="70"/>
        <v>6.0033333333308292E-2</v>
      </c>
      <c r="P741">
        <f t="shared" si="68"/>
        <v>2.635111162233684E-5</v>
      </c>
      <c r="Q741">
        <f t="shared" si="68"/>
        <v>5.8267777684885595E-5</v>
      </c>
      <c r="R741">
        <f t="shared" si="68"/>
        <v>3.6040011111081044E-3</v>
      </c>
      <c r="S741">
        <f t="shared" si="71"/>
        <v>8.4618889307222435E-5</v>
      </c>
      <c r="T741">
        <f t="shared" si="72"/>
        <v>9.1988526081910032E-3</v>
      </c>
    </row>
    <row r="742" spans="1:20" x14ac:dyDescent="0.3">
      <c r="A742" s="2" t="s">
        <v>1279</v>
      </c>
      <c r="B742" s="2" t="s">
        <v>1208</v>
      </c>
      <c r="C742" s="2" t="s">
        <v>1108</v>
      </c>
      <c r="D742" s="2" t="s">
        <v>30</v>
      </c>
      <c r="E742">
        <v>540492.9621</v>
      </c>
      <c r="F742">
        <v>172014.3279</v>
      </c>
      <c r="G742">
        <v>386.88133333333332</v>
      </c>
      <c r="J742" s="5" t="s">
        <v>1269</v>
      </c>
      <c r="K742" s="5" t="s">
        <v>1270</v>
      </c>
      <c r="L742" s="5" t="s">
        <v>1295</v>
      </c>
      <c r="M742" s="3">
        <f t="shared" si="69"/>
        <v>-1.1500000022351742E-2</v>
      </c>
      <c r="N742" s="3">
        <f t="shared" si="69"/>
        <v>-3.7000000011175871E-3</v>
      </c>
      <c r="O742" s="3">
        <f t="shared" si="70"/>
        <v>6.2033333333317842E-2</v>
      </c>
      <c r="P742">
        <f t="shared" si="68"/>
        <v>1.3225000051409006E-4</v>
      </c>
      <c r="Q742">
        <f t="shared" si="68"/>
        <v>1.3690000008270144E-5</v>
      </c>
      <c r="R742">
        <f t="shared" si="68"/>
        <v>3.8481344444425223E-3</v>
      </c>
      <c r="S742">
        <f t="shared" si="71"/>
        <v>1.4594000052236021E-4</v>
      </c>
      <c r="T742">
        <f t="shared" si="72"/>
        <v>1.2080562922412193E-2</v>
      </c>
    </row>
    <row r="743" spans="1:20" x14ac:dyDescent="0.3">
      <c r="A743" s="2" t="s">
        <v>1279</v>
      </c>
      <c r="B743" s="2" t="s">
        <v>1208</v>
      </c>
      <c r="C743" s="2" t="s">
        <v>1108</v>
      </c>
      <c r="D743" s="2" t="s">
        <v>1112</v>
      </c>
      <c r="E743">
        <v>540492.97919999994</v>
      </c>
      <c r="F743">
        <v>172014.32610000001</v>
      </c>
      <c r="G743">
        <v>386.86933333333337</v>
      </c>
      <c r="J743" s="5" t="s">
        <v>1269</v>
      </c>
      <c r="K743" s="5" t="s">
        <v>1270</v>
      </c>
      <c r="L743" s="5" t="s">
        <v>1295</v>
      </c>
      <c r="M743" s="3">
        <f t="shared" si="69"/>
        <v>-2.8599999961443245E-2</v>
      </c>
      <c r="N743" s="3">
        <f t="shared" si="69"/>
        <v>-1.9000000029336661E-3</v>
      </c>
      <c r="O743" s="3">
        <f t="shared" si="70"/>
        <v>5.003333333337423E-2</v>
      </c>
      <c r="P743">
        <f t="shared" si="68"/>
        <v>8.1795999779455363E-4</v>
      </c>
      <c r="Q743">
        <f t="shared" si="68"/>
        <v>3.6100000111479312E-6</v>
      </c>
      <c r="R743">
        <f t="shared" si="68"/>
        <v>2.5033344444485369E-3</v>
      </c>
      <c r="S743">
        <f t="shared" si="71"/>
        <v>8.2156999780570153E-4</v>
      </c>
      <c r="T743">
        <f t="shared" si="72"/>
        <v>2.8663042368278033E-2</v>
      </c>
    </row>
    <row r="744" spans="1:20" x14ac:dyDescent="0.3">
      <c r="A744" s="2" t="s">
        <v>1279</v>
      </c>
      <c r="B744" s="2" t="s">
        <v>1208</v>
      </c>
      <c r="C744" s="2" t="s">
        <v>1108</v>
      </c>
      <c r="D744" s="2" t="s">
        <v>37</v>
      </c>
      <c r="E744">
        <v>540492.94763333339</v>
      </c>
      <c r="F744">
        <v>172014.32573333333</v>
      </c>
      <c r="G744">
        <v>386.90366666666665</v>
      </c>
      <c r="J744" s="5" t="s">
        <v>1269</v>
      </c>
      <c r="K744" s="5" t="s">
        <v>1270</v>
      </c>
      <c r="L744" s="5" t="s">
        <v>1295</v>
      </c>
      <c r="M744" s="3">
        <f t="shared" si="69"/>
        <v>2.9666665941476822E-3</v>
      </c>
      <c r="N744" s="3">
        <f t="shared" si="69"/>
        <v>-1.5333333285525441E-3</v>
      </c>
      <c r="O744" s="3">
        <f t="shared" si="70"/>
        <v>8.43666666666536E-2</v>
      </c>
      <c r="P744">
        <f t="shared" si="68"/>
        <v>8.8011106808318085E-6</v>
      </c>
      <c r="Q744">
        <f t="shared" si="68"/>
        <v>2.3511110964500242E-6</v>
      </c>
      <c r="R744">
        <f t="shared" si="68"/>
        <v>7.1177344444422396E-3</v>
      </c>
      <c r="S744">
        <f t="shared" si="71"/>
        <v>1.1152221777281833E-5</v>
      </c>
      <c r="T744">
        <f t="shared" si="72"/>
        <v>3.3394942397437719E-3</v>
      </c>
    </row>
    <row r="745" spans="1:20" x14ac:dyDescent="0.3">
      <c r="A745" s="2" t="s">
        <v>1279</v>
      </c>
      <c r="B745" s="2" t="s">
        <v>1208</v>
      </c>
      <c r="C745" s="2" t="s">
        <v>1108</v>
      </c>
      <c r="D745" s="2" t="s">
        <v>46</v>
      </c>
      <c r="E745">
        <v>540492.94936666673</v>
      </c>
      <c r="F745">
        <v>172014.32916666663</v>
      </c>
      <c r="G745">
        <v>386.87033333333329</v>
      </c>
      <c r="J745" s="5" t="s">
        <v>1269</v>
      </c>
      <c r="K745" s="5" t="s">
        <v>1270</v>
      </c>
      <c r="L745" s="5" t="s">
        <v>1295</v>
      </c>
      <c r="M745" s="3">
        <f t="shared" si="69"/>
        <v>1.2333332560956478E-3</v>
      </c>
      <c r="N745" s="3">
        <f t="shared" si="69"/>
        <v>-4.9666666309349239E-3</v>
      </c>
      <c r="O745" s="3">
        <f t="shared" si="70"/>
        <v>5.103333333329374E-2</v>
      </c>
      <c r="P745">
        <f t="shared" si="68"/>
        <v>1.5211109205914928E-6</v>
      </c>
      <c r="Q745">
        <f t="shared" si="68"/>
        <v>2.4667777422842467E-5</v>
      </c>
      <c r="R745">
        <f t="shared" si="68"/>
        <v>2.6044011111070698E-3</v>
      </c>
      <c r="S745">
        <f t="shared" si="71"/>
        <v>2.618888834343396E-5</v>
      </c>
      <c r="T745">
        <f t="shared" si="72"/>
        <v>5.1175080208470565E-3</v>
      </c>
    </row>
    <row r="746" spans="1:20" x14ac:dyDescent="0.3">
      <c r="A746" s="2" t="s">
        <v>1279</v>
      </c>
      <c r="B746" s="2" t="s">
        <v>1209</v>
      </c>
      <c r="C746" s="2" t="s">
        <v>1120</v>
      </c>
      <c r="D746" s="2" t="s">
        <v>1019</v>
      </c>
      <c r="E746" s="8">
        <v>548373.61029999994</v>
      </c>
      <c r="F746" s="8">
        <v>151948.19846666665</v>
      </c>
      <c r="G746" s="8">
        <v>507.92400000000004</v>
      </c>
      <c r="J746" s="5" t="s">
        <v>1271</v>
      </c>
      <c r="K746" s="5" t="s">
        <v>1272</v>
      </c>
      <c r="L746" s="5" t="s">
        <v>1296</v>
      </c>
      <c r="M746" s="3">
        <f t="shared" si="69"/>
        <v>5.6000000331550837E-3</v>
      </c>
      <c r="N746" s="3">
        <f t="shared" si="69"/>
        <v>-8.2666666421573609E-3</v>
      </c>
      <c r="O746" s="3">
        <f t="shared" si="70"/>
        <v>5.0000000000011369E-2</v>
      </c>
      <c r="P746">
        <f t="shared" si="68"/>
        <v>3.1360000371336938E-5</v>
      </c>
      <c r="Q746">
        <f t="shared" si="68"/>
        <v>6.8337777372557256E-5</v>
      </c>
      <c r="R746">
        <f t="shared" si="68"/>
        <v>2.5000000000011367E-3</v>
      </c>
      <c r="S746">
        <f t="shared" si="71"/>
        <v>9.9697777743894194E-5</v>
      </c>
      <c r="T746">
        <f t="shared" si="72"/>
        <v>9.9848774526227514E-3</v>
      </c>
    </row>
    <row r="747" spans="1:20" x14ac:dyDescent="0.3">
      <c r="A747" s="2" t="s">
        <v>1279</v>
      </c>
      <c r="B747" s="2" t="s">
        <v>1209</v>
      </c>
      <c r="C747" s="2" t="s">
        <v>1120</v>
      </c>
      <c r="D747" s="2" t="s">
        <v>423</v>
      </c>
      <c r="E747" s="8">
        <v>548373.60770000005</v>
      </c>
      <c r="F747" s="8">
        <v>151948.19636666667</v>
      </c>
      <c r="G747" s="8">
        <v>507.95866666666666</v>
      </c>
      <c r="J747" s="5" t="s">
        <v>1271</v>
      </c>
      <c r="K747" s="5" t="s">
        <v>1272</v>
      </c>
      <c r="L747" s="5" t="s">
        <v>1296</v>
      </c>
      <c r="M747" s="3">
        <f t="shared" si="69"/>
        <v>8.1999999238178134E-3</v>
      </c>
      <c r="N747" s="3">
        <f t="shared" si="69"/>
        <v>-6.166666658828035E-3</v>
      </c>
      <c r="O747" s="3">
        <f t="shared" si="70"/>
        <v>8.4666666666635138E-2</v>
      </c>
      <c r="P747">
        <f t="shared" si="68"/>
        <v>6.7239998750612146E-5</v>
      </c>
      <c r="Q747">
        <f t="shared" si="68"/>
        <v>3.802777768110132E-5</v>
      </c>
      <c r="R747">
        <f t="shared" si="68"/>
        <v>7.1684444444391057E-3</v>
      </c>
      <c r="S747">
        <f t="shared" si="71"/>
        <v>1.0526777643171347E-4</v>
      </c>
      <c r="T747">
        <f t="shared" si="72"/>
        <v>1.0260008598033117E-2</v>
      </c>
    </row>
    <row r="748" spans="1:20" x14ac:dyDescent="0.3">
      <c r="A748" s="2" t="s">
        <v>1279</v>
      </c>
      <c r="B748" s="2" t="s">
        <v>1210</v>
      </c>
      <c r="C748" s="2" t="s">
        <v>1108</v>
      </c>
      <c r="D748" s="2" t="s">
        <v>30</v>
      </c>
      <c r="E748" s="8">
        <v>548373.63029999996</v>
      </c>
      <c r="F748" s="8">
        <v>151948.1989333333</v>
      </c>
      <c r="G748" s="8">
        <v>507.88499999999999</v>
      </c>
      <c r="J748" s="5" t="s">
        <v>1273</v>
      </c>
      <c r="K748" s="5" t="s">
        <v>1274</v>
      </c>
      <c r="L748" s="5" t="s">
        <v>1296</v>
      </c>
      <c r="M748" s="3">
        <f t="shared" si="69"/>
        <v>-1.4399999985471368E-2</v>
      </c>
      <c r="N748" s="3">
        <f t="shared" si="69"/>
        <v>-8.7333332921843976E-3</v>
      </c>
      <c r="O748" s="3">
        <f t="shared" si="70"/>
        <v>1.0999999999967258E-2</v>
      </c>
      <c r="P748">
        <f t="shared" si="68"/>
        <v>2.0735999958157539E-4</v>
      </c>
      <c r="Q748">
        <f t="shared" si="68"/>
        <v>7.6271110392376367E-5</v>
      </c>
      <c r="R748">
        <f t="shared" si="68"/>
        <v>1.2099999999927968E-4</v>
      </c>
      <c r="S748">
        <f t="shared" si="71"/>
        <v>2.8363110997395177E-4</v>
      </c>
      <c r="T748">
        <f t="shared" si="72"/>
        <v>1.6841351192049638E-2</v>
      </c>
    </row>
    <row r="749" spans="1:20" x14ac:dyDescent="0.3">
      <c r="A749" s="2" t="s">
        <v>1279</v>
      </c>
      <c r="B749" s="2" t="s">
        <v>1210</v>
      </c>
      <c r="C749" s="2" t="s">
        <v>1108</v>
      </c>
      <c r="D749" s="2" t="s">
        <v>1112</v>
      </c>
      <c r="E749" s="8">
        <v>548373.62706666661</v>
      </c>
      <c r="F749" s="8">
        <v>151948.17663333332</v>
      </c>
      <c r="G749" s="8">
        <v>507.83933333333334</v>
      </c>
      <c r="J749" s="5" t="s">
        <v>1273</v>
      </c>
      <c r="K749" s="5" t="s">
        <v>1274</v>
      </c>
      <c r="L749" s="5" t="s">
        <v>1296</v>
      </c>
      <c r="M749" s="3">
        <f t="shared" si="69"/>
        <v>-1.1166666634380817E-2</v>
      </c>
      <c r="N749" s="3">
        <f t="shared" si="69"/>
        <v>1.356666669016704E-2</v>
      </c>
      <c r="O749" s="3">
        <f t="shared" si="70"/>
        <v>3.4666666666680612E-2</v>
      </c>
      <c r="P749">
        <f t="shared" si="68"/>
        <v>1.2469444372339381E-4</v>
      </c>
      <c r="Q749">
        <f t="shared" si="68"/>
        <v>1.8405444508208789E-4</v>
      </c>
      <c r="R749">
        <f t="shared" si="68"/>
        <v>1.2017777777787446E-3</v>
      </c>
      <c r="S749">
        <f t="shared" si="71"/>
        <v>3.0874888880548171E-4</v>
      </c>
      <c r="T749">
        <f t="shared" si="72"/>
        <v>1.7571251771159667E-2</v>
      </c>
    </row>
    <row r="750" spans="1:20" x14ac:dyDescent="0.3">
      <c r="A750" s="2" t="s">
        <v>1279</v>
      </c>
      <c r="B750" s="2" t="s">
        <v>1210</v>
      </c>
      <c r="C750" s="2" t="s">
        <v>1108</v>
      </c>
      <c r="D750" s="2" t="s">
        <v>37</v>
      </c>
      <c r="E750" s="8">
        <v>548373.61316666671</v>
      </c>
      <c r="F750" s="8">
        <v>151948.19073333335</v>
      </c>
      <c r="G750" s="8">
        <v>507.88133333333332</v>
      </c>
      <c r="J750" s="5" t="s">
        <v>1273</v>
      </c>
      <c r="K750" s="5" t="s">
        <v>1274</v>
      </c>
      <c r="L750" s="5" t="s">
        <v>1296</v>
      </c>
      <c r="M750" s="3">
        <f t="shared" si="69"/>
        <v>2.7333332691341639E-3</v>
      </c>
      <c r="N750" s="3">
        <f t="shared" si="69"/>
        <v>-5.3333333926275373E-4</v>
      </c>
      <c r="O750" s="3">
        <f t="shared" si="70"/>
        <v>7.3333333332925577E-3</v>
      </c>
      <c r="P750">
        <f t="shared" si="68"/>
        <v>7.4711107601556554E-6</v>
      </c>
      <c r="Q750">
        <f t="shared" si="68"/>
        <v>2.8444445076915956E-7</v>
      </c>
      <c r="R750">
        <f t="shared" si="68"/>
        <v>5.3777777777179735E-5</v>
      </c>
      <c r="S750">
        <f t="shared" si="71"/>
        <v>7.755555210924815E-6</v>
      </c>
      <c r="T750">
        <f t="shared" si="72"/>
        <v>2.7848797480187208E-3</v>
      </c>
    </row>
    <row r="751" spans="1:20" x14ac:dyDescent="0.3">
      <c r="A751" s="2" t="s">
        <v>1279</v>
      </c>
      <c r="B751" s="2" t="s">
        <v>1210</v>
      </c>
      <c r="C751" s="2" t="s">
        <v>1108</v>
      </c>
      <c r="D751" s="2" t="s">
        <v>46</v>
      </c>
      <c r="E751" s="8">
        <v>548373.60943333339</v>
      </c>
      <c r="F751" s="8">
        <v>151948.18830000001</v>
      </c>
      <c r="G751" s="8">
        <v>507.89266666666668</v>
      </c>
      <c r="J751" s="5" t="s">
        <v>1273</v>
      </c>
      <c r="K751" s="5" t="s">
        <v>1274</v>
      </c>
      <c r="L751" s="5" t="s">
        <v>1296</v>
      </c>
      <c r="M751" s="3">
        <f t="shared" si="69"/>
        <v>6.466666585765779E-3</v>
      </c>
      <c r="N751" s="3">
        <f t="shared" si="69"/>
        <v>1.9000000029336661E-3</v>
      </c>
      <c r="O751" s="3">
        <f t="shared" si="70"/>
        <v>1.8666666666661058E-2</v>
      </c>
      <c r="P751">
        <f t="shared" si="68"/>
        <v>4.1817776731459637E-5</v>
      </c>
      <c r="Q751">
        <f t="shared" si="68"/>
        <v>3.6100000111479312E-6</v>
      </c>
      <c r="R751">
        <f t="shared" si="68"/>
        <v>3.4844444444423505E-4</v>
      </c>
      <c r="S751">
        <f t="shared" si="71"/>
        <v>4.5427776742607568E-5</v>
      </c>
      <c r="T751">
        <f t="shared" si="72"/>
        <v>6.7400131114566508E-3</v>
      </c>
    </row>
    <row r="752" spans="1:20" x14ac:dyDescent="0.3">
      <c r="A752" s="2" t="s">
        <v>1279</v>
      </c>
      <c r="B752" s="2" t="s">
        <v>1210</v>
      </c>
      <c r="C752" s="2" t="s">
        <v>1114</v>
      </c>
      <c r="D752" s="2" t="s">
        <v>30</v>
      </c>
      <c r="E752" s="8">
        <v>548373.63016666658</v>
      </c>
      <c r="F752" s="8">
        <v>151948.1854333333</v>
      </c>
      <c r="G752" s="8">
        <v>507.88366666666661</v>
      </c>
      <c r="J752" s="5" t="s">
        <v>1273</v>
      </c>
      <c r="K752" s="5" t="s">
        <v>1274</v>
      </c>
      <c r="L752" s="5" t="s">
        <v>1296</v>
      </c>
      <c r="M752" s="3">
        <f t="shared" si="69"/>
        <v>-1.4266666606999934E-2</v>
      </c>
      <c r="N752" s="3">
        <f t="shared" si="69"/>
        <v>4.766666708746925E-3</v>
      </c>
      <c r="O752" s="3">
        <f t="shared" si="70"/>
        <v>9.6666666665896628E-3</v>
      </c>
      <c r="P752">
        <f t="shared" si="68"/>
        <v>2.0353777607528699E-4</v>
      </c>
      <c r="Q752">
        <f t="shared" si="68"/>
        <v>2.2721111512276241E-5</v>
      </c>
      <c r="R752">
        <f t="shared" si="68"/>
        <v>9.34444444429557E-5</v>
      </c>
      <c r="S752">
        <f t="shared" si="71"/>
        <v>2.2625888758756322E-4</v>
      </c>
      <c r="T752">
        <f t="shared" si="72"/>
        <v>1.504190438699712E-2</v>
      </c>
    </row>
    <row r="753" spans="1:20" x14ac:dyDescent="0.3">
      <c r="A753" s="2" t="s">
        <v>1279</v>
      </c>
      <c r="B753" s="2" t="s">
        <v>1210</v>
      </c>
      <c r="C753" s="2" t="s">
        <v>1114</v>
      </c>
      <c r="D753" s="2" t="s">
        <v>52</v>
      </c>
      <c r="E753" s="8">
        <v>548373.6253999999</v>
      </c>
      <c r="F753" s="8">
        <v>151948.1801</v>
      </c>
      <c r="G753" s="8">
        <v>507.8966666666667</v>
      </c>
      <c r="J753" s="5" t="s">
        <v>1273</v>
      </c>
      <c r="K753" s="5" t="s">
        <v>1274</v>
      </c>
      <c r="L753" s="5" t="s">
        <v>1296</v>
      </c>
      <c r="M753" s="3">
        <f t="shared" si="69"/>
        <v>-9.4999999273568392E-3</v>
      </c>
      <c r="N753" s="3">
        <f t="shared" si="69"/>
        <v>1.0100000014062971E-2</v>
      </c>
      <c r="O753" s="3">
        <f t="shared" si="70"/>
        <v>2.2666666666680158E-2</v>
      </c>
      <c r="P753">
        <f t="shared" si="68"/>
        <v>9.024999861977995E-5</v>
      </c>
      <c r="Q753">
        <f t="shared" si="68"/>
        <v>1.0201000028407201E-4</v>
      </c>
      <c r="R753">
        <f t="shared" si="68"/>
        <v>5.1377777777838931E-4</v>
      </c>
      <c r="S753">
        <f t="shared" si="71"/>
        <v>1.9225999890385196E-4</v>
      </c>
      <c r="T753">
        <f t="shared" si="72"/>
        <v>1.3865785188868749E-2</v>
      </c>
    </row>
    <row r="754" spans="1:20" x14ac:dyDescent="0.3">
      <c r="A754" s="2" t="s">
        <v>1279</v>
      </c>
      <c r="B754" s="2" t="s">
        <v>1211</v>
      </c>
      <c r="C754" s="2" t="s">
        <v>1114</v>
      </c>
      <c r="D754" s="2" t="s">
        <v>63</v>
      </c>
      <c r="E754" s="8">
        <v>537781.55260000005</v>
      </c>
      <c r="F754" s="8">
        <v>116367.34823333334</v>
      </c>
      <c r="G754" s="8">
        <v>252.67966666666666</v>
      </c>
      <c r="J754" s="5" t="s">
        <v>1275</v>
      </c>
      <c r="K754" s="5" t="s">
        <v>1276</v>
      </c>
      <c r="L754" s="5" t="s">
        <v>1297</v>
      </c>
      <c r="M754" s="3">
        <f t="shared" si="69"/>
        <v>2.3300000000745058E-2</v>
      </c>
      <c r="N754" s="3">
        <f t="shared" si="69"/>
        <v>8.1666666665114462E-3</v>
      </c>
      <c r="O754" s="3">
        <f t="shared" si="70"/>
        <v>9.8366666666663605E-2</v>
      </c>
      <c r="P754">
        <f t="shared" si="68"/>
        <v>5.4289000003471971E-4</v>
      </c>
      <c r="Q754">
        <f t="shared" si="68"/>
        <v>6.6694444441909174E-5</v>
      </c>
      <c r="R754">
        <f t="shared" si="68"/>
        <v>9.676001111110508E-3</v>
      </c>
      <c r="S754">
        <f t="shared" si="71"/>
        <v>6.0958444447662893E-4</v>
      </c>
      <c r="T754">
        <f t="shared" si="72"/>
        <v>2.4689763961541409E-2</v>
      </c>
    </row>
    <row r="755" spans="1:20" x14ac:dyDescent="0.3">
      <c r="A755" s="2" t="s">
        <v>1279</v>
      </c>
      <c r="B755" s="2" t="s">
        <v>1211</v>
      </c>
      <c r="C755" s="2" t="s">
        <v>1114</v>
      </c>
      <c r="D755" s="2" t="s">
        <v>30</v>
      </c>
      <c r="E755">
        <v>537781.57936666661</v>
      </c>
      <c r="F755">
        <v>116367.36683333333</v>
      </c>
      <c r="G755">
        <v>252.60799999999998</v>
      </c>
      <c r="J755" s="5" t="s">
        <v>1275</v>
      </c>
      <c r="K755" s="5" t="s">
        <v>1276</v>
      </c>
      <c r="L755" s="5" t="s">
        <v>1297</v>
      </c>
      <c r="M755" s="3">
        <f t="shared" si="69"/>
        <v>-3.4666665596887469E-3</v>
      </c>
      <c r="N755" s="3">
        <f t="shared" si="69"/>
        <v>-1.0433333329274319E-2</v>
      </c>
      <c r="O755" s="3">
        <f t="shared" si="70"/>
        <v>2.6699999999976853E-2</v>
      </c>
      <c r="P755">
        <f t="shared" si="68"/>
        <v>1.2017777036064212E-5</v>
      </c>
      <c r="Q755">
        <f t="shared" si="68"/>
        <v>1.0885444435974634E-4</v>
      </c>
      <c r="R755">
        <f t="shared" si="68"/>
        <v>7.12889999998764E-4</v>
      </c>
      <c r="S755">
        <f t="shared" si="71"/>
        <v>1.2087222139581056E-4</v>
      </c>
      <c r="T755">
        <f t="shared" si="72"/>
        <v>1.0994190347443079E-2</v>
      </c>
    </row>
    <row r="756" spans="1:20" x14ac:dyDescent="0.3">
      <c r="A756" s="2" t="s">
        <v>1279</v>
      </c>
      <c r="B756" s="2" t="s">
        <v>1212</v>
      </c>
      <c r="C756" s="2" t="s">
        <v>1114</v>
      </c>
      <c r="D756" s="2" t="s">
        <v>52</v>
      </c>
      <c r="E756">
        <v>537781.58429999999</v>
      </c>
      <c r="F756">
        <v>116367.36829999999</v>
      </c>
      <c r="G756">
        <v>252.60433333333336</v>
      </c>
      <c r="J756" s="5" t="s">
        <v>1277</v>
      </c>
      <c r="K756" s="5" t="s">
        <v>1278</v>
      </c>
      <c r="L756" s="5" t="s">
        <v>1297</v>
      </c>
      <c r="M756" s="3">
        <f t="shared" si="69"/>
        <v>-8.3999999333173037E-3</v>
      </c>
      <c r="N756" s="3">
        <f t="shared" si="69"/>
        <v>-1.1899999983143061E-2</v>
      </c>
      <c r="O756" s="3">
        <f t="shared" si="70"/>
        <v>2.3033333333358996E-2</v>
      </c>
      <c r="P756">
        <f t="shared" si="68"/>
        <v>7.0559998879730706E-5</v>
      </c>
      <c r="Q756">
        <f t="shared" si="68"/>
        <v>1.4160999959880486E-4</v>
      </c>
      <c r="R756">
        <f t="shared" si="68"/>
        <v>5.3053444444562661E-4</v>
      </c>
      <c r="S756">
        <f t="shared" si="71"/>
        <v>2.1216999847853556E-4</v>
      </c>
      <c r="T756">
        <f t="shared" si="72"/>
        <v>1.4566056380453E-2</v>
      </c>
    </row>
    <row r="757" spans="1:20" x14ac:dyDescent="0.3">
      <c r="A757" s="2" t="s">
        <v>1279</v>
      </c>
      <c r="B757" s="2" t="s">
        <v>1212</v>
      </c>
      <c r="C757" s="2" t="s">
        <v>1120</v>
      </c>
      <c r="D757" s="2" t="s">
        <v>423</v>
      </c>
      <c r="E757">
        <v>537781.57350000006</v>
      </c>
      <c r="F757">
        <v>116367.37913333334</v>
      </c>
      <c r="G757">
        <v>252.673</v>
      </c>
      <c r="J757" s="5" t="s">
        <v>1277</v>
      </c>
      <c r="K757" s="5" t="s">
        <v>1278</v>
      </c>
      <c r="L757" s="5" t="s">
        <v>1297</v>
      </c>
      <c r="M757" s="3">
        <f t="shared" si="69"/>
        <v>2.3999999975785613E-3</v>
      </c>
      <c r="N757" s="3">
        <f t="shared" si="69"/>
        <v>-2.2733333331416361E-2</v>
      </c>
      <c r="O757" s="3">
        <f t="shared" si="70"/>
        <v>9.1700000000003001E-2</v>
      </c>
      <c r="P757">
        <f t="shared" si="68"/>
        <v>5.7599999883770943E-6</v>
      </c>
      <c r="Q757">
        <f t="shared" si="68"/>
        <v>5.1680444435728615E-4</v>
      </c>
      <c r="R757">
        <f t="shared" si="68"/>
        <v>8.4088900000005504E-3</v>
      </c>
      <c r="S757">
        <f t="shared" si="71"/>
        <v>5.2256444434566323E-4</v>
      </c>
      <c r="T757">
        <f t="shared" si="72"/>
        <v>2.2859668509093985E-2</v>
      </c>
    </row>
    <row r="758" spans="1:20" x14ac:dyDescent="0.3">
      <c r="A758" s="2" t="s">
        <v>1279</v>
      </c>
      <c r="B758" s="2" t="s">
        <v>1212</v>
      </c>
      <c r="C758" s="2" t="s">
        <v>1108</v>
      </c>
      <c r="D758" s="2" t="s">
        <v>30</v>
      </c>
      <c r="E758">
        <v>537781.56809999992</v>
      </c>
      <c r="F758">
        <v>116367.3729</v>
      </c>
      <c r="G758">
        <v>252.64699999999996</v>
      </c>
      <c r="J758" s="5" t="s">
        <v>1277</v>
      </c>
      <c r="K758" s="5" t="s">
        <v>1278</v>
      </c>
      <c r="L758" s="5" t="s">
        <v>1297</v>
      </c>
      <c r="M758" s="3">
        <f t="shared" si="69"/>
        <v>7.8000001376494765E-3</v>
      </c>
      <c r="N758" s="3">
        <f t="shared" si="69"/>
        <v>-1.6499999997904524E-2</v>
      </c>
      <c r="O758" s="3">
        <f t="shared" si="70"/>
        <v>6.569999999996412E-2</v>
      </c>
      <c r="P758">
        <f t="shared" si="68"/>
        <v>6.0840002147331853E-5</v>
      </c>
      <c r="Q758">
        <f t="shared" si="68"/>
        <v>2.7224999993084929E-4</v>
      </c>
      <c r="R758">
        <f t="shared" si="68"/>
        <v>4.3164899999952851E-3</v>
      </c>
      <c r="S758">
        <f t="shared" si="71"/>
        <v>3.3309000207818113E-4</v>
      </c>
      <c r="T758">
        <f t="shared" si="72"/>
        <v>1.8250753466040274E-2</v>
      </c>
    </row>
    <row r="759" spans="1:20" x14ac:dyDescent="0.3">
      <c r="A759" s="2" t="s">
        <v>1279</v>
      </c>
      <c r="B759" s="2" t="s">
        <v>1212</v>
      </c>
      <c r="C759" s="2" t="s">
        <v>1108</v>
      </c>
      <c r="D759" s="2" t="s">
        <v>1112</v>
      </c>
      <c r="E759">
        <v>537781.56863333331</v>
      </c>
      <c r="F759">
        <v>116367.37270000001</v>
      </c>
      <c r="G759">
        <v>252.63466666666667</v>
      </c>
      <c r="J759" s="5" t="s">
        <v>1277</v>
      </c>
      <c r="K759" s="5" t="s">
        <v>1278</v>
      </c>
      <c r="L759" s="5" t="s">
        <v>1297</v>
      </c>
      <c r="M759" s="3">
        <f t="shared" si="69"/>
        <v>7.2666667401790619E-3</v>
      </c>
      <c r="N759" s="3">
        <f t="shared" si="69"/>
        <v>-1.6300000002956949E-2</v>
      </c>
      <c r="O759" s="3">
        <f t="shared" si="70"/>
        <v>5.336666666667611E-2</v>
      </c>
      <c r="P759">
        <f t="shared" si="68"/>
        <v>5.2804445512824594E-5</v>
      </c>
      <c r="Q759">
        <f t="shared" si="68"/>
        <v>2.6569000009639654E-4</v>
      </c>
      <c r="R759">
        <f t="shared" si="68"/>
        <v>2.8480011111121192E-3</v>
      </c>
      <c r="S759">
        <f t="shared" si="71"/>
        <v>3.1849444560922113E-4</v>
      </c>
      <c r="T759">
        <f t="shared" si="72"/>
        <v>1.7846412681803061E-2</v>
      </c>
    </row>
    <row r="760" spans="1:20" x14ac:dyDescent="0.3">
      <c r="A760" s="2" t="s">
        <v>1279</v>
      </c>
      <c r="B760" s="2" t="s">
        <v>1212</v>
      </c>
      <c r="C760" s="2" t="s">
        <v>1108</v>
      </c>
      <c r="D760" s="2" t="s">
        <v>37</v>
      </c>
      <c r="E760">
        <v>537781.5695333333</v>
      </c>
      <c r="F760">
        <v>116367.34836666666</v>
      </c>
      <c r="G760">
        <v>252.70066666666665</v>
      </c>
      <c r="J760" s="5" t="s">
        <v>1277</v>
      </c>
      <c r="K760" s="5" t="s">
        <v>1278</v>
      </c>
      <c r="L760" s="5" t="s">
        <v>1297</v>
      </c>
      <c r="M760" s="3">
        <f t="shared" si="69"/>
        <v>6.3666667556390166E-3</v>
      </c>
      <c r="N760" s="3">
        <f t="shared" si="69"/>
        <v>8.033333346247673E-3</v>
      </c>
      <c r="O760" s="3">
        <f t="shared" si="70"/>
        <v>0.11936666666665019</v>
      </c>
      <c r="P760">
        <f t="shared" si="68"/>
        <v>4.0534445577359042E-5</v>
      </c>
      <c r="Q760">
        <f t="shared" si="68"/>
        <v>6.4534444651934836E-5</v>
      </c>
      <c r="R760">
        <f t="shared" si="68"/>
        <v>1.4248401111107178E-2</v>
      </c>
      <c r="S760">
        <f t="shared" si="71"/>
        <v>1.0506889022929388E-4</v>
      </c>
      <c r="T760">
        <f t="shared" si="72"/>
        <v>1.0250311713762362E-2</v>
      </c>
    </row>
    <row r="761" spans="1:20" x14ac:dyDescent="0.3">
      <c r="A761" s="2" t="s">
        <v>1279</v>
      </c>
      <c r="B761" s="2" t="s">
        <v>1212</v>
      </c>
      <c r="C761" s="2" t="s">
        <v>1108</v>
      </c>
      <c r="D761" s="2" t="s">
        <v>46</v>
      </c>
      <c r="E761">
        <v>537781.56066666672</v>
      </c>
      <c r="F761">
        <v>116367.35066666665</v>
      </c>
      <c r="G761">
        <v>252.63400000000001</v>
      </c>
      <c r="J761" s="5" t="s">
        <v>1277</v>
      </c>
      <c r="K761" s="5" t="s">
        <v>1278</v>
      </c>
      <c r="L761" s="5" t="s">
        <v>1297</v>
      </c>
      <c r="M761" s="3">
        <f t="shared" si="69"/>
        <v>1.5233333338983357E-2</v>
      </c>
      <c r="N761" s="3">
        <f t="shared" si="69"/>
        <v>5.7333333534188569E-3</v>
      </c>
      <c r="O761" s="3">
        <f t="shared" si="70"/>
        <v>5.2700000000015734E-2</v>
      </c>
      <c r="P761">
        <f t="shared" si="68"/>
        <v>2.3205444461658182E-4</v>
      </c>
      <c r="Q761">
        <f t="shared" si="68"/>
        <v>3.2871111341425111E-5</v>
      </c>
      <c r="R761">
        <f t="shared" si="68"/>
        <v>2.7772900000016584E-3</v>
      </c>
      <c r="S761">
        <f t="shared" si="71"/>
        <v>2.649255559580069E-4</v>
      </c>
      <c r="T761">
        <f t="shared" si="72"/>
        <v>1.6276533904919895E-2</v>
      </c>
    </row>
    <row r="762" spans="1:20" x14ac:dyDescent="0.3">
      <c r="A762" s="2" t="s">
        <v>1305</v>
      </c>
      <c r="B762" s="4" t="s">
        <v>1306</v>
      </c>
      <c r="C762" s="2" t="s">
        <v>20</v>
      </c>
      <c r="D762" s="2" t="s">
        <v>30</v>
      </c>
      <c r="E762" s="8">
        <v>430715.89180000004</v>
      </c>
      <c r="F762" s="8">
        <v>144939.58543333333</v>
      </c>
      <c r="G762" s="8">
        <v>112.00333333333333</v>
      </c>
      <c r="H762" s="8"/>
      <c r="I762" s="8"/>
      <c r="J762" s="5" t="s">
        <v>1395</v>
      </c>
      <c r="K762" s="5" t="s">
        <v>1396</v>
      </c>
      <c r="L762" s="5" t="s">
        <v>1397</v>
      </c>
      <c r="M762" s="3">
        <f t="shared" ref="M762:N784" si="73">J762-E762</f>
        <v>-1.0500000033061951E-2</v>
      </c>
      <c r="N762" s="3">
        <f t="shared" si="73"/>
        <v>-1.3633333321195096E-2</v>
      </c>
      <c r="O762" s="3">
        <f t="shared" si="70"/>
        <v>3.7333333333293695E-3</v>
      </c>
      <c r="P762">
        <f t="shared" ref="P762:R784" si="74">POWER(M762,2)</f>
        <v>1.1025000069430098E-4</v>
      </c>
      <c r="Q762">
        <f t="shared" si="74"/>
        <v>1.858677774468085E-4</v>
      </c>
      <c r="R762">
        <f t="shared" si="74"/>
        <v>1.3937777777748181E-5</v>
      </c>
      <c r="S762">
        <f t="shared" si="71"/>
        <v>2.9611777814110947E-4</v>
      </c>
      <c r="T762">
        <f t="shared" si="72"/>
        <v>1.7208073051364858E-2</v>
      </c>
    </row>
    <row r="763" spans="1:20" x14ac:dyDescent="0.3">
      <c r="A763" s="2" t="s">
        <v>1305</v>
      </c>
      <c r="B763" s="4" t="s">
        <v>1306</v>
      </c>
      <c r="C763" s="2" t="s">
        <v>20</v>
      </c>
      <c r="D763" s="2" t="s">
        <v>21</v>
      </c>
      <c r="E763" s="8">
        <v>430715.90056666668</v>
      </c>
      <c r="F763" s="8">
        <v>144939.5827</v>
      </c>
      <c r="G763" s="8">
        <v>111.99566666666665</v>
      </c>
      <c r="H763" s="8"/>
      <c r="I763" s="8"/>
      <c r="J763" s="5" t="s">
        <v>1395</v>
      </c>
      <c r="K763" s="5" t="s">
        <v>1396</v>
      </c>
      <c r="L763" s="5" t="s">
        <v>1397</v>
      </c>
      <c r="M763" s="3">
        <f t="shared" si="73"/>
        <v>-1.9266666669864208E-2</v>
      </c>
      <c r="N763" s="3">
        <f t="shared" si="73"/>
        <v>-1.0899999993853271E-2</v>
      </c>
      <c r="O763" s="3">
        <f t="shared" si="70"/>
        <v>3.9333333333502196E-3</v>
      </c>
      <c r="P763">
        <f t="shared" si="74"/>
        <v>3.7120444456765638E-4</v>
      </c>
      <c r="Q763">
        <f t="shared" si="74"/>
        <v>1.1880999986600131E-4</v>
      </c>
      <c r="R763">
        <f t="shared" si="74"/>
        <v>1.5471111111243949E-5</v>
      </c>
      <c r="S763">
        <f t="shared" si="71"/>
        <v>4.9001444443365772E-4</v>
      </c>
      <c r="T763">
        <f t="shared" si="72"/>
        <v>2.2136269885273303E-2</v>
      </c>
    </row>
    <row r="764" spans="1:20" x14ac:dyDescent="0.3">
      <c r="A764" s="2" t="s">
        <v>1305</v>
      </c>
      <c r="B764" s="4" t="s">
        <v>1307</v>
      </c>
      <c r="C764" s="2" t="s">
        <v>20</v>
      </c>
      <c r="D764" s="2" t="s">
        <v>110</v>
      </c>
      <c r="E764" s="8">
        <v>430715.87996666669</v>
      </c>
      <c r="F764" s="8">
        <v>144939.56566666666</v>
      </c>
      <c r="G764" s="8">
        <v>112.01833333333333</v>
      </c>
      <c r="H764" s="8"/>
      <c r="I764" s="8"/>
      <c r="J764" s="5" t="s">
        <v>1398</v>
      </c>
      <c r="K764" s="5" t="s">
        <v>1399</v>
      </c>
      <c r="L764" s="5" t="s">
        <v>1397</v>
      </c>
      <c r="M764" s="3">
        <f t="shared" si="73"/>
        <v>1.3333333190530539E-3</v>
      </c>
      <c r="N764" s="3">
        <f t="shared" si="73"/>
        <v>6.1333333433140069E-3</v>
      </c>
      <c r="O764" s="3">
        <f t="shared" si="70"/>
        <v>1.8733333333329938E-2</v>
      </c>
      <c r="P764">
        <f t="shared" si="74"/>
        <v>1.7777777396970327E-6</v>
      </c>
      <c r="Q764">
        <f t="shared" si="74"/>
        <v>3.7617777900207373E-5</v>
      </c>
      <c r="R764">
        <f t="shared" si="74"/>
        <v>3.5093777777765056E-4</v>
      </c>
      <c r="S764">
        <f t="shared" si="71"/>
        <v>3.9395555639904406E-5</v>
      </c>
      <c r="T764">
        <f t="shared" si="72"/>
        <v>6.2765878978872274E-3</v>
      </c>
    </row>
    <row r="765" spans="1:20" x14ac:dyDescent="0.3">
      <c r="A765" s="2" t="s">
        <v>1305</v>
      </c>
      <c r="B765" s="4" t="s">
        <v>1307</v>
      </c>
      <c r="C765" s="2" t="s">
        <v>20</v>
      </c>
      <c r="D765" s="4" t="s">
        <v>37</v>
      </c>
      <c r="E765" s="8">
        <v>430715.89996666665</v>
      </c>
      <c r="F765" s="8">
        <v>144939.57620000001</v>
      </c>
      <c r="G765" s="8">
        <v>111.98366666666665</v>
      </c>
      <c r="H765" s="8"/>
      <c r="I765" s="8"/>
      <c r="J765" s="5" t="s">
        <v>1398</v>
      </c>
      <c r="K765" s="5" t="s">
        <v>1399</v>
      </c>
      <c r="L765" s="5" t="s">
        <v>1397</v>
      </c>
      <c r="M765" s="3">
        <f t="shared" si="73"/>
        <v>-1.8666666641365737E-2</v>
      </c>
      <c r="N765" s="3">
        <f t="shared" si="73"/>
        <v>-4.4000000052619725E-3</v>
      </c>
      <c r="O765" s="3">
        <f t="shared" si="70"/>
        <v>1.5933333333350674E-2</v>
      </c>
      <c r="P765">
        <f t="shared" si="74"/>
        <v>3.4844444349987642E-4</v>
      </c>
      <c r="Q765">
        <f t="shared" si="74"/>
        <v>1.9360000046305358E-5</v>
      </c>
      <c r="R765">
        <f t="shared" si="74"/>
        <v>2.5387111111166373E-4</v>
      </c>
      <c r="S765">
        <f t="shared" si="71"/>
        <v>3.6780444354618178E-4</v>
      </c>
      <c r="T765">
        <f t="shared" si="72"/>
        <v>1.91782283735016E-2</v>
      </c>
    </row>
    <row r="766" spans="1:20" x14ac:dyDescent="0.3">
      <c r="A766" s="2" t="s">
        <v>1305</v>
      </c>
      <c r="B766" s="4" t="s">
        <v>1307</v>
      </c>
      <c r="C766" s="2" t="s">
        <v>20</v>
      </c>
      <c r="D766" s="4" t="s">
        <v>46</v>
      </c>
      <c r="E766" s="8">
        <v>430715.90479999996</v>
      </c>
      <c r="F766" s="8">
        <v>144939.58023333331</v>
      </c>
      <c r="G766" s="8">
        <v>111.96066666666667</v>
      </c>
      <c r="H766" s="8"/>
      <c r="I766" s="8"/>
      <c r="J766" s="5" t="s">
        <v>1398</v>
      </c>
      <c r="K766" s="5" t="s">
        <v>1399</v>
      </c>
      <c r="L766" s="5" t="s">
        <v>1397</v>
      </c>
      <c r="M766" s="3">
        <f t="shared" si="73"/>
        <v>-2.3499999952036887E-2</v>
      </c>
      <c r="N766" s="3">
        <f t="shared" si="73"/>
        <v>-8.4333333070389926E-3</v>
      </c>
      <c r="O766" s="3">
        <f t="shared" si="70"/>
        <v>3.8933333333332598E-2</v>
      </c>
      <c r="P766">
        <f t="shared" si="74"/>
        <v>5.5224999774573368E-4</v>
      </c>
      <c r="Q766">
        <f t="shared" si="74"/>
        <v>7.1121110667613229E-5</v>
      </c>
      <c r="R766">
        <f t="shared" si="74"/>
        <v>1.5158044444443873E-3</v>
      </c>
      <c r="S766">
        <f t="shared" si="71"/>
        <v>6.2337110841334694E-4</v>
      </c>
      <c r="T766">
        <f t="shared" si="72"/>
        <v>2.4967400914259117E-2</v>
      </c>
    </row>
    <row r="767" spans="1:20" x14ac:dyDescent="0.3">
      <c r="A767" s="2" t="s">
        <v>1305</v>
      </c>
      <c r="B767" s="4" t="s">
        <v>1307</v>
      </c>
      <c r="C767" s="2" t="s">
        <v>51</v>
      </c>
      <c r="D767" s="2" t="s">
        <v>63</v>
      </c>
      <c r="E767" s="8">
        <v>430715.89563333336</v>
      </c>
      <c r="F767" s="8">
        <v>144939.59733333334</v>
      </c>
      <c r="G767" s="8">
        <v>111.97033333333333</v>
      </c>
      <c r="H767" s="8"/>
      <c r="I767" s="8"/>
      <c r="J767" s="5" t="s">
        <v>1398</v>
      </c>
      <c r="K767" s="5" t="s">
        <v>1399</v>
      </c>
      <c r="L767" s="5" t="s">
        <v>1397</v>
      </c>
      <c r="M767" s="3">
        <f t="shared" si="73"/>
        <v>-1.4333333354443312E-2</v>
      </c>
      <c r="N767" s="3">
        <f t="shared" si="73"/>
        <v>-2.5533333333441988E-2</v>
      </c>
      <c r="O767" s="3">
        <f t="shared" si="70"/>
        <v>2.9266666666671881E-2</v>
      </c>
      <c r="P767">
        <f t="shared" si="74"/>
        <v>2.0544444504959716E-4</v>
      </c>
      <c r="Q767">
        <f t="shared" si="74"/>
        <v>6.5195111111665972E-4</v>
      </c>
      <c r="R767">
        <f t="shared" si="74"/>
        <v>8.5653777777808303E-4</v>
      </c>
      <c r="S767">
        <f t="shared" si="71"/>
        <v>8.5739555616625687E-4</v>
      </c>
      <c r="T767">
        <f t="shared" si="72"/>
        <v>2.9281317527841143E-2</v>
      </c>
    </row>
    <row r="768" spans="1:20" x14ac:dyDescent="0.3">
      <c r="A768" s="2" t="s">
        <v>1305</v>
      </c>
      <c r="B768" s="4" t="s">
        <v>1307</v>
      </c>
      <c r="C768" s="2" t="s">
        <v>51</v>
      </c>
      <c r="D768" s="2" t="s">
        <v>30</v>
      </c>
      <c r="E768" s="8">
        <v>430715.90213333332</v>
      </c>
      <c r="F768" s="8">
        <v>144939.58609999999</v>
      </c>
      <c r="G768" s="8">
        <v>111.97066666666666</v>
      </c>
      <c r="H768" s="8"/>
      <c r="I768" s="8"/>
      <c r="J768" s="5" t="s">
        <v>1398</v>
      </c>
      <c r="K768" s="5" t="s">
        <v>1399</v>
      </c>
      <c r="L768" s="5" t="s">
        <v>1397</v>
      </c>
      <c r="M768" s="3">
        <f t="shared" si="73"/>
        <v>-2.083333331393078E-2</v>
      </c>
      <c r="N768" s="3">
        <f t="shared" si="73"/>
        <v>-1.4299999980721623E-2</v>
      </c>
      <c r="O768" s="3">
        <f t="shared" si="70"/>
        <v>2.8933333333341693E-2</v>
      </c>
      <c r="P768">
        <f t="shared" si="74"/>
        <v>4.3402777696933807E-4</v>
      </c>
      <c r="Q768">
        <f t="shared" si="74"/>
        <v>2.0448999944863841E-4</v>
      </c>
      <c r="R768">
        <f t="shared" si="74"/>
        <v>8.3713777777826156E-4</v>
      </c>
      <c r="S768">
        <f t="shared" si="71"/>
        <v>6.3851777641797647E-4</v>
      </c>
      <c r="T768">
        <f t="shared" si="72"/>
        <v>2.5268909284295919E-2</v>
      </c>
    </row>
    <row r="769" spans="1:20" x14ac:dyDescent="0.3">
      <c r="A769" s="2" t="s">
        <v>1305</v>
      </c>
      <c r="B769" s="4" t="s">
        <v>1307</v>
      </c>
      <c r="C769" s="2" t="s">
        <v>57</v>
      </c>
      <c r="D769" s="4" t="s">
        <v>52</v>
      </c>
      <c r="E769" s="8">
        <v>430715.89733333333</v>
      </c>
      <c r="F769" s="8">
        <v>144939.58236666667</v>
      </c>
      <c r="G769" s="8">
        <v>111.96233333333333</v>
      </c>
      <c r="H769" s="8"/>
      <c r="I769" s="8"/>
      <c r="J769" s="5" t="s">
        <v>1398</v>
      </c>
      <c r="K769" s="5" t="s">
        <v>1399</v>
      </c>
      <c r="L769" s="5" t="s">
        <v>1397</v>
      </c>
      <c r="M769" s="3">
        <f t="shared" si="73"/>
        <v>-1.6033333318773657E-2</v>
      </c>
      <c r="N769" s="3">
        <f t="shared" si="73"/>
        <v>-1.0566666664090008E-2</v>
      </c>
      <c r="O769" s="3">
        <f t="shared" si="70"/>
        <v>3.7266666666667447E-2</v>
      </c>
      <c r="P769">
        <f t="shared" si="74"/>
        <v>2.5706777731089749E-4</v>
      </c>
      <c r="Q769">
        <f t="shared" si="74"/>
        <v>1.1165444438999104E-4</v>
      </c>
      <c r="R769">
        <f t="shared" si="74"/>
        <v>1.3888044444445027E-3</v>
      </c>
      <c r="S769">
        <f t="shared" si="71"/>
        <v>3.6872222170088853E-4</v>
      </c>
      <c r="T769">
        <f t="shared" si="72"/>
        <v>1.9202141070747514E-2</v>
      </c>
    </row>
    <row r="770" spans="1:20" x14ac:dyDescent="0.3">
      <c r="A770" s="2" t="s">
        <v>1305</v>
      </c>
      <c r="B770" s="4" t="s">
        <v>1307</v>
      </c>
      <c r="C770" s="2" t="s">
        <v>1308</v>
      </c>
      <c r="D770" s="4" t="s">
        <v>1309</v>
      </c>
      <c r="E770" s="8">
        <v>430715.86936666659</v>
      </c>
      <c r="F770" s="8">
        <v>144939.58200000002</v>
      </c>
      <c r="G770" s="8">
        <v>111.96933333333334</v>
      </c>
      <c r="H770" s="8"/>
      <c r="I770" s="8"/>
      <c r="J770" s="5" t="s">
        <v>1398</v>
      </c>
      <c r="K770" s="5" t="s">
        <v>1399</v>
      </c>
      <c r="L770" s="5" t="s">
        <v>1397</v>
      </c>
      <c r="M770" s="3">
        <f t="shared" si="73"/>
        <v>1.1933333415072411E-2</v>
      </c>
      <c r="N770" s="3">
        <f t="shared" si="73"/>
        <v>-1.0200000018812716E-2</v>
      </c>
      <c r="O770" s="3">
        <f t="shared" si="70"/>
        <v>3.0266666666662445E-2</v>
      </c>
      <c r="P770">
        <f t="shared" si="74"/>
        <v>1.4240444639528378E-4</v>
      </c>
      <c r="Q770">
        <f t="shared" si="74"/>
        <v>1.0404000038377941E-4</v>
      </c>
      <c r="R770">
        <f t="shared" si="74"/>
        <v>9.1607111111085562E-4</v>
      </c>
      <c r="S770">
        <f t="shared" si="71"/>
        <v>2.464444467790632E-4</v>
      </c>
      <c r="T770">
        <f t="shared" si="72"/>
        <v>1.5698549193446609E-2</v>
      </c>
    </row>
    <row r="771" spans="1:20" x14ac:dyDescent="0.3">
      <c r="A771" s="2" t="s">
        <v>1305</v>
      </c>
      <c r="B771" s="4" t="s">
        <v>1307</v>
      </c>
      <c r="C771" s="2" t="s">
        <v>1308</v>
      </c>
      <c r="D771" s="4" t="s">
        <v>1310</v>
      </c>
      <c r="E771" s="8">
        <v>430715.92210000003</v>
      </c>
      <c r="F771" s="8">
        <v>144939.6433</v>
      </c>
      <c r="G771" s="8">
        <v>111.79600000000001</v>
      </c>
      <c r="H771" s="8"/>
      <c r="I771" s="8"/>
      <c r="J771" s="5" t="s">
        <v>1398</v>
      </c>
      <c r="K771" s="5" t="s">
        <v>1399</v>
      </c>
      <c r="L771" s="5" t="s">
        <v>1397</v>
      </c>
      <c r="M771" s="3">
        <f t="shared" si="73"/>
        <v>-4.0800000017043203E-2</v>
      </c>
      <c r="N771" s="3">
        <f t="shared" si="73"/>
        <v>-7.1499999990919605E-2</v>
      </c>
      <c r="O771" s="3">
        <f t="shared" si="70"/>
        <v>0.20359999999999445</v>
      </c>
      <c r="P771">
        <f t="shared" si="74"/>
        <v>1.6646400013907254E-3</v>
      </c>
      <c r="Q771">
        <f t="shared" si="74"/>
        <v>5.1122499987015036E-3</v>
      </c>
      <c r="R771">
        <f t="shared" si="74"/>
        <v>4.1452959999997742E-2</v>
      </c>
      <c r="S771">
        <f t="shared" si="71"/>
        <v>6.776890000092229E-3</v>
      </c>
      <c r="T771">
        <f t="shared" si="72"/>
        <v>8.2321868298115233E-2</v>
      </c>
    </row>
    <row r="772" spans="1:20" x14ac:dyDescent="0.3">
      <c r="A772" s="2" t="s">
        <v>1305</v>
      </c>
      <c r="B772" s="4" t="s">
        <v>1311</v>
      </c>
      <c r="C772" s="2" t="s">
        <v>20</v>
      </c>
      <c r="D772" s="2" t="s">
        <v>30</v>
      </c>
      <c r="E772" s="8">
        <v>430718.09663333331</v>
      </c>
      <c r="F772" s="8">
        <v>155573.41449999998</v>
      </c>
      <c r="G772" s="8">
        <v>138.03766666666664</v>
      </c>
      <c r="H772" s="8"/>
      <c r="I772" s="8"/>
      <c r="J772" s="5" t="s">
        <v>1400</v>
      </c>
      <c r="K772" s="5" t="s">
        <v>1401</v>
      </c>
      <c r="L772" s="5" t="s">
        <v>1402</v>
      </c>
      <c r="M772" s="3">
        <f t="shared" si="73"/>
        <v>9.9666666937991977E-3</v>
      </c>
      <c r="N772" s="3">
        <f t="shared" si="73"/>
        <v>6.8000000028405339E-3</v>
      </c>
      <c r="O772" s="3">
        <f t="shared" si="70"/>
        <v>5.5966666666648734E-2</v>
      </c>
      <c r="P772">
        <f t="shared" si="74"/>
        <v>9.933444498528623E-5</v>
      </c>
      <c r="Q772">
        <f t="shared" si="74"/>
        <v>4.624000003863126E-5</v>
      </c>
      <c r="R772">
        <f t="shared" si="74"/>
        <v>3.1322677777757706E-3</v>
      </c>
      <c r="S772">
        <f t="shared" si="71"/>
        <v>1.455744450239175E-4</v>
      </c>
      <c r="T772">
        <f t="shared" si="72"/>
        <v>1.2065423532720164E-2</v>
      </c>
    </row>
    <row r="773" spans="1:20" x14ac:dyDescent="0.3">
      <c r="A773" s="2" t="s">
        <v>1305</v>
      </c>
      <c r="B773" s="4" t="s">
        <v>1311</v>
      </c>
      <c r="C773" s="2" t="s">
        <v>20</v>
      </c>
      <c r="D773" s="2" t="s">
        <v>21</v>
      </c>
      <c r="E773" s="8">
        <v>430718.10053333332</v>
      </c>
      <c r="F773" s="8">
        <v>155573.41220000002</v>
      </c>
      <c r="G773" s="8">
        <v>138.03166666666667</v>
      </c>
      <c r="H773" s="8"/>
      <c r="I773" s="8"/>
      <c r="J773" s="5" t="s">
        <v>1400</v>
      </c>
      <c r="K773" s="5" t="s">
        <v>1401</v>
      </c>
      <c r="L773" s="5" t="s">
        <v>1402</v>
      </c>
      <c r="M773" s="3">
        <f t="shared" si="73"/>
        <v>6.0666666831821203E-3</v>
      </c>
      <c r="N773" s="3">
        <f t="shared" si="73"/>
        <v>9.0999999665655196E-3</v>
      </c>
      <c r="O773" s="3">
        <f t="shared" si="70"/>
        <v>4.9966666666676929E-2</v>
      </c>
      <c r="P773">
        <f t="shared" si="74"/>
        <v>3.6804444644831949E-5</v>
      </c>
      <c r="Q773">
        <f t="shared" si="74"/>
        <v>8.2809999391492454E-5</v>
      </c>
      <c r="R773">
        <f t="shared" si="74"/>
        <v>2.4966677777788033E-3</v>
      </c>
      <c r="S773">
        <f t="shared" si="71"/>
        <v>1.196144440363244E-4</v>
      </c>
      <c r="T773">
        <f t="shared" si="72"/>
        <v>1.0936838850249391E-2</v>
      </c>
    </row>
    <row r="774" spans="1:20" x14ac:dyDescent="0.3">
      <c r="A774" s="2" t="s">
        <v>1305</v>
      </c>
      <c r="B774" s="4" t="s">
        <v>1312</v>
      </c>
      <c r="C774" s="2" t="s">
        <v>20</v>
      </c>
      <c r="D774" s="2" t="s">
        <v>110</v>
      </c>
      <c r="E774" s="8">
        <v>430718.11156666669</v>
      </c>
      <c r="F774" s="8">
        <v>155573.4259</v>
      </c>
      <c r="G774" s="8">
        <v>138.02000000000001</v>
      </c>
      <c r="H774" s="8"/>
      <c r="I774" s="8"/>
      <c r="J774" s="5" t="s">
        <v>1403</v>
      </c>
      <c r="K774" s="5" t="s">
        <v>1404</v>
      </c>
      <c r="L774" s="5" t="s">
        <v>1402</v>
      </c>
      <c r="M774" s="3">
        <f t="shared" si="73"/>
        <v>-4.9666666891425848E-3</v>
      </c>
      <c r="N774" s="3">
        <f t="shared" si="73"/>
        <v>-4.6000000147614628E-3</v>
      </c>
      <c r="O774" s="3">
        <f t="shared" si="70"/>
        <v>3.8300000000020873E-2</v>
      </c>
      <c r="P774">
        <f t="shared" si="74"/>
        <v>2.4667778001038565E-5</v>
      </c>
      <c r="Q774">
        <f t="shared" si="74"/>
        <v>2.1160000135805457E-5</v>
      </c>
      <c r="R774">
        <f t="shared" si="74"/>
        <v>1.466890000001599E-3</v>
      </c>
      <c r="S774">
        <f t="shared" si="71"/>
        <v>4.5827778136844022E-5</v>
      </c>
      <c r="T774">
        <f t="shared" si="72"/>
        <v>6.7696217129795382E-3</v>
      </c>
    </row>
    <row r="775" spans="1:20" x14ac:dyDescent="0.3">
      <c r="A775" s="2" t="s">
        <v>1305</v>
      </c>
      <c r="B775" s="4" t="s">
        <v>1312</v>
      </c>
      <c r="C775" s="2" t="s">
        <v>20</v>
      </c>
      <c r="D775" s="4" t="s">
        <v>37</v>
      </c>
      <c r="E775" s="8">
        <v>430718.11339999997</v>
      </c>
      <c r="F775" s="8">
        <v>155573.42716666663</v>
      </c>
      <c r="G775" s="8">
        <v>138.02533333333335</v>
      </c>
      <c r="H775" s="8"/>
      <c r="I775" s="8"/>
      <c r="J775" s="5" t="s">
        <v>1403</v>
      </c>
      <c r="K775" s="5" t="s">
        <v>1404</v>
      </c>
      <c r="L775" s="5" t="s">
        <v>1402</v>
      </c>
      <c r="M775" s="3">
        <f t="shared" si="73"/>
        <v>-6.7999999737367034E-3</v>
      </c>
      <c r="N775" s="3">
        <f t="shared" si="73"/>
        <v>-5.8666666445787996E-3</v>
      </c>
      <c r="O775" s="3">
        <f t="shared" si="70"/>
        <v>4.3633333333360724E-2</v>
      </c>
      <c r="P775">
        <f t="shared" si="74"/>
        <v>4.6239999642819167E-5</v>
      </c>
      <c r="Q775">
        <f t="shared" si="74"/>
        <v>3.4417777518613471E-5</v>
      </c>
      <c r="R775">
        <f t="shared" si="74"/>
        <v>1.903867777780168E-3</v>
      </c>
      <c r="S775">
        <f t="shared" si="71"/>
        <v>8.0657777161432631E-5</v>
      </c>
      <c r="T775">
        <f t="shared" si="72"/>
        <v>8.9809674958454579E-3</v>
      </c>
    </row>
    <row r="776" spans="1:20" x14ac:dyDescent="0.3">
      <c r="A776" s="2" t="s">
        <v>1305</v>
      </c>
      <c r="B776" s="4" t="s">
        <v>1312</v>
      </c>
      <c r="C776" s="2" t="s">
        <v>20</v>
      </c>
      <c r="D776" s="4" t="s">
        <v>46</v>
      </c>
      <c r="E776" s="8">
        <v>430718.11096666666</v>
      </c>
      <c r="F776" s="8">
        <v>155573.42763333334</v>
      </c>
      <c r="G776" s="8">
        <v>138.03600000000003</v>
      </c>
      <c r="H776" s="8"/>
      <c r="I776" s="8"/>
      <c r="J776" s="5" t="s">
        <v>1403</v>
      </c>
      <c r="K776" s="5" t="s">
        <v>1404</v>
      </c>
      <c r="L776" s="5" t="s">
        <v>1402</v>
      </c>
      <c r="M776" s="3">
        <f t="shared" si="73"/>
        <v>-4.366666660644114E-3</v>
      </c>
      <c r="N776" s="3">
        <f t="shared" si="73"/>
        <v>-6.3333333528134972E-3</v>
      </c>
      <c r="O776" s="3">
        <f t="shared" si="70"/>
        <v>5.4300000000040427E-2</v>
      </c>
      <c r="P776">
        <f t="shared" si="74"/>
        <v>1.9067777725180818E-5</v>
      </c>
      <c r="Q776">
        <f t="shared" si="74"/>
        <v>4.0111111357859853E-5</v>
      </c>
      <c r="R776">
        <f t="shared" si="74"/>
        <v>2.9484900000043904E-3</v>
      </c>
      <c r="S776">
        <f t="shared" si="71"/>
        <v>5.9178889083040671E-5</v>
      </c>
      <c r="T776">
        <f t="shared" si="72"/>
        <v>7.6927816219518851E-3</v>
      </c>
    </row>
    <row r="777" spans="1:20" x14ac:dyDescent="0.3">
      <c r="A777" s="2" t="s">
        <v>1305</v>
      </c>
      <c r="B777" s="4" t="s">
        <v>1312</v>
      </c>
      <c r="C777" s="2" t="s">
        <v>51</v>
      </c>
      <c r="D777" s="2" t="s">
        <v>63</v>
      </c>
      <c r="E777" s="8">
        <v>430718.10590000002</v>
      </c>
      <c r="F777" s="8">
        <v>155573.42619999999</v>
      </c>
      <c r="G777" s="8">
        <v>137.99333333333334</v>
      </c>
      <c r="H777" s="8"/>
      <c r="I777" s="8"/>
      <c r="J777" s="5" t="s">
        <v>1403</v>
      </c>
      <c r="K777" s="5" t="s">
        <v>1404</v>
      </c>
      <c r="L777" s="5" t="s">
        <v>1402</v>
      </c>
      <c r="M777" s="3">
        <f t="shared" si="73"/>
        <v>6.99999975040555E-4</v>
      </c>
      <c r="N777" s="3">
        <f t="shared" si="73"/>
        <v>-4.8999999999068677E-3</v>
      </c>
      <c r="O777" s="3">
        <f t="shared" si="70"/>
        <v>1.1633333333350038E-2</v>
      </c>
      <c r="P777">
        <f t="shared" si="74"/>
        <v>4.8999996505677762E-7</v>
      </c>
      <c r="Q777">
        <f t="shared" si="74"/>
        <v>2.4009999999087304E-5</v>
      </c>
      <c r="R777">
        <f t="shared" si="74"/>
        <v>1.353344444448331E-4</v>
      </c>
      <c r="S777">
        <f t="shared" si="71"/>
        <v>2.4499999964144082E-5</v>
      </c>
      <c r="T777">
        <f t="shared" si="72"/>
        <v>4.9497474646838383E-3</v>
      </c>
    </row>
    <row r="778" spans="1:20" x14ac:dyDescent="0.3">
      <c r="A778" s="2" t="s">
        <v>1305</v>
      </c>
      <c r="B778" s="4" t="s">
        <v>1312</v>
      </c>
      <c r="C778" s="2" t="s">
        <v>51</v>
      </c>
      <c r="D778" s="2" t="s">
        <v>30</v>
      </c>
      <c r="E778" s="8">
        <v>430718.11599999998</v>
      </c>
      <c r="F778" s="8">
        <v>155573.44083333333</v>
      </c>
      <c r="G778" s="8">
        <v>137.97500000000002</v>
      </c>
      <c r="H778" s="8"/>
      <c r="I778" s="8"/>
      <c r="J778" s="5" t="s">
        <v>1403</v>
      </c>
      <c r="K778" s="5" t="s">
        <v>1404</v>
      </c>
      <c r="L778" s="5" t="s">
        <v>1402</v>
      </c>
      <c r="M778" s="3">
        <f t="shared" si="73"/>
        <v>-9.399999980814755E-3</v>
      </c>
      <c r="N778" s="3">
        <f t="shared" si="73"/>
        <v>-1.9533333339495584E-2</v>
      </c>
      <c r="O778" s="3">
        <f t="shared" si="70"/>
        <v>6.6999999999666215E-3</v>
      </c>
      <c r="P778">
        <f t="shared" si="74"/>
        <v>8.8359999639317394E-5</v>
      </c>
      <c r="Q778">
        <f t="shared" si="74"/>
        <v>3.8155111135184972E-4</v>
      </c>
      <c r="R778">
        <f t="shared" si="74"/>
        <v>4.4889999999552732E-5</v>
      </c>
      <c r="S778">
        <f t="shared" si="71"/>
        <v>4.699111109911671E-4</v>
      </c>
      <c r="T778">
        <f t="shared" si="72"/>
        <v>2.16774332196219E-2</v>
      </c>
    </row>
    <row r="779" spans="1:20" x14ac:dyDescent="0.3">
      <c r="A779" s="2" t="s">
        <v>1305</v>
      </c>
      <c r="B779" s="4" t="s">
        <v>1312</v>
      </c>
      <c r="C779" s="2" t="s">
        <v>57</v>
      </c>
      <c r="D779" s="4" t="s">
        <v>52</v>
      </c>
      <c r="E779" s="8">
        <v>430718.1130666667</v>
      </c>
      <c r="F779" s="8">
        <v>155573.43413333333</v>
      </c>
      <c r="G779" s="8">
        <v>137.99133333333336</v>
      </c>
      <c r="H779" s="8"/>
      <c r="I779" s="8"/>
      <c r="J779" s="5" t="s">
        <v>1403</v>
      </c>
      <c r="K779" s="5" t="s">
        <v>1404</v>
      </c>
      <c r="L779" s="5" t="s">
        <v>1402</v>
      </c>
      <c r="M779" s="3">
        <f t="shared" si="73"/>
        <v>-6.4666667021811008E-3</v>
      </c>
      <c r="N779" s="3">
        <f t="shared" si="73"/>
        <v>-1.2833333341404796E-2</v>
      </c>
      <c r="O779" s="3">
        <f t="shared" si="70"/>
        <v>9.6333333333689097E-3</v>
      </c>
      <c r="P779">
        <f t="shared" si="74"/>
        <v>4.1817778237097794E-5</v>
      </c>
      <c r="Q779">
        <f t="shared" si="74"/>
        <v>1.6469444465161198E-4</v>
      </c>
      <c r="R779">
        <f t="shared" si="74"/>
        <v>9.2801111111796543E-5</v>
      </c>
      <c r="S779">
        <f t="shared" si="71"/>
        <v>2.0651222288870977E-4</v>
      </c>
      <c r="T779">
        <f t="shared" si="72"/>
        <v>1.437053314559727E-2</v>
      </c>
    </row>
    <row r="780" spans="1:20" x14ac:dyDescent="0.3">
      <c r="A780" s="2" t="s">
        <v>1305</v>
      </c>
      <c r="B780" s="4" t="s">
        <v>1312</v>
      </c>
      <c r="C780" s="2" t="s">
        <v>1308</v>
      </c>
      <c r="D780" s="4" t="s">
        <v>1309</v>
      </c>
      <c r="E780" s="8">
        <v>430718.09110000002</v>
      </c>
      <c r="F780" s="8">
        <v>155573.4356</v>
      </c>
      <c r="G780" s="8">
        <v>138.066</v>
      </c>
      <c r="H780" s="8"/>
      <c r="I780" s="8"/>
      <c r="J780" s="5" t="s">
        <v>1403</v>
      </c>
      <c r="K780" s="5" t="s">
        <v>1404</v>
      </c>
      <c r="L780" s="5" t="s">
        <v>1402</v>
      </c>
      <c r="M780" s="3">
        <f t="shared" si="73"/>
        <v>1.5499999979510903E-2</v>
      </c>
      <c r="N780" s="3">
        <f t="shared" si="73"/>
        <v>-1.4300000009825453E-2</v>
      </c>
      <c r="O780" s="3">
        <f t="shared" si="70"/>
        <v>8.4300000000013142E-2</v>
      </c>
      <c r="P780">
        <f t="shared" si="74"/>
        <v>2.40249999364838E-4</v>
      </c>
      <c r="Q780">
        <f t="shared" si="74"/>
        <v>2.0449000028100795E-4</v>
      </c>
      <c r="R780">
        <f t="shared" si="74"/>
        <v>7.1064900000022161E-3</v>
      </c>
      <c r="S780">
        <f t="shared" si="71"/>
        <v>4.4473999964584596E-4</v>
      </c>
      <c r="T780">
        <f t="shared" si="72"/>
        <v>2.108885960989465E-2</v>
      </c>
    </row>
    <row r="781" spans="1:20" x14ac:dyDescent="0.3">
      <c r="A781" s="2" t="s">
        <v>1305</v>
      </c>
      <c r="B781" s="4" t="s">
        <v>1312</v>
      </c>
      <c r="C781" s="2" t="s">
        <v>1308</v>
      </c>
      <c r="D781" s="4" t="s">
        <v>1310</v>
      </c>
      <c r="E781" s="8">
        <v>430718.09049999999</v>
      </c>
      <c r="F781" s="8">
        <v>155573.43086666666</v>
      </c>
      <c r="G781" s="8">
        <v>138.07500000000002</v>
      </c>
      <c r="H781" s="8"/>
      <c r="I781" s="8"/>
      <c r="J781" s="5" t="s">
        <v>1403</v>
      </c>
      <c r="K781" s="5" t="s">
        <v>1404</v>
      </c>
      <c r="L781" s="5" t="s">
        <v>1402</v>
      </c>
      <c r="M781" s="3">
        <f t="shared" si="73"/>
        <v>1.6100000008009374E-2</v>
      </c>
      <c r="N781" s="3">
        <f t="shared" si="73"/>
        <v>-9.5666666748002172E-3</v>
      </c>
      <c r="O781" s="3">
        <f t="shared" si="70"/>
        <v>9.3300000000027694E-2</v>
      </c>
      <c r="P781">
        <f t="shared" si="74"/>
        <v>2.5921000025790183E-4</v>
      </c>
      <c r="Q781">
        <f t="shared" si="74"/>
        <v>9.1521111266733044E-5</v>
      </c>
      <c r="R781">
        <f t="shared" si="74"/>
        <v>8.7048900000051676E-3</v>
      </c>
      <c r="S781">
        <f t="shared" si="71"/>
        <v>3.5073111152463486E-4</v>
      </c>
      <c r="T781">
        <f t="shared" si="72"/>
        <v>1.8727816517806736E-2</v>
      </c>
    </row>
    <row r="782" spans="1:20" x14ac:dyDescent="0.3">
      <c r="A782" s="2" t="s">
        <v>1305</v>
      </c>
      <c r="B782" s="4" t="s">
        <v>1313</v>
      </c>
      <c r="C782" s="2" t="s">
        <v>20</v>
      </c>
      <c r="D782" s="2" t="s">
        <v>30</v>
      </c>
      <c r="E782" s="8">
        <v>441275.38473333331</v>
      </c>
      <c r="F782" s="8">
        <v>193008.04459999999</v>
      </c>
      <c r="G782" s="8">
        <v>245.78066666666666</v>
      </c>
      <c r="H782" s="8"/>
      <c r="I782" s="8"/>
      <c r="J782" s="5" t="s">
        <v>1405</v>
      </c>
      <c r="K782" s="5" t="s">
        <v>1406</v>
      </c>
      <c r="L782" s="5" t="s">
        <v>1407</v>
      </c>
      <c r="M782" s="3">
        <f t="shared" si="73"/>
        <v>1.8666666699573398E-2</v>
      </c>
      <c r="N782" s="3">
        <f t="shared" si="73"/>
        <v>-3.3899999980349094E-2</v>
      </c>
      <c r="O782" s="3">
        <f t="shared" si="70"/>
        <v>4.6933333333328164E-2</v>
      </c>
      <c r="P782">
        <f t="shared" si="74"/>
        <v>3.484444456729624E-4</v>
      </c>
      <c r="Q782">
        <f t="shared" si="74"/>
        <v>1.1492099986676685E-3</v>
      </c>
      <c r="R782">
        <f t="shared" si="74"/>
        <v>2.2027377777772924E-3</v>
      </c>
      <c r="S782">
        <f t="shared" si="71"/>
        <v>1.4976544443406309E-3</v>
      </c>
      <c r="T782">
        <f t="shared" si="72"/>
        <v>3.8699540621829488E-2</v>
      </c>
    </row>
    <row r="783" spans="1:20" x14ac:dyDescent="0.3">
      <c r="A783" s="2" t="s">
        <v>1305</v>
      </c>
      <c r="B783" s="4" t="s">
        <v>1313</v>
      </c>
      <c r="C783" s="2" t="s">
        <v>20</v>
      </c>
      <c r="D783" s="2" t="s">
        <v>21</v>
      </c>
      <c r="E783" s="8">
        <v>441275.39563333336</v>
      </c>
      <c r="F783" s="8">
        <v>193008.05086666669</v>
      </c>
      <c r="G783" s="8">
        <v>245.79533333333333</v>
      </c>
      <c r="H783" s="8"/>
      <c r="I783" s="8"/>
      <c r="J783" s="5" t="s">
        <v>1405</v>
      </c>
      <c r="K783" s="5" t="s">
        <v>1406</v>
      </c>
      <c r="L783" s="5" t="s">
        <v>1407</v>
      </c>
      <c r="M783" s="3">
        <f t="shared" si="73"/>
        <v>7.7666666475124657E-3</v>
      </c>
      <c r="N783" s="3">
        <f t="shared" si="73"/>
        <v>-4.0166666673030704E-2</v>
      </c>
      <c r="O783" s="3">
        <f t="shared" si="70"/>
        <v>3.2266666666657784E-2</v>
      </c>
      <c r="P783">
        <f t="shared" si="74"/>
        <v>6.032111081358252E-5</v>
      </c>
      <c r="Q783">
        <f t="shared" si="74"/>
        <v>1.6133611116223555E-3</v>
      </c>
      <c r="R783">
        <f t="shared" si="74"/>
        <v>1.0411377777772045E-3</v>
      </c>
      <c r="S783">
        <f t="shared" si="71"/>
        <v>1.6736822224359381E-3</v>
      </c>
      <c r="T783">
        <f t="shared" si="72"/>
        <v>4.091066147639192E-2</v>
      </c>
    </row>
    <row r="784" spans="1:20" x14ac:dyDescent="0.3">
      <c r="A784" s="2" t="s">
        <v>1305</v>
      </c>
      <c r="B784" s="4" t="s">
        <v>1314</v>
      </c>
      <c r="C784" s="2" t="s">
        <v>20</v>
      </c>
      <c r="D784" s="4" t="s">
        <v>37</v>
      </c>
      <c r="E784" s="8">
        <v>441275.57223333331</v>
      </c>
      <c r="F784" s="8">
        <v>193008.10829999999</v>
      </c>
      <c r="G784" s="8">
        <v>245.83100000000002</v>
      </c>
      <c r="H784" s="13" t="s">
        <v>1356</v>
      </c>
      <c r="I784" s="13" t="s">
        <v>1357</v>
      </c>
      <c r="J784" s="5" t="s">
        <v>1408</v>
      </c>
      <c r="K784" s="5" t="s">
        <v>1409</v>
      </c>
      <c r="L784" s="5" t="s">
        <v>1407</v>
      </c>
      <c r="M784" s="3">
        <f t="shared" si="73"/>
        <v>-0.1688333333004266</v>
      </c>
      <c r="N784" s="3">
        <f t="shared" si="73"/>
        <v>-9.7599999979138374E-2</v>
      </c>
      <c r="O784" s="3">
        <f t="shared" si="70"/>
        <v>3.4000000000276032E-3</v>
      </c>
      <c r="P784">
        <f t="shared" si="74"/>
        <v>2.850469443333294E-2</v>
      </c>
      <c r="Q784">
        <f t="shared" si="74"/>
        <v>9.5257599959278107E-3</v>
      </c>
      <c r="R784">
        <f t="shared" si="74"/>
        <v>1.1560000000187702E-5</v>
      </c>
      <c r="S784">
        <f t="shared" si="71"/>
        <v>3.803045442926075E-2</v>
      </c>
      <c r="T784">
        <f t="shared" si="72"/>
        <v>0.19501398521455007</v>
      </c>
    </row>
    <row r="785" spans="1:20" x14ac:dyDescent="0.3">
      <c r="A785" s="2" t="s">
        <v>1305</v>
      </c>
      <c r="B785" s="4" t="s">
        <v>1314</v>
      </c>
      <c r="C785" s="2" t="s">
        <v>20</v>
      </c>
      <c r="D785" s="4" t="s">
        <v>46</v>
      </c>
      <c r="E785" s="8">
        <v>441275.40960000007</v>
      </c>
      <c r="F785" s="8">
        <v>193008.04550000001</v>
      </c>
      <c r="G785" s="8">
        <v>245.82033333333334</v>
      </c>
      <c r="H785" s="8"/>
      <c r="I785" s="8"/>
      <c r="J785" s="5" t="s">
        <v>1408</v>
      </c>
      <c r="K785" s="5" t="s">
        <v>1409</v>
      </c>
      <c r="L785" s="5" t="s">
        <v>1407</v>
      </c>
      <c r="M785" s="3">
        <f t="shared" ref="M785:N848" si="75">J785-E785</f>
        <v>-6.2000000616535544E-3</v>
      </c>
      <c r="N785" s="3">
        <f t="shared" si="75"/>
        <v>-3.4799999993992969E-2</v>
      </c>
      <c r="O785" s="3">
        <f t="shared" si="70"/>
        <v>7.2666666666520996E-3</v>
      </c>
      <c r="P785">
        <f t="shared" ref="P785:R848" si="76">POWER(M785,2)</f>
        <v>3.8440000764504079E-5</v>
      </c>
      <c r="Q785">
        <f t="shared" si="76"/>
        <v>1.2110399995819106E-3</v>
      </c>
      <c r="R785">
        <f t="shared" si="76"/>
        <v>5.2804444444232737E-5</v>
      </c>
      <c r="S785">
        <f t="shared" si="71"/>
        <v>1.2494800003464148E-3</v>
      </c>
      <c r="T785">
        <f t="shared" si="72"/>
        <v>3.5347984388737284E-2</v>
      </c>
    </row>
    <row r="786" spans="1:20" x14ac:dyDescent="0.3">
      <c r="A786" s="2" t="s">
        <v>1305</v>
      </c>
      <c r="B786" s="4" t="s">
        <v>1314</v>
      </c>
      <c r="C786" s="2" t="s">
        <v>20</v>
      </c>
      <c r="D786" s="2" t="s">
        <v>110</v>
      </c>
      <c r="E786" s="8">
        <v>441275.63943333336</v>
      </c>
      <c r="F786" s="8">
        <v>193008.13099999996</v>
      </c>
      <c r="G786" s="8">
        <v>244.16666666666666</v>
      </c>
      <c r="H786" s="13" t="s">
        <v>1358</v>
      </c>
      <c r="I786" s="13" t="s">
        <v>1359</v>
      </c>
      <c r="J786" s="5" t="s">
        <v>1408</v>
      </c>
      <c r="K786" s="5" t="s">
        <v>1409</v>
      </c>
      <c r="L786" s="5" t="s">
        <v>1407</v>
      </c>
      <c r="M786" s="3">
        <f t="shared" si="75"/>
        <v>-0.23603333334904164</v>
      </c>
      <c r="N786" s="3">
        <f t="shared" si="75"/>
        <v>-0.12029999995138496</v>
      </c>
      <c r="O786" s="3">
        <f t="shared" si="70"/>
        <v>1.6609333333333325</v>
      </c>
      <c r="P786">
        <f t="shared" si="76"/>
        <v>5.5711734451859812E-2</v>
      </c>
      <c r="Q786">
        <f t="shared" si="76"/>
        <v>1.4472089988303221E-2</v>
      </c>
      <c r="R786">
        <f t="shared" si="76"/>
        <v>2.7586995377777748</v>
      </c>
      <c r="S786">
        <f t="shared" si="71"/>
        <v>7.0183824440163037E-2</v>
      </c>
      <c r="T786">
        <f t="shared" si="72"/>
        <v>0.26492229887301488</v>
      </c>
    </row>
    <row r="787" spans="1:20" x14ac:dyDescent="0.3">
      <c r="A787" s="2" t="s">
        <v>1305</v>
      </c>
      <c r="B787" s="4" t="s">
        <v>1314</v>
      </c>
      <c r="C787" s="2" t="s">
        <v>51</v>
      </c>
      <c r="D787" s="2" t="s">
        <v>63</v>
      </c>
      <c r="E787" s="8">
        <v>441275.41349999997</v>
      </c>
      <c r="F787" s="8">
        <v>193008.04363333332</v>
      </c>
      <c r="G787" s="8">
        <v>245.74566666666669</v>
      </c>
      <c r="H787" s="8"/>
      <c r="I787" s="8"/>
      <c r="J787" s="5" t="s">
        <v>1408</v>
      </c>
      <c r="K787" s="5" t="s">
        <v>1409</v>
      </c>
      <c r="L787" s="5" t="s">
        <v>1407</v>
      </c>
      <c r="M787" s="3">
        <f t="shared" si="75"/>
        <v>-1.009999995585531E-2</v>
      </c>
      <c r="N787" s="3">
        <f t="shared" si="75"/>
        <v>-3.2933333306573331E-2</v>
      </c>
      <c r="O787" s="3">
        <f t="shared" si="70"/>
        <v>8.1933333333296332E-2</v>
      </c>
      <c r="P787">
        <f t="shared" si="76"/>
        <v>1.0200999910827726E-4</v>
      </c>
      <c r="Q787">
        <f t="shared" si="76"/>
        <v>1.0846044426818524E-3</v>
      </c>
      <c r="R787">
        <f t="shared" si="76"/>
        <v>6.713071111105048E-3</v>
      </c>
      <c r="S787">
        <f t="shared" si="71"/>
        <v>1.1866144417901298E-3</v>
      </c>
      <c r="T787">
        <f t="shared" si="72"/>
        <v>3.4447270454857952E-2</v>
      </c>
    </row>
    <row r="788" spans="1:20" x14ac:dyDescent="0.3">
      <c r="A788" s="2" t="s">
        <v>1305</v>
      </c>
      <c r="B788" s="4" t="s">
        <v>1314</v>
      </c>
      <c r="C788" s="2" t="s">
        <v>51</v>
      </c>
      <c r="D788" s="2" t="s">
        <v>30</v>
      </c>
      <c r="E788" s="8">
        <v>441275.43593333336</v>
      </c>
      <c r="F788" s="8">
        <v>193008.01706666665</v>
      </c>
      <c r="G788" s="8">
        <v>245.65899999999999</v>
      </c>
      <c r="H788" s="13" t="s">
        <v>42</v>
      </c>
      <c r="I788" s="13" t="s">
        <v>1360</v>
      </c>
      <c r="J788" s="5" t="s">
        <v>1408</v>
      </c>
      <c r="K788" s="5" t="s">
        <v>1409</v>
      </c>
      <c r="L788" s="5" t="s">
        <v>1407</v>
      </c>
      <c r="M788" s="3">
        <f t="shared" si="75"/>
        <v>-3.2533333345782012E-2</v>
      </c>
      <c r="N788" s="3">
        <f t="shared" si="75"/>
        <v>-6.3666666392236948E-3</v>
      </c>
      <c r="O788" s="3">
        <f t="shared" si="70"/>
        <v>0.16859999999999786</v>
      </c>
      <c r="P788">
        <f t="shared" si="76"/>
        <v>1.0584177785877718E-3</v>
      </c>
      <c r="Q788">
        <f t="shared" si="76"/>
        <v>4.0534444095003937E-5</v>
      </c>
      <c r="R788">
        <f t="shared" si="76"/>
        <v>2.8425959999999278E-2</v>
      </c>
      <c r="S788">
        <f t="shared" si="71"/>
        <v>1.0989522226827757E-3</v>
      </c>
      <c r="T788">
        <f t="shared" si="72"/>
        <v>3.3150448302892911E-2</v>
      </c>
    </row>
    <row r="789" spans="1:20" x14ac:dyDescent="0.3">
      <c r="A789" s="2" t="s">
        <v>1305</v>
      </c>
      <c r="B789" s="4" t="s">
        <v>1314</v>
      </c>
      <c r="C789" s="2" t="s">
        <v>57</v>
      </c>
      <c r="D789" s="4" t="s">
        <v>52</v>
      </c>
      <c r="E789" s="8">
        <v>441275.41730000003</v>
      </c>
      <c r="F789" s="8">
        <v>193008.03466666667</v>
      </c>
      <c r="G789" s="8">
        <v>245.79233333333332</v>
      </c>
      <c r="H789" s="8"/>
      <c r="I789" s="8"/>
      <c r="J789" s="5" t="s">
        <v>1408</v>
      </c>
      <c r="K789" s="5" t="s">
        <v>1409</v>
      </c>
      <c r="L789" s="5" t="s">
        <v>1407</v>
      </c>
      <c r="M789" s="3">
        <f t="shared" si="75"/>
        <v>-1.3900000019930303E-2</v>
      </c>
      <c r="N789" s="3">
        <f t="shared" si="75"/>
        <v>-2.3966666660271585E-2</v>
      </c>
      <c r="O789" s="3">
        <f t="shared" si="70"/>
        <v>3.5266666666672108E-2</v>
      </c>
      <c r="P789">
        <f t="shared" si="76"/>
        <v>1.9321000055406241E-4</v>
      </c>
      <c r="Q789">
        <f t="shared" si="76"/>
        <v>5.7440111080457352E-4</v>
      </c>
      <c r="R789">
        <f t="shared" si="76"/>
        <v>1.2437377777781615E-3</v>
      </c>
      <c r="S789">
        <f t="shared" si="71"/>
        <v>7.6761111135863593E-4</v>
      </c>
      <c r="T789">
        <f t="shared" si="72"/>
        <v>2.7705795627605355E-2</v>
      </c>
    </row>
    <row r="790" spans="1:20" x14ac:dyDescent="0.3">
      <c r="A790" s="2" t="s">
        <v>1305</v>
      </c>
      <c r="B790" s="4" t="s">
        <v>1314</v>
      </c>
      <c r="C790" s="2" t="s">
        <v>1308</v>
      </c>
      <c r="D790" s="4" t="s">
        <v>1309</v>
      </c>
      <c r="E790" s="8">
        <v>441275.33159999998</v>
      </c>
      <c r="F790" s="8">
        <v>193008.09286666664</v>
      </c>
      <c r="G790" s="8">
        <v>245.95066666666665</v>
      </c>
      <c r="H790" s="13" t="s">
        <v>283</v>
      </c>
      <c r="I790" s="13" t="s">
        <v>1361</v>
      </c>
      <c r="J790" s="5" t="s">
        <v>1408</v>
      </c>
      <c r="K790" s="5" t="s">
        <v>1409</v>
      </c>
      <c r="L790" s="5" t="s">
        <v>1407</v>
      </c>
      <c r="M790" s="3">
        <f t="shared" si="75"/>
        <v>7.1800000034272671E-2</v>
      </c>
      <c r="N790" s="3">
        <f t="shared" si="75"/>
        <v>-8.2166666630655527E-2</v>
      </c>
      <c r="O790" s="3">
        <f t="shared" si="70"/>
        <v>0.12306666666665933</v>
      </c>
      <c r="P790">
        <f t="shared" si="76"/>
        <v>5.1552400049215555E-3</v>
      </c>
      <c r="Q790">
        <f t="shared" si="76"/>
        <v>6.7513611051932803E-3</v>
      </c>
      <c r="R790">
        <f t="shared" si="76"/>
        <v>1.5145404444442638E-2</v>
      </c>
      <c r="S790">
        <f t="shared" si="71"/>
        <v>1.1906601110114837E-2</v>
      </c>
      <c r="T790">
        <f t="shared" si="72"/>
        <v>0.10911737309024093</v>
      </c>
    </row>
    <row r="791" spans="1:20" x14ac:dyDescent="0.3">
      <c r="A791" s="2" t="s">
        <v>1305</v>
      </c>
      <c r="B791" s="4" t="s">
        <v>1314</v>
      </c>
      <c r="C791" s="2" t="s">
        <v>1308</v>
      </c>
      <c r="D791" s="4" t="s">
        <v>1310</v>
      </c>
      <c r="E791" s="8">
        <v>441275.26383333327</v>
      </c>
      <c r="F791" s="8">
        <v>193008.10250000001</v>
      </c>
      <c r="G791" s="8">
        <v>246.16033333333334</v>
      </c>
      <c r="H791" s="13" t="s">
        <v>42</v>
      </c>
      <c r="I791" s="13" t="s">
        <v>1362</v>
      </c>
      <c r="J791" s="5" t="s">
        <v>1408</v>
      </c>
      <c r="K791" s="5" t="s">
        <v>1409</v>
      </c>
      <c r="L791" s="5" t="s">
        <v>1407</v>
      </c>
      <c r="M791" s="3">
        <f t="shared" si="75"/>
        <v>0.13956666673766449</v>
      </c>
      <c r="N791" s="3">
        <f t="shared" si="75"/>
        <v>-9.1799999994691461E-2</v>
      </c>
      <c r="O791" s="3">
        <f t="shared" si="70"/>
        <v>0.33273333333335131</v>
      </c>
      <c r="P791">
        <f t="shared" si="76"/>
        <v>1.9478854464262303E-2</v>
      </c>
      <c r="Q791">
        <f t="shared" si="76"/>
        <v>8.4272399990253516E-3</v>
      </c>
      <c r="R791">
        <f t="shared" si="76"/>
        <v>0.11071147111112307</v>
      </c>
      <c r="S791">
        <f t="shared" si="71"/>
        <v>2.7906094463287654E-2</v>
      </c>
      <c r="T791">
        <f t="shared" si="72"/>
        <v>0.16705117318740284</v>
      </c>
    </row>
    <row r="792" spans="1:20" x14ac:dyDescent="0.3">
      <c r="A792" s="2" t="s">
        <v>1305</v>
      </c>
      <c r="B792" s="4" t="s">
        <v>1315</v>
      </c>
      <c r="C792" s="2" t="s">
        <v>20</v>
      </c>
      <c r="D792" s="2" t="s">
        <v>30</v>
      </c>
      <c r="E792" s="8">
        <v>437849.36359999998</v>
      </c>
      <c r="F792" s="8">
        <v>214156.7396</v>
      </c>
      <c r="G792" s="8">
        <v>255.33333333333334</v>
      </c>
      <c r="H792" s="8"/>
      <c r="I792" s="8"/>
      <c r="J792" s="5" t="s">
        <v>1410</v>
      </c>
      <c r="K792" s="5" t="s">
        <v>1411</v>
      </c>
      <c r="L792" s="5" t="s">
        <v>1412</v>
      </c>
      <c r="M792" s="3">
        <f t="shared" si="75"/>
        <v>-8.0999999772757292E-3</v>
      </c>
      <c r="N792" s="3">
        <f t="shared" si="75"/>
        <v>-1.5500000008614734E-2</v>
      </c>
      <c r="O792" s="3">
        <f t="shared" si="70"/>
        <v>5.9333333333313476E-3</v>
      </c>
      <c r="P792">
        <f t="shared" si="76"/>
        <v>6.5609999631866813E-5</v>
      </c>
      <c r="Q792">
        <f t="shared" si="76"/>
        <v>2.4025000026705676E-4</v>
      </c>
      <c r="R792">
        <f t="shared" si="76"/>
        <v>3.5204444444420879E-5</v>
      </c>
      <c r="S792">
        <f t="shared" si="71"/>
        <v>3.0585999989892355E-4</v>
      </c>
      <c r="T792">
        <f t="shared" si="72"/>
        <v>1.7488853590184907E-2</v>
      </c>
    </row>
    <row r="793" spans="1:20" x14ac:dyDescent="0.3">
      <c r="A793" s="2" t="s">
        <v>1305</v>
      </c>
      <c r="B793" s="4" t="s">
        <v>1315</v>
      </c>
      <c r="C793" s="2" t="s">
        <v>20</v>
      </c>
      <c r="D793" s="2" t="s">
        <v>21</v>
      </c>
      <c r="E793" s="8">
        <v>437849.3584333334</v>
      </c>
      <c r="F793" s="8">
        <v>214156.74136666665</v>
      </c>
      <c r="G793" s="8">
        <v>255.32333333333335</v>
      </c>
      <c r="H793" s="8"/>
      <c r="I793" s="8"/>
      <c r="J793" s="5" t="s">
        <v>1410</v>
      </c>
      <c r="K793" s="5" t="s">
        <v>1411</v>
      </c>
      <c r="L793" s="5" t="s">
        <v>1412</v>
      </c>
      <c r="M793" s="3">
        <f t="shared" si="75"/>
        <v>-2.9333333950489759E-3</v>
      </c>
      <c r="N793" s="3">
        <f t="shared" si="75"/>
        <v>-1.7266666662180796E-2</v>
      </c>
      <c r="O793" s="3">
        <f t="shared" si="70"/>
        <v>4.0666666666595574E-3</v>
      </c>
      <c r="P793">
        <f t="shared" si="76"/>
        <v>8.6044448065095516E-6</v>
      </c>
      <c r="Q793">
        <f t="shared" si="76"/>
        <v>2.981377776228657E-4</v>
      </c>
      <c r="R793">
        <f t="shared" si="76"/>
        <v>1.6537777777719956E-5</v>
      </c>
      <c r="S793">
        <f t="shared" si="71"/>
        <v>3.0674222242937525E-4</v>
      </c>
      <c r="T793">
        <f t="shared" si="72"/>
        <v>1.7514057851605244E-2</v>
      </c>
    </row>
    <row r="794" spans="1:20" x14ac:dyDescent="0.3">
      <c r="A794" s="2" t="s">
        <v>1305</v>
      </c>
      <c r="B794" s="4" t="s">
        <v>1316</v>
      </c>
      <c r="C794" s="2" t="s">
        <v>20</v>
      </c>
      <c r="D794" s="2" t="s">
        <v>110</v>
      </c>
      <c r="E794" s="8">
        <v>437849.36686666665</v>
      </c>
      <c r="F794" s="8">
        <v>214156.74753333334</v>
      </c>
      <c r="G794" s="8">
        <v>255.31500000000003</v>
      </c>
      <c r="H794" s="8"/>
      <c r="I794" s="8"/>
      <c r="J794" s="5" t="s">
        <v>1413</v>
      </c>
      <c r="K794" s="5" t="s">
        <v>1414</v>
      </c>
      <c r="L794" s="5" t="s">
        <v>1412</v>
      </c>
      <c r="M794" s="3">
        <f t="shared" si="75"/>
        <v>-1.1366666643880308E-2</v>
      </c>
      <c r="N794" s="3">
        <f t="shared" si="75"/>
        <v>-2.3433333350112662E-2</v>
      </c>
      <c r="O794" s="3">
        <f t="shared" si="70"/>
        <v>1.2399999999985312E-2</v>
      </c>
      <c r="P794">
        <f t="shared" si="76"/>
        <v>1.292011105931012E-4</v>
      </c>
      <c r="Q794">
        <f t="shared" si="76"/>
        <v>5.4912111189750229E-4</v>
      </c>
      <c r="R794">
        <f t="shared" si="76"/>
        <v>1.5375999999963573E-4</v>
      </c>
      <c r="S794">
        <f t="shared" si="71"/>
        <v>6.783222224906035E-4</v>
      </c>
      <c r="T794">
        <f t="shared" si="72"/>
        <v>2.6044619837705511E-2</v>
      </c>
    </row>
    <row r="795" spans="1:20" x14ac:dyDescent="0.3">
      <c r="A795" s="2" t="s">
        <v>1305</v>
      </c>
      <c r="B795" s="4" t="s">
        <v>1316</v>
      </c>
      <c r="C795" s="2" t="s">
        <v>20</v>
      </c>
      <c r="D795" s="4" t="s">
        <v>37</v>
      </c>
      <c r="E795" s="8">
        <v>437849.32459999999</v>
      </c>
      <c r="F795" s="8">
        <v>214156.73549999998</v>
      </c>
      <c r="G795" s="8">
        <v>255.24099999999999</v>
      </c>
      <c r="H795" s="8"/>
      <c r="I795" s="8"/>
      <c r="J795" s="5" t="s">
        <v>1413</v>
      </c>
      <c r="K795" s="5" t="s">
        <v>1414</v>
      </c>
      <c r="L795" s="5" t="s">
        <v>1412</v>
      </c>
      <c r="M795" s="3">
        <f t="shared" si="75"/>
        <v>3.0900000012479722E-2</v>
      </c>
      <c r="N795" s="3">
        <f t="shared" si="75"/>
        <v>-1.1399999988498166E-2</v>
      </c>
      <c r="O795" s="3">
        <f t="shared" si="70"/>
        <v>8.6400000000026012E-2</v>
      </c>
      <c r="P795">
        <f t="shared" si="76"/>
        <v>9.5481000077124684E-4</v>
      </c>
      <c r="Q795">
        <f t="shared" si="76"/>
        <v>1.299599997377582E-4</v>
      </c>
      <c r="R795">
        <f t="shared" si="76"/>
        <v>7.4649600000044952E-3</v>
      </c>
      <c r="S795">
        <f t="shared" si="71"/>
        <v>1.084770000509005E-3</v>
      </c>
      <c r="T795">
        <f t="shared" si="72"/>
        <v>3.2935846740428661E-2</v>
      </c>
    </row>
    <row r="796" spans="1:20" x14ac:dyDescent="0.3">
      <c r="A796" s="2" t="s">
        <v>1305</v>
      </c>
      <c r="B796" s="4" t="s">
        <v>1316</v>
      </c>
      <c r="C796" s="2" t="s">
        <v>20</v>
      </c>
      <c r="D796" s="4" t="s">
        <v>46</v>
      </c>
      <c r="E796" s="8">
        <v>437849.35073333333</v>
      </c>
      <c r="F796" s="8">
        <v>214156.73963333332</v>
      </c>
      <c r="G796" s="8">
        <v>255.33</v>
      </c>
      <c r="H796" s="8"/>
      <c r="I796" s="8"/>
      <c r="J796" s="5" t="s">
        <v>1413</v>
      </c>
      <c r="K796" s="5" t="s">
        <v>1414</v>
      </c>
      <c r="L796" s="5" t="s">
        <v>1412</v>
      </c>
      <c r="M796" s="3">
        <f t="shared" si="75"/>
        <v>4.7666666796430945E-3</v>
      </c>
      <c r="N796" s="3">
        <f t="shared" si="75"/>
        <v>-1.5533333324128762E-2</v>
      </c>
      <c r="O796" s="3">
        <f t="shared" ref="O796:O859" si="77">ABS(L796-G796)</f>
        <v>2.6000000000010459E-3</v>
      </c>
      <c r="P796">
        <f t="shared" si="76"/>
        <v>2.2721111234819724E-5</v>
      </c>
      <c r="Q796">
        <f t="shared" si="76"/>
        <v>2.412844441584891E-4</v>
      </c>
      <c r="R796">
        <f t="shared" si="76"/>
        <v>6.7600000000054385E-6</v>
      </c>
      <c r="S796">
        <f t="shared" ref="S796:S859" si="78">P796+Q796</f>
        <v>2.6400555539330881E-4</v>
      </c>
      <c r="T796">
        <f t="shared" ref="T796:T859" si="79">SQRT(S796)</f>
        <v>1.6248247763783908E-2</v>
      </c>
    </row>
    <row r="797" spans="1:20" x14ac:dyDescent="0.3">
      <c r="A797" s="2" t="s">
        <v>1305</v>
      </c>
      <c r="B797" s="4" t="s">
        <v>1316</v>
      </c>
      <c r="C797" s="2" t="s">
        <v>51</v>
      </c>
      <c r="D797" s="2" t="s">
        <v>63</v>
      </c>
      <c r="E797" s="8">
        <v>437849.36200000002</v>
      </c>
      <c r="F797" s="8">
        <v>214156.7372</v>
      </c>
      <c r="G797" s="8">
        <v>255.273</v>
      </c>
      <c r="H797" s="8"/>
      <c r="I797" s="8"/>
      <c r="J797" s="5" t="s">
        <v>1413</v>
      </c>
      <c r="K797" s="5" t="s">
        <v>1414</v>
      </c>
      <c r="L797" s="5" t="s">
        <v>1412</v>
      </c>
      <c r="M797" s="3">
        <f t="shared" si="75"/>
        <v>-6.5000000176951289E-3</v>
      </c>
      <c r="N797" s="3">
        <f t="shared" si="75"/>
        <v>-1.3100000011036173E-2</v>
      </c>
      <c r="O797" s="3">
        <f t="shared" si="77"/>
        <v>5.4400000000015325E-2</v>
      </c>
      <c r="P797">
        <f t="shared" si="76"/>
        <v>4.2250000230036676E-5</v>
      </c>
      <c r="Q797">
        <f t="shared" si="76"/>
        <v>1.7161000028914771E-4</v>
      </c>
      <c r="R797">
        <f t="shared" si="76"/>
        <v>2.9593600000016674E-3</v>
      </c>
      <c r="S797">
        <f t="shared" si="78"/>
        <v>2.1386000051918437E-4</v>
      </c>
      <c r="T797">
        <f t="shared" si="79"/>
        <v>1.4623952971723629E-2</v>
      </c>
    </row>
    <row r="798" spans="1:20" x14ac:dyDescent="0.3">
      <c r="A798" s="2" t="s">
        <v>1305</v>
      </c>
      <c r="B798" s="4" t="s">
        <v>1316</v>
      </c>
      <c r="C798" s="2" t="s">
        <v>51</v>
      </c>
      <c r="D798" s="2" t="s">
        <v>30</v>
      </c>
      <c r="E798" s="8">
        <v>437849.35066666669</v>
      </c>
      <c r="F798" s="8">
        <v>214156.72936666667</v>
      </c>
      <c r="G798" s="8">
        <v>255.27633333333335</v>
      </c>
      <c r="H798" s="8"/>
      <c r="I798" s="8"/>
      <c r="J798" s="5" t="s">
        <v>1413</v>
      </c>
      <c r="K798" s="5" t="s">
        <v>1414</v>
      </c>
      <c r="L798" s="5" t="s">
        <v>1412</v>
      </c>
      <c r="M798" s="3">
        <f t="shared" si="75"/>
        <v>4.8333333106711507E-3</v>
      </c>
      <c r="N798" s="3">
        <f t="shared" si="75"/>
        <v>-5.2666666742879897E-3</v>
      </c>
      <c r="O798" s="3">
        <f t="shared" si="77"/>
        <v>5.1066666666656602E-2</v>
      </c>
      <c r="P798">
        <f t="shared" si="76"/>
        <v>2.3361110892043346E-5</v>
      </c>
      <c r="Q798">
        <f t="shared" si="76"/>
        <v>2.7737777858055713E-5</v>
      </c>
      <c r="R798">
        <f t="shared" si="76"/>
        <v>2.6078044444434166E-3</v>
      </c>
      <c r="S798">
        <f t="shared" si="78"/>
        <v>5.1098888750099059E-5</v>
      </c>
      <c r="T798">
        <f t="shared" si="79"/>
        <v>7.1483486729523107E-3</v>
      </c>
    </row>
    <row r="799" spans="1:20" x14ac:dyDescent="0.3">
      <c r="A799" s="2" t="s">
        <v>1305</v>
      </c>
      <c r="B799" s="4" t="s">
        <v>1316</v>
      </c>
      <c r="C799" s="2" t="s">
        <v>57</v>
      </c>
      <c r="D799" s="4" t="s">
        <v>52</v>
      </c>
      <c r="E799" s="8">
        <v>437849.34950000001</v>
      </c>
      <c r="F799" s="8">
        <v>214156.72996666667</v>
      </c>
      <c r="G799" s="8">
        <v>255.27966666666666</v>
      </c>
      <c r="H799" s="8"/>
      <c r="I799" s="8"/>
      <c r="J799" s="5" t="s">
        <v>1413</v>
      </c>
      <c r="K799" s="5" t="s">
        <v>1414</v>
      </c>
      <c r="L799" s="5" t="s">
        <v>1412</v>
      </c>
      <c r="M799" s="3">
        <f t="shared" si="75"/>
        <v>5.9999999939464033E-3</v>
      </c>
      <c r="N799" s="3">
        <f t="shared" si="75"/>
        <v>-5.8666666736826301E-3</v>
      </c>
      <c r="O799" s="3">
        <f t="shared" si="77"/>
        <v>4.7733333333354722E-2</v>
      </c>
      <c r="P799">
        <f t="shared" si="76"/>
        <v>3.5999999927356836E-5</v>
      </c>
      <c r="Q799">
        <f t="shared" si="76"/>
        <v>3.4417777860098415E-5</v>
      </c>
      <c r="R799">
        <f t="shared" si="76"/>
        <v>2.2784711111131532E-3</v>
      </c>
      <c r="S799">
        <f t="shared" si="78"/>
        <v>7.0417777787455251E-5</v>
      </c>
      <c r="T799">
        <f t="shared" si="79"/>
        <v>8.3915301219417218E-3</v>
      </c>
    </row>
    <row r="800" spans="1:20" x14ac:dyDescent="0.3">
      <c r="A800" s="2" t="s">
        <v>1305</v>
      </c>
      <c r="B800" s="4" t="s">
        <v>1316</v>
      </c>
      <c r="C800" s="2" t="s">
        <v>1308</v>
      </c>
      <c r="D800" s="4" t="s">
        <v>1309</v>
      </c>
      <c r="E800" s="8">
        <v>437849.33969999995</v>
      </c>
      <c r="F800" s="8">
        <v>214156.74266666666</v>
      </c>
      <c r="G800" s="8">
        <v>255.44899999999998</v>
      </c>
      <c r="H800" s="8"/>
      <c r="I800" s="8"/>
      <c r="J800" s="5" t="s">
        <v>1413</v>
      </c>
      <c r="K800" s="5" t="s">
        <v>1414</v>
      </c>
      <c r="L800" s="5" t="s">
        <v>1412</v>
      </c>
      <c r="M800" s="3">
        <f t="shared" si="75"/>
        <v>1.58000000519678E-2</v>
      </c>
      <c r="N800" s="3">
        <f t="shared" si="75"/>
        <v>-1.8566666665719822E-2</v>
      </c>
      <c r="O800" s="3">
        <f t="shared" si="77"/>
        <v>0.1215999999999724</v>
      </c>
      <c r="P800">
        <f t="shared" si="76"/>
        <v>2.4964000164218246E-4</v>
      </c>
      <c r="Q800">
        <f t="shared" si="76"/>
        <v>3.4472111107595164E-4</v>
      </c>
      <c r="R800">
        <f t="shared" si="76"/>
        <v>1.4786559999993287E-2</v>
      </c>
      <c r="S800">
        <f t="shared" si="78"/>
        <v>5.9436111271813415E-4</v>
      </c>
      <c r="T800">
        <f t="shared" si="79"/>
        <v>2.4379522405456062E-2</v>
      </c>
    </row>
    <row r="801" spans="1:20" x14ac:dyDescent="0.3">
      <c r="A801" s="2" t="s">
        <v>1305</v>
      </c>
      <c r="B801" s="4" t="s">
        <v>1316</v>
      </c>
      <c r="C801" s="2" t="s">
        <v>1317</v>
      </c>
      <c r="D801" s="4" t="s">
        <v>1310</v>
      </c>
      <c r="E801" s="8">
        <v>437849.35246666666</v>
      </c>
      <c r="F801" s="8">
        <v>214156.74103333335</v>
      </c>
      <c r="G801" s="8">
        <v>255.45000000000002</v>
      </c>
      <c r="H801" s="8"/>
      <c r="I801" s="8"/>
      <c r="J801" s="5" t="s">
        <v>1413</v>
      </c>
      <c r="K801" s="5" t="s">
        <v>1414</v>
      </c>
      <c r="L801" s="5" t="s">
        <v>1412</v>
      </c>
      <c r="M801" s="3">
        <f t="shared" si="75"/>
        <v>3.0333333415910602E-3</v>
      </c>
      <c r="N801" s="3">
        <f t="shared" si="75"/>
        <v>-1.6933333361521363E-2</v>
      </c>
      <c r="O801" s="3">
        <f t="shared" si="77"/>
        <v>0.12260000000000559</v>
      </c>
      <c r="P801">
        <f t="shared" si="76"/>
        <v>9.2011111612079873E-6</v>
      </c>
      <c r="Q801">
        <f t="shared" si="76"/>
        <v>2.8673777873241239E-4</v>
      </c>
      <c r="R801">
        <f t="shared" si="76"/>
        <v>1.5030760000001371E-2</v>
      </c>
      <c r="S801">
        <f t="shared" si="78"/>
        <v>2.9593888989362037E-4</v>
      </c>
      <c r="T801">
        <f t="shared" si="79"/>
        <v>1.7202874466019345E-2</v>
      </c>
    </row>
    <row r="802" spans="1:20" x14ac:dyDescent="0.3">
      <c r="A802" s="2" t="s">
        <v>1305</v>
      </c>
      <c r="B802" s="2" t="s">
        <v>1318</v>
      </c>
      <c r="C802" s="2" t="s">
        <v>20</v>
      </c>
      <c r="D802" s="2" t="s">
        <v>30</v>
      </c>
      <c r="E802" s="8">
        <v>432381.15123333334</v>
      </c>
      <c r="F802" s="8">
        <v>213715.92379999999</v>
      </c>
      <c r="G802" s="8">
        <v>364.11933333333332</v>
      </c>
      <c r="H802" s="13" t="s">
        <v>1363</v>
      </c>
      <c r="I802" s="13" t="s">
        <v>1364</v>
      </c>
      <c r="J802" s="5" t="s">
        <v>1415</v>
      </c>
      <c r="K802" s="5" t="s">
        <v>1416</v>
      </c>
      <c r="L802" s="5" t="s">
        <v>1417</v>
      </c>
      <c r="M802" s="3">
        <f t="shared" si="75"/>
        <v>0.14076666667824611</v>
      </c>
      <c r="N802" s="3">
        <f t="shared" si="75"/>
        <v>0.32710000002407469</v>
      </c>
      <c r="O802" s="3">
        <f t="shared" si="77"/>
        <v>0.29616666666669289</v>
      </c>
      <c r="P802">
        <f t="shared" si="76"/>
        <v>1.9815254447704444E-2</v>
      </c>
      <c r="Q802">
        <f t="shared" si="76"/>
        <v>0.10699441001574966</v>
      </c>
      <c r="R802">
        <f t="shared" si="76"/>
        <v>8.7714694444459979E-2</v>
      </c>
      <c r="S802">
        <f t="shared" si="78"/>
        <v>0.1268096644634541</v>
      </c>
      <c r="T802">
        <f t="shared" si="79"/>
        <v>0.35610344629539054</v>
      </c>
    </row>
    <row r="803" spans="1:20" x14ac:dyDescent="0.3">
      <c r="A803" s="2" t="s">
        <v>1305</v>
      </c>
      <c r="B803" s="2" t="s">
        <v>1319</v>
      </c>
      <c r="C803" s="2" t="s">
        <v>20</v>
      </c>
      <c r="D803" s="2" t="s">
        <v>21</v>
      </c>
      <c r="E803" s="8">
        <v>432381.39353333338</v>
      </c>
      <c r="F803" s="8">
        <v>213715.91116666666</v>
      </c>
      <c r="G803" s="8">
        <v>364.32366666666667</v>
      </c>
      <c r="H803" s="13" t="s">
        <v>1365</v>
      </c>
      <c r="I803" s="13" t="s">
        <v>1366</v>
      </c>
      <c r="J803" s="5" t="s">
        <v>1415</v>
      </c>
      <c r="K803" s="5" t="s">
        <v>1416</v>
      </c>
      <c r="L803" s="5" t="s">
        <v>1417</v>
      </c>
      <c r="M803" s="3">
        <f t="shared" si="75"/>
        <v>-0.10153333336347714</v>
      </c>
      <c r="N803" s="3">
        <f t="shared" si="75"/>
        <v>0.33973333335597999</v>
      </c>
      <c r="O803" s="3">
        <f t="shared" si="77"/>
        <v>9.1833333333340761E-2</v>
      </c>
      <c r="P803">
        <f t="shared" si="76"/>
        <v>1.0309017783898981E-2</v>
      </c>
      <c r="Q803">
        <f t="shared" si="76"/>
        <v>0.11541873779316543</v>
      </c>
      <c r="R803">
        <f t="shared" si="76"/>
        <v>8.4333611111124755E-3</v>
      </c>
      <c r="S803">
        <f t="shared" si="78"/>
        <v>0.12572775557706442</v>
      </c>
      <c r="T803">
        <f t="shared" si="79"/>
        <v>0.35458109873069155</v>
      </c>
    </row>
    <row r="804" spans="1:20" x14ac:dyDescent="0.3">
      <c r="A804" s="2" t="s">
        <v>1305</v>
      </c>
      <c r="B804" s="2" t="s">
        <v>1319</v>
      </c>
      <c r="C804" s="2" t="s">
        <v>20</v>
      </c>
      <c r="D804" s="2" t="s">
        <v>110</v>
      </c>
      <c r="E804" s="8">
        <v>432380.8946</v>
      </c>
      <c r="F804" s="8">
        <v>213715.6655</v>
      </c>
      <c r="G804" s="8">
        <v>366.46899999999999</v>
      </c>
      <c r="H804" s="13" t="s">
        <v>1367</v>
      </c>
      <c r="I804" s="13" t="s">
        <v>1368</v>
      </c>
      <c r="J804" s="5" t="s">
        <v>1418</v>
      </c>
      <c r="K804" s="5" t="s">
        <v>1419</v>
      </c>
      <c r="L804" s="5" t="s">
        <v>1417</v>
      </c>
      <c r="M804" s="3">
        <f t="shared" si="75"/>
        <v>0.39740000001620501</v>
      </c>
      <c r="N804" s="3">
        <f t="shared" si="75"/>
        <v>0.58540000001084991</v>
      </c>
      <c r="O804" s="3">
        <f t="shared" si="77"/>
        <v>2.0534999999999854</v>
      </c>
      <c r="P804">
        <f t="shared" si="76"/>
        <v>0.15792676001287975</v>
      </c>
      <c r="Q804">
        <f t="shared" si="76"/>
        <v>0.34269316001270306</v>
      </c>
      <c r="R804">
        <f t="shared" si="76"/>
        <v>4.2168622499999406</v>
      </c>
      <c r="S804">
        <f t="shared" si="78"/>
        <v>0.50061992002558275</v>
      </c>
      <c r="T804">
        <f t="shared" si="79"/>
        <v>0.70754499505372992</v>
      </c>
    </row>
    <row r="805" spans="1:20" x14ac:dyDescent="0.3">
      <c r="A805" s="2" t="s">
        <v>1305</v>
      </c>
      <c r="B805" s="2" t="s">
        <v>1319</v>
      </c>
      <c r="C805" s="2" t="s">
        <v>20</v>
      </c>
      <c r="D805" s="4" t="s">
        <v>37</v>
      </c>
      <c r="E805" s="8">
        <v>432381.23016666668</v>
      </c>
      <c r="F805" s="8">
        <v>213716.40590000001</v>
      </c>
      <c r="G805" s="8">
        <v>364.54866666666663</v>
      </c>
      <c r="H805" s="13" t="s">
        <v>1369</v>
      </c>
      <c r="I805" s="13" t="s">
        <v>1370</v>
      </c>
      <c r="J805" s="5" t="s">
        <v>1418</v>
      </c>
      <c r="K805" s="5" t="s">
        <v>1419</v>
      </c>
      <c r="L805" s="5" t="s">
        <v>1417</v>
      </c>
      <c r="M805" s="3">
        <f t="shared" si="75"/>
        <v>6.1833333340473473E-2</v>
      </c>
      <c r="N805" s="3">
        <f t="shared" si="75"/>
        <v>-0.15499999999883585</v>
      </c>
      <c r="O805" s="3">
        <f t="shared" si="77"/>
        <v>0.13316666666662513</v>
      </c>
      <c r="P805">
        <f t="shared" si="76"/>
        <v>3.8233611119941084E-3</v>
      </c>
      <c r="Q805">
        <f t="shared" si="76"/>
        <v>2.4024999999639113E-2</v>
      </c>
      <c r="R805">
        <f t="shared" si="76"/>
        <v>1.7733361111100049E-2</v>
      </c>
      <c r="S805">
        <f t="shared" si="78"/>
        <v>2.7848361111633222E-2</v>
      </c>
      <c r="T805">
        <f t="shared" si="79"/>
        <v>0.16687828232467286</v>
      </c>
    </row>
    <row r="806" spans="1:20" x14ac:dyDescent="0.3">
      <c r="A806" s="2" t="s">
        <v>1305</v>
      </c>
      <c r="B806" s="2" t="s">
        <v>1319</v>
      </c>
      <c r="C806" s="2" t="s">
        <v>20</v>
      </c>
      <c r="D806" s="4" t="s">
        <v>46</v>
      </c>
      <c r="E806" s="8">
        <v>432381.29366666666</v>
      </c>
      <c r="F806" s="8">
        <v>213716.29663333332</v>
      </c>
      <c r="G806" s="8">
        <v>364.41800000000006</v>
      </c>
      <c r="H806" s="8"/>
      <c r="I806" s="8"/>
      <c r="J806" s="5" t="s">
        <v>1418</v>
      </c>
      <c r="K806" s="5" t="s">
        <v>1419</v>
      </c>
      <c r="L806" s="5" t="s">
        <v>1417</v>
      </c>
      <c r="M806" s="3">
        <f t="shared" si="75"/>
        <v>-1.6666666488163173E-3</v>
      </c>
      <c r="N806" s="3">
        <f t="shared" si="75"/>
        <v>-4.5733333303360268E-2</v>
      </c>
      <c r="O806" s="3">
        <f t="shared" si="77"/>
        <v>2.5000000000545697E-3</v>
      </c>
      <c r="P806">
        <f t="shared" si="76"/>
        <v>2.7777777182766136E-6</v>
      </c>
      <c r="Q806">
        <f t="shared" si="76"/>
        <v>2.0915377750362414E-3</v>
      </c>
      <c r="R806">
        <f t="shared" si="76"/>
        <v>6.2500000002728482E-6</v>
      </c>
      <c r="S806">
        <f t="shared" si="78"/>
        <v>2.0943155527545182E-3</v>
      </c>
      <c r="T806">
        <f t="shared" si="79"/>
        <v>4.5763692516606634E-2</v>
      </c>
    </row>
    <row r="807" spans="1:20" x14ac:dyDescent="0.3">
      <c r="A807" s="2" t="s">
        <v>1305</v>
      </c>
      <c r="B807" s="2" t="s">
        <v>1319</v>
      </c>
      <c r="C807" s="2" t="s">
        <v>51</v>
      </c>
      <c r="D807" s="2" t="s">
        <v>63</v>
      </c>
      <c r="E807" s="8">
        <v>432381.2361333333</v>
      </c>
      <c r="F807" s="8">
        <v>213716.33516666666</v>
      </c>
      <c r="G807" s="8">
        <v>364.41833333333335</v>
      </c>
      <c r="H807" s="13" t="s">
        <v>1371</v>
      </c>
      <c r="I807" s="13" t="s">
        <v>1372</v>
      </c>
      <c r="J807" s="5" t="s">
        <v>1418</v>
      </c>
      <c r="K807" s="5" t="s">
        <v>1419</v>
      </c>
      <c r="L807" s="5" t="s">
        <v>1417</v>
      </c>
      <c r="M807" s="3">
        <f t="shared" si="75"/>
        <v>5.5866666720248759E-2</v>
      </c>
      <c r="N807" s="3">
        <f t="shared" si="75"/>
        <v>-8.4266666643088683E-2</v>
      </c>
      <c r="O807" s="3">
        <f t="shared" si="77"/>
        <v>2.8333333333421251E-3</v>
      </c>
      <c r="P807">
        <f t="shared" si="76"/>
        <v>3.1210844504313503E-3</v>
      </c>
      <c r="Q807">
        <f t="shared" si="76"/>
        <v>7.1008711071374351E-3</v>
      </c>
      <c r="R807">
        <f t="shared" si="76"/>
        <v>8.0277777778275976E-6</v>
      </c>
      <c r="S807">
        <f t="shared" si="78"/>
        <v>1.0221955557568786E-2</v>
      </c>
      <c r="T807">
        <f t="shared" si="79"/>
        <v>0.10110368716109609</v>
      </c>
    </row>
    <row r="808" spans="1:20" x14ac:dyDescent="0.3">
      <c r="A808" s="2" t="s">
        <v>1305</v>
      </c>
      <c r="B808" s="2" t="s">
        <v>1319</v>
      </c>
      <c r="C808" s="2" t="s">
        <v>51</v>
      </c>
      <c r="D808" s="2" t="s">
        <v>30</v>
      </c>
      <c r="E808" s="8">
        <v>432381.45526666666</v>
      </c>
      <c r="F808" s="8">
        <v>213716.21623333334</v>
      </c>
      <c r="G808" s="8">
        <v>364.73099999999999</v>
      </c>
      <c r="H808" s="8"/>
      <c r="I808" s="8"/>
      <c r="J808" s="5" t="s">
        <v>1418</v>
      </c>
      <c r="K808" s="5" t="s">
        <v>1419</v>
      </c>
      <c r="L808" s="5" t="s">
        <v>1417</v>
      </c>
      <c r="M808" s="3">
        <f t="shared" si="75"/>
        <v>-0.16326666664099321</v>
      </c>
      <c r="N808" s="3">
        <f t="shared" si="75"/>
        <v>3.4666666673729196E-2</v>
      </c>
      <c r="O808" s="3">
        <f t="shared" si="77"/>
        <v>0.3154999999999859</v>
      </c>
      <c r="P808">
        <f t="shared" si="76"/>
        <v>2.6656004436061205E-2</v>
      </c>
      <c r="Q808">
        <f t="shared" si="76"/>
        <v>1.2017777782674466E-3</v>
      </c>
      <c r="R808">
        <f t="shared" si="76"/>
        <v>9.9540249999991101E-2</v>
      </c>
      <c r="S808">
        <f t="shared" si="78"/>
        <v>2.7857782214328653E-2</v>
      </c>
      <c r="T808">
        <f t="shared" si="79"/>
        <v>0.16690650740557916</v>
      </c>
    </row>
    <row r="809" spans="1:20" x14ac:dyDescent="0.3">
      <c r="A809" s="2" t="s">
        <v>1305</v>
      </c>
      <c r="B809" s="2" t="s">
        <v>1319</v>
      </c>
      <c r="C809" s="2" t="s">
        <v>57</v>
      </c>
      <c r="D809" s="4" t="s">
        <v>52</v>
      </c>
      <c r="E809" s="8">
        <v>432381.28169999999</v>
      </c>
      <c r="F809" s="8">
        <v>213716.28903333331</v>
      </c>
      <c r="G809" s="8">
        <v>364.38266666666669</v>
      </c>
      <c r="H809" s="8"/>
      <c r="I809" s="8"/>
      <c r="J809" s="5" t="s">
        <v>1418</v>
      </c>
      <c r="K809" s="5" t="s">
        <v>1419</v>
      </c>
      <c r="L809" s="5" t="s">
        <v>1417</v>
      </c>
      <c r="M809" s="3">
        <f t="shared" si="75"/>
        <v>1.0300000023562461E-2</v>
      </c>
      <c r="N809" s="3">
        <f t="shared" si="75"/>
        <v>-3.8133333291625604E-2</v>
      </c>
      <c r="O809" s="3">
        <f t="shared" si="77"/>
        <v>3.283333333331484E-2</v>
      </c>
      <c r="P809">
        <f t="shared" si="76"/>
        <v>1.060900004853867E-4</v>
      </c>
      <c r="Q809">
        <f t="shared" si="76"/>
        <v>1.4541511079302015E-3</v>
      </c>
      <c r="R809">
        <f t="shared" si="76"/>
        <v>1.0780277777765635E-3</v>
      </c>
      <c r="S809">
        <f t="shared" si="78"/>
        <v>1.5602411084155883E-3</v>
      </c>
      <c r="T809">
        <f t="shared" si="79"/>
        <v>3.9499887448138232E-2</v>
      </c>
    </row>
    <row r="810" spans="1:20" x14ac:dyDescent="0.3">
      <c r="A810" s="2" t="s">
        <v>1305</v>
      </c>
      <c r="B810" s="2" t="s">
        <v>1319</v>
      </c>
      <c r="C810" s="2" t="s">
        <v>1308</v>
      </c>
      <c r="D810" s="4" t="s">
        <v>1309</v>
      </c>
      <c r="E810" s="8">
        <v>432381.2601666667</v>
      </c>
      <c r="F810" s="8">
        <v>213716.28599999999</v>
      </c>
      <c r="G810" s="8">
        <v>364.40266666666668</v>
      </c>
      <c r="H810" s="8"/>
      <c r="I810" s="8"/>
      <c r="J810" s="5" t="s">
        <v>1418</v>
      </c>
      <c r="K810" s="5" t="s">
        <v>1419</v>
      </c>
      <c r="L810" s="5" t="s">
        <v>1417</v>
      </c>
      <c r="M810" s="3">
        <f t="shared" si="75"/>
        <v>3.1833333312533796E-2</v>
      </c>
      <c r="N810" s="3">
        <f t="shared" si="75"/>
        <v>-3.5099999979138374E-2</v>
      </c>
      <c r="O810" s="3">
        <f t="shared" si="77"/>
        <v>1.283333333333303E-2</v>
      </c>
      <c r="P810">
        <f t="shared" si="76"/>
        <v>1.013361109786874E-3</v>
      </c>
      <c r="Q810">
        <f t="shared" si="76"/>
        <v>1.2320099985355139E-3</v>
      </c>
      <c r="R810">
        <f t="shared" si="76"/>
        <v>1.6469444444443666E-4</v>
      </c>
      <c r="S810">
        <f t="shared" si="78"/>
        <v>2.2453711083223879E-3</v>
      </c>
      <c r="T810">
        <f t="shared" si="79"/>
        <v>4.738534697902283E-2</v>
      </c>
    </row>
    <row r="811" spans="1:20" x14ac:dyDescent="0.3">
      <c r="A811" s="2" t="s">
        <v>1305</v>
      </c>
      <c r="B811" s="2" t="s">
        <v>1319</v>
      </c>
      <c r="C811" s="2" t="s">
        <v>1317</v>
      </c>
      <c r="D811" s="4" t="s">
        <v>1310</v>
      </c>
      <c r="E811" s="8">
        <v>432381.26720000006</v>
      </c>
      <c r="F811" s="8">
        <v>213716.26853333335</v>
      </c>
      <c r="G811" s="8">
        <v>364.39733333333334</v>
      </c>
      <c r="H811" s="8"/>
      <c r="I811" s="8"/>
      <c r="J811" s="5" t="s">
        <v>1418</v>
      </c>
      <c r="K811" s="5" t="s">
        <v>1419</v>
      </c>
      <c r="L811" s="5" t="s">
        <v>1417</v>
      </c>
      <c r="M811" s="3">
        <f t="shared" si="75"/>
        <v>2.4799999955575913E-2</v>
      </c>
      <c r="N811" s="3">
        <f t="shared" si="75"/>
        <v>-1.7633333336561918E-2</v>
      </c>
      <c r="O811" s="3">
        <f t="shared" si="77"/>
        <v>1.8166666666672882E-2</v>
      </c>
      <c r="P811">
        <f t="shared" si="76"/>
        <v>6.1503999779656527E-4</v>
      </c>
      <c r="Q811">
        <f t="shared" si="76"/>
        <v>3.1093444455830587E-4</v>
      </c>
      <c r="R811">
        <f t="shared" si="76"/>
        <v>3.3002777777800356E-4</v>
      </c>
      <c r="S811">
        <f t="shared" si="78"/>
        <v>9.2597444235487114E-4</v>
      </c>
      <c r="T811">
        <f t="shared" si="79"/>
        <v>3.0429828168342835E-2</v>
      </c>
    </row>
    <row r="812" spans="1:20" x14ac:dyDescent="0.3">
      <c r="A812" s="2" t="s">
        <v>1305</v>
      </c>
      <c r="B812" s="2" t="s">
        <v>1320</v>
      </c>
      <c r="C812" s="2" t="s">
        <v>20</v>
      </c>
      <c r="D812" s="2" t="s">
        <v>30</v>
      </c>
      <c r="E812" s="8">
        <v>412183.80786666664</v>
      </c>
      <c r="F812" s="8">
        <v>204633.64813333334</v>
      </c>
      <c r="G812" s="8">
        <v>545.8746666666666</v>
      </c>
      <c r="H812" s="13" t="s">
        <v>1373</v>
      </c>
      <c r="I812" s="13" t="s">
        <v>1374</v>
      </c>
      <c r="J812" s="5" t="s">
        <v>1420</v>
      </c>
      <c r="K812" s="5" t="s">
        <v>1421</v>
      </c>
      <c r="L812" s="5" t="s">
        <v>1422</v>
      </c>
      <c r="M812" s="3">
        <f t="shared" si="75"/>
        <v>-0.32166666665580124</v>
      </c>
      <c r="N812" s="3">
        <f t="shared" si="75"/>
        <v>0.83646666666027158</v>
      </c>
      <c r="O812" s="3">
        <f t="shared" si="77"/>
        <v>1.2848666666666304</v>
      </c>
      <c r="P812">
        <f t="shared" si="76"/>
        <v>0.10346944443745434</v>
      </c>
      <c r="Q812">
        <f t="shared" si="76"/>
        <v>0.69967648443374586</v>
      </c>
      <c r="R812">
        <f t="shared" si="76"/>
        <v>1.650882351111018</v>
      </c>
      <c r="S812">
        <f t="shared" si="78"/>
        <v>0.80314592887120018</v>
      </c>
      <c r="T812">
        <f t="shared" si="79"/>
        <v>0.89618409318130621</v>
      </c>
    </row>
    <row r="813" spans="1:20" x14ac:dyDescent="0.3">
      <c r="A813" s="2" t="s">
        <v>1305</v>
      </c>
      <c r="B813" s="2" t="s">
        <v>1320</v>
      </c>
      <c r="C813" s="2" t="s">
        <v>20</v>
      </c>
      <c r="D813" s="2" t="s">
        <v>21</v>
      </c>
      <c r="E813" s="8">
        <v>412183.59846666665</v>
      </c>
      <c r="F813" s="8">
        <v>204633.87333333332</v>
      </c>
      <c r="G813" s="8">
        <v>546.21799999999996</v>
      </c>
      <c r="H813" s="13" t="s">
        <v>1375</v>
      </c>
      <c r="I813" s="13" t="s">
        <v>1376</v>
      </c>
      <c r="J813" s="5" t="s">
        <v>1420</v>
      </c>
      <c r="K813" s="5" t="s">
        <v>1421</v>
      </c>
      <c r="L813" s="5" t="s">
        <v>1422</v>
      </c>
      <c r="M813" s="3">
        <f t="shared" si="75"/>
        <v>-0.11226666666334495</v>
      </c>
      <c r="N813" s="3">
        <f t="shared" si="75"/>
        <v>0.61126666667405516</v>
      </c>
      <c r="O813" s="3">
        <f t="shared" si="77"/>
        <v>1.6281999999999925</v>
      </c>
      <c r="P813">
        <f t="shared" si="76"/>
        <v>1.2603804443698609E-2</v>
      </c>
      <c r="Q813">
        <f t="shared" si="76"/>
        <v>0.37364693778681046</v>
      </c>
      <c r="R813">
        <f t="shared" si="76"/>
        <v>2.6510352399999757</v>
      </c>
      <c r="S813">
        <f t="shared" si="78"/>
        <v>0.38625074223050909</v>
      </c>
      <c r="T813">
        <f t="shared" si="79"/>
        <v>0.62149074187031061</v>
      </c>
    </row>
    <row r="814" spans="1:20" x14ac:dyDescent="0.3">
      <c r="A814" s="2" t="s">
        <v>1305</v>
      </c>
      <c r="B814" s="2" t="s">
        <v>1321</v>
      </c>
      <c r="C814" s="2" t="s">
        <v>20</v>
      </c>
      <c r="D814" s="2" t="s">
        <v>110</v>
      </c>
      <c r="E814" s="8">
        <v>412183.47993333329</v>
      </c>
      <c r="F814" s="8">
        <v>204634.43746666666</v>
      </c>
      <c r="G814" s="8">
        <v>545.07366666666655</v>
      </c>
      <c r="H814" s="13" t="s">
        <v>1377</v>
      </c>
      <c r="I814" s="13" t="s">
        <v>1378</v>
      </c>
      <c r="J814" s="5" t="s">
        <v>1423</v>
      </c>
      <c r="K814" s="5" t="s">
        <v>1424</v>
      </c>
      <c r="L814" s="5" t="s">
        <v>1422</v>
      </c>
      <c r="M814" s="3">
        <f t="shared" si="75"/>
        <v>6.2666666926816106E-3</v>
      </c>
      <c r="N814" s="3">
        <f t="shared" si="75"/>
        <v>4.713333334075287E-2</v>
      </c>
      <c r="O814" s="3">
        <f t="shared" si="77"/>
        <v>0.48386666666658584</v>
      </c>
      <c r="P814">
        <f t="shared" si="76"/>
        <v>3.9271111437165076E-5</v>
      </c>
      <c r="Q814">
        <f t="shared" si="76"/>
        <v>2.2215511118105261E-3</v>
      </c>
      <c r="R814">
        <f t="shared" si="76"/>
        <v>0.2341269511110329</v>
      </c>
      <c r="S814">
        <f t="shared" si="78"/>
        <v>2.2608222232476912E-3</v>
      </c>
      <c r="T814">
        <f t="shared" si="79"/>
        <v>4.7548104307613477E-2</v>
      </c>
    </row>
    <row r="815" spans="1:20" x14ac:dyDescent="0.3">
      <c r="A815" s="2" t="s">
        <v>1305</v>
      </c>
      <c r="B815" s="2" t="s">
        <v>1321</v>
      </c>
      <c r="C815" s="2" t="s">
        <v>20</v>
      </c>
      <c r="D815" s="4" t="s">
        <v>37</v>
      </c>
      <c r="E815" s="8">
        <v>412183.47546666668</v>
      </c>
      <c r="F815" s="8">
        <v>204634.51153333334</v>
      </c>
      <c r="G815" s="8">
        <v>544.51866666666672</v>
      </c>
      <c r="H815" s="8"/>
      <c r="I815" s="8"/>
      <c r="J815" s="5" t="s">
        <v>1423</v>
      </c>
      <c r="K815" s="5" t="s">
        <v>1424</v>
      </c>
      <c r="L815" s="5" t="s">
        <v>1422</v>
      </c>
      <c r="M815" s="3">
        <f t="shared" si="75"/>
        <v>1.0733333299867809E-2</v>
      </c>
      <c r="N815" s="3">
        <f t="shared" si="75"/>
        <v>-2.6933333341730759E-2</v>
      </c>
      <c r="O815" s="3">
        <f t="shared" si="77"/>
        <v>7.1133333333250448E-2</v>
      </c>
      <c r="P815">
        <f t="shared" si="76"/>
        <v>1.1520444372605119E-4</v>
      </c>
      <c r="Q815">
        <f t="shared" si="76"/>
        <v>7.2540444489678578E-4</v>
      </c>
      <c r="R815">
        <f t="shared" si="76"/>
        <v>5.059951111099319E-3</v>
      </c>
      <c r="S815">
        <f t="shared" si="78"/>
        <v>8.4060888862283695E-4</v>
      </c>
      <c r="T815">
        <f t="shared" si="79"/>
        <v>2.899325591620984E-2</v>
      </c>
    </row>
    <row r="816" spans="1:20" x14ac:dyDescent="0.3">
      <c r="A816" s="2" t="s">
        <v>1305</v>
      </c>
      <c r="B816" s="2" t="s">
        <v>1321</v>
      </c>
      <c r="C816" s="2" t="s">
        <v>20</v>
      </c>
      <c r="D816" s="4" t="s">
        <v>46</v>
      </c>
      <c r="E816" s="8">
        <v>412183.46579999995</v>
      </c>
      <c r="F816" s="8">
        <v>204634.5056</v>
      </c>
      <c r="G816" s="8">
        <v>544.62800000000004</v>
      </c>
      <c r="H816" s="8"/>
      <c r="I816" s="8"/>
      <c r="J816" s="5" t="s">
        <v>1423</v>
      </c>
      <c r="K816" s="5" t="s">
        <v>1424</v>
      </c>
      <c r="L816" s="5" t="s">
        <v>1422</v>
      </c>
      <c r="M816" s="3">
        <f t="shared" si="75"/>
        <v>2.0400000037625432E-2</v>
      </c>
      <c r="N816" s="3">
        <f t="shared" si="75"/>
        <v>-2.1000000007916242E-2</v>
      </c>
      <c r="O816" s="3">
        <f t="shared" si="77"/>
        <v>3.8200000000074397E-2</v>
      </c>
      <c r="P816">
        <f t="shared" si="76"/>
        <v>4.1616000153511763E-4</v>
      </c>
      <c r="Q816">
        <f t="shared" si="76"/>
        <v>4.4100000033248218E-4</v>
      </c>
      <c r="R816">
        <f t="shared" si="76"/>
        <v>1.4592400000056839E-3</v>
      </c>
      <c r="S816">
        <f t="shared" si="78"/>
        <v>8.5716000186759986E-4</v>
      </c>
      <c r="T816">
        <f t="shared" si="79"/>
        <v>2.9277294988909065E-2</v>
      </c>
    </row>
    <row r="817" spans="1:20" x14ac:dyDescent="0.3">
      <c r="A817" s="2" t="s">
        <v>1305</v>
      </c>
      <c r="B817" s="2" t="s">
        <v>1321</v>
      </c>
      <c r="C817" s="2" t="s">
        <v>51</v>
      </c>
      <c r="D817" s="2" t="s">
        <v>63</v>
      </c>
      <c r="E817" s="8">
        <v>412183.47276666667</v>
      </c>
      <c r="F817" s="8">
        <v>204633.84150000001</v>
      </c>
      <c r="G817" s="8">
        <v>545.68533333333335</v>
      </c>
      <c r="H817" s="13" t="s">
        <v>1379</v>
      </c>
      <c r="I817" s="13" t="s">
        <v>1380</v>
      </c>
      <c r="J817" s="5" t="s">
        <v>1423</v>
      </c>
      <c r="K817" s="5" t="s">
        <v>1424</v>
      </c>
      <c r="L817" s="5" t="s">
        <v>1422</v>
      </c>
      <c r="M817" s="3">
        <f t="shared" si="75"/>
        <v>1.3433333311695606E-2</v>
      </c>
      <c r="N817" s="3">
        <f t="shared" si="75"/>
        <v>0.64309999998658895</v>
      </c>
      <c r="O817" s="3">
        <f t="shared" si="77"/>
        <v>1.0955333333333783</v>
      </c>
      <c r="P817">
        <f t="shared" si="76"/>
        <v>1.8045444386311082E-4</v>
      </c>
      <c r="Q817">
        <f t="shared" si="76"/>
        <v>0.41357760998275073</v>
      </c>
      <c r="R817">
        <f t="shared" si="76"/>
        <v>1.2001932844445431</v>
      </c>
      <c r="S817">
        <f t="shared" si="78"/>
        <v>0.41375806442661384</v>
      </c>
      <c r="T817">
        <f t="shared" si="79"/>
        <v>0.64324028513970877</v>
      </c>
    </row>
    <row r="818" spans="1:20" x14ac:dyDescent="0.3">
      <c r="A818" s="2" t="s">
        <v>1305</v>
      </c>
      <c r="B818" s="2" t="s">
        <v>1321</v>
      </c>
      <c r="C818" s="2" t="s">
        <v>51</v>
      </c>
      <c r="D818" s="2" t="s">
        <v>30</v>
      </c>
      <c r="E818" s="8">
        <v>412183.76716666669</v>
      </c>
      <c r="F818" s="8">
        <v>204634.44203333333</v>
      </c>
      <c r="G818" s="8">
        <v>544.11333333333334</v>
      </c>
      <c r="H818" s="13" t="s">
        <v>1381</v>
      </c>
      <c r="I818" s="13" t="s">
        <v>1382</v>
      </c>
      <c r="J818" s="5" t="s">
        <v>1423</v>
      </c>
      <c r="K818" s="5" t="s">
        <v>1424</v>
      </c>
      <c r="L818" s="5" t="s">
        <v>1422</v>
      </c>
      <c r="M818" s="3">
        <f t="shared" si="75"/>
        <v>-0.28096666670171544</v>
      </c>
      <c r="N818" s="3">
        <f t="shared" si="75"/>
        <v>4.2566666670609266E-2</v>
      </c>
      <c r="O818" s="3">
        <f t="shared" si="77"/>
        <v>0.47646666666662441</v>
      </c>
      <c r="P818">
        <f t="shared" si="76"/>
        <v>7.8942267797472848E-2</v>
      </c>
      <c r="Q818">
        <f t="shared" si="76"/>
        <v>1.8119211114467576E-3</v>
      </c>
      <c r="R818">
        <f t="shared" si="76"/>
        <v>0.22702048444440417</v>
      </c>
      <c r="S818">
        <f t="shared" si="78"/>
        <v>8.0754188908919611E-2</v>
      </c>
      <c r="T818">
        <f t="shared" si="79"/>
        <v>0.28417281521799304</v>
      </c>
    </row>
    <row r="819" spans="1:20" x14ac:dyDescent="0.3">
      <c r="A819" s="2" t="s">
        <v>1305</v>
      </c>
      <c r="B819" s="2" t="s">
        <v>1321</v>
      </c>
      <c r="C819" s="2" t="s">
        <v>57</v>
      </c>
      <c r="D819" s="4" t="s">
        <v>52</v>
      </c>
      <c r="E819" s="8">
        <v>412183.51030000002</v>
      </c>
      <c r="F819" s="8">
        <v>204634.52143333331</v>
      </c>
      <c r="G819" s="8">
        <v>544.45766666666668</v>
      </c>
      <c r="H819" s="8"/>
      <c r="I819" s="8"/>
      <c r="J819" s="5" t="s">
        <v>1423</v>
      </c>
      <c r="K819" s="5" t="s">
        <v>1424</v>
      </c>
      <c r="L819" s="5" t="s">
        <v>1422</v>
      </c>
      <c r="M819" s="3">
        <f t="shared" si="75"/>
        <v>-2.4100000038743019E-2</v>
      </c>
      <c r="N819" s="3">
        <f t="shared" si="75"/>
        <v>-3.6833333317190409E-2</v>
      </c>
      <c r="O819" s="3">
        <f t="shared" si="77"/>
        <v>0.13213333333328592</v>
      </c>
      <c r="P819">
        <f t="shared" si="76"/>
        <v>5.8081000186741352E-4</v>
      </c>
      <c r="Q819">
        <f t="shared" si="76"/>
        <v>1.356694443255249E-3</v>
      </c>
      <c r="R819">
        <f t="shared" si="76"/>
        <v>1.7459217777765247E-2</v>
      </c>
      <c r="S819">
        <f t="shared" si="78"/>
        <v>1.9375044451226625E-3</v>
      </c>
      <c r="T819">
        <f t="shared" si="79"/>
        <v>4.4017092647318977E-2</v>
      </c>
    </row>
    <row r="820" spans="1:20" x14ac:dyDescent="0.3">
      <c r="A820" s="2" t="s">
        <v>1305</v>
      </c>
      <c r="B820" s="2" t="s">
        <v>1321</v>
      </c>
      <c r="C820" s="2" t="s">
        <v>1308</v>
      </c>
      <c r="D820" s="4" t="s">
        <v>1309</v>
      </c>
      <c r="E820" s="8">
        <v>412183.47636666667</v>
      </c>
      <c r="F820" s="8">
        <v>204634.47803333332</v>
      </c>
      <c r="G820" s="8">
        <v>544.61500000000001</v>
      </c>
      <c r="H820" s="13" t="s">
        <v>26</v>
      </c>
      <c r="I820" s="13" t="s">
        <v>329</v>
      </c>
      <c r="J820" s="5" t="s">
        <v>1423</v>
      </c>
      <c r="K820" s="5" t="s">
        <v>1424</v>
      </c>
      <c r="L820" s="5" t="s">
        <v>1422</v>
      </c>
      <c r="M820" s="3">
        <f t="shared" si="75"/>
        <v>9.8333333153277636E-3</v>
      </c>
      <c r="N820" s="3">
        <f t="shared" si="75"/>
        <v>6.5666666778270155E-3</v>
      </c>
      <c r="O820" s="3">
        <f t="shared" si="77"/>
        <v>2.5200000000040745E-2</v>
      </c>
      <c r="P820">
        <f t="shared" si="76"/>
        <v>9.6694444090334906E-5</v>
      </c>
      <c r="Q820">
        <f t="shared" si="76"/>
        <v>4.3121111257683692E-5</v>
      </c>
      <c r="R820">
        <f t="shared" si="76"/>
        <v>6.3504000000205361E-4</v>
      </c>
      <c r="S820">
        <f t="shared" si="78"/>
        <v>1.398155553480186E-4</v>
      </c>
      <c r="T820">
        <f t="shared" si="79"/>
        <v>1.1824362788244388E-2</v>
      </c>
    </row>
    <row r="821" spans="1:20" x14ac:dyDescent="0.3">
      <c r="A821" s="2" t="s">
        <v>1305</v>
      </c>
      <c r="B821" s="2" t="s">
        <v>1321</v>
      </c>
      <c r="C821" s="2" t="s">
        <v>1317</v>
      </c>
      <c r="D821" s="4" t="s">
        <v>1310</v>
      </c>
      <c r="E821" s="8">
        <v>412183.49586666672</v>
      </c>
      <c r="F821" s="8">
        <v>204634.49123333336</v>
      </c>
      <c r="G821" s="8">
        <v>544.55866666666668</v>
      </c>
      <c r="H821" s="8"/>
      <c r="I821" s="8"/>
      <c r="J821" s="5" t="s">
        <v>1423</v>
      </c>
      <c r="K821" s="5" t="s">
        <v>1424</v>
      </c>
      <c r="L821" s="5" t="s">
        <v>1422</v>
      </c>
      <c r="M821" s="3">
        <f t="shared" si="75"/>
        <v>-9.6666667377576232E-3</v>
      </c>
      <c r="N821" s="3">
        <f t="shared" si="75"/>
        <v>-6.6333333670627326E-3</v>
      </c>
      <c r="O821" s="3">
        <f t="shared" si="77"/>
        <v>3.1133333333286828E-2</v>
      </c>
      <c r="P821">
        <f t="shared" si="76"/>
        <v>9.3444445818869609E-5</v>
      </c>
      <c r="Q821">
        <f t="shared" si="76"/>
        <v>4.4001111558587808E-5</v>
      </c>
      <c r="R821">
        <f t="shared" si="76"/>
        <v>9.6928444444154872E-4</v>
      </c>
      <c r="S821">
        <f t="shared" si="78"/>
        <v>1.3744555737745743E-4</v>
      </c>
      <c r="T821">
        <f t="shared" si="79"/>
        <v>1.1723717728496256E-2</v>
      </c>
    </row>
    <row r="822" spans="1:20" x14ac:dyDescent="0.3">
      <c r="A822" s="2" t="s">
        <v>1305</v>
      </c>
      <c r="B822" s="2" t="s">
        <v>1322</v>
      </c>
      <c r="C822" s="2" t="s">
        <v>20</v>
      </c>
      <c r="D822" s="2" t="s">
        <v>30</v>
      </c>
      <c r="E822" s="8">
        <v>391620.33386666671</v>
      </c>
      <c r="F822" s="8">
        <v>207404.95796666667</v>
      </c>
      <c r="G822" s="8">
        <v>202.66900000000001</v>
      </c>
      <c r="H822" s="8"/>
      <c r="I822" s="8"/>
      <c r="J822" s="5" t="s">
        <v>1425</v>
      </c>
      <c r="K822" s="5" t="s">
        <v>1426</v>
      </c>
      <c r="L822" s="5" t="s">
        <v>1427</v>
      </c>
      <c r="M822" s="3">
        <f t="shared" si="75"/>
        <v>-7.3766666697338223E-2</v>
      </c>
      <c r="N822" s="3">
        <f t="shared" si="75"/>
        <v>5.9333333338145167E-3</v>
      </c>
      <c r="O822" s="3">
        <f t="shared" si="77"/>
        <v>0.16190000000000282</v>
      </c>
      <c r="P822">
        <f t="shared" si="76"/>
        <v>5.4415211156361885E-3</v>
      </c>
      <c r="Q822">
        <f t="shared" si="76"/>
        <v>3.5204444450154486E-5</v>
      </c>
      <c r="R822">
        <f t="shared" si="76"/>
        <v>2.6211610000000912E-2</v>
      </c>
      <c r="S822">
        <f t="shared" si="78"/>
        <v>5.4767255600863428E-3</v>
      </c>
      <c r="T822">
        <f t="shared" si="79"/>
        <v>7.4004902270635706E-2</v>
      </c>
    </row>
    <row r="823" spans="1:20" x14ac:dyDescent="0.3">
      <c r="A823" s="2" t="s">
        <v>1305</v>
      </c>
      <c r="B823" s="2" t="s">
        <v>1322</v>
      </c>
      <c r="C823" s="2" t="s">
        <v>20</v>
      </c>
      <c r="D823" s="2" t="s">
        <v>21</v>
      </c>
      <c r="E823" s="8">
        <v>391620.30306666665</v>
      </c>
      <c r="F823" s="8">
        <v>207404.96456666666</v>
      </c>
      <c r="G823" s="8">
        <v>202.78466666666668</v>
      </c>
      <c r="H823" s="8"/>
      <c r="I823" s="8"/>
      <c r="J823" s="5" t="s">
        <v>1425</v>
      </c>
      <c r="K823" s="5" t="s">
        <v>1426</v>
      </c>
      <c r="L823" s="5" t="s">
        <v>1427</v>
      </c>
      <c r="M823" s="3">
        <f t="shared" si="75"/>
        <v>-4.2966666631400585E-2</v>
      </c>
      <c r="N823" s="3">
        <f t="shared" si="75"/>
        <v>-6.6666665952652693E-4</v>
      </c>
      <c r="O823" s="3">
        <f t="shared" si="77"/>
        <v>4.6233333333333348E-2</v>
      </c>
      <c r="P823">
        <f t="shared" si="76"/>
        <v>1.8461344414139125E-3</v>
      </c>
      <c r="Q823">
        <f t="shared" si="76"/>
        <v>4.4444443492425818E-7</v>
      </c>
      <c r="R823">
        <f t="shared" si="76"/>
        <v>2.1375211111111124E-3</v>
      </c>
      <c r="S823">
        <f t="shared" si="78"/>
        <v>1.8465788858488368E-3</v>
      </c>
      <c r="T823">
        <f t="shared" si="79"/>
        <v>4.2971838287986203E-2</v>
      </c>
    </row>
    <row r="824" spans="1:20" x14ac:dyDescent="0.3">
      <c r="A824" s="2" t="s">
        <v>1305</v>
      </c>
      <c r="B824" s="2" t="s">
        <v>1322</v>
      </c>
      <c r="C824" s="2" t="s">
        <v>20</v>
      </c>
      <c r="D824" s="2" t="s">
        <v>110</v>
      </c>
      <c r="E824" s="8">
        <v>391620.32489999995</v>
      </c>
      <c r="F824" s="8">
        <v>207404.96109999999</v>
      </c>
      <c r="G824" s="8">
        <v>202.70833333333334</v>
      </c>
      <c r="H824" s="8"/>
      <c r="I824" s="8"/>
      <c r="J824" s="5" t="s">
        <v>1428</v>
      </c>
      <c r="K824" s="5" t="s">
        <v>1429</v>
      </c>
      <c r="L824" s="5" t="s">
        <v>1427</v>
      </c>
      <c r="M824" s="3">
        <f t="shared" si="75"/>
        <v>-6.4799999934621155E-2</v>
      </c>
      <c r="N824" s="3">
        <f t="shared" si="75"/>
        <v>2.8000000165775418E-3</v>
      </c>
      <c r="O824" s="3">
        <f t="shared" si="77"/>
        <v>0.12256666666667115</v>
      </c>
      <c r="P824">
        <f t="shared" si="76"/>
        <v>4.1990399915269021E-3</v>
      </c>
      <c r="Q824">
        <f t="shared" si="76"/>
        <v>7.8400000928342345E-6</v>
      </c>
      <c r="R824">
        <f t="shared" si="76"/>
        <v>1.5022587777778878E-2</v>
      </c>
      <c r="S824">
        <f t="shared" si="78"/>
        <v>4.2068799916197362E-3</v>
      </c>
      <c r="T824">
        <f t="shared" si="79"/>
        <v>6.4860465551981175E-2</v>
      </c>
    </row>
    <row r="825" spans="1:20" x14ac:dyDescent="0.3">
      <c r="A825" s="2" t="s">
        <v>1305</v>
      </c>
      <c r="B825" s="2" t="s">
        <v>1323</v>
      </c>
      <c r="C825" s="2" t="s">
        <v>20</v>
      </c>
      <c r="D825" s="4" t="s">
        <v>37</v>
      </c>
      <c r="E825" s="8">
        <v>391620.27216666663</v>
      </c>
      <c r="F825" s="8">
        <v>207404.97246666669</v>
      </c>
      <c r="G825" s="8">
        <v>202.85900000000001</v>
      </c>
      <c r="H825" s="8"/>
      <c r="I825" s="8"/>
      <c r="J825" s="5" t="s">
        <v>1428</v>
      </c>
      <c r="K825" s="5" t="s">
        <v>1429</v>
      </c>
      <c r="L825" s="5" t="s">
        <v>1427</v>
      </c>
      <c r="M825" s="3">
        <f t="shared" si="75"/>
        <v>-1.2066666618920863E-2</v>
      </c>
      <c r="N825" s="3">
        <f t="shared" si="75"/>
        <v>-8.5666666855104268E-3</v>
      </c>
      <c r="O825" s="3">
        <f t="shared" si="77"/>
        <v>2.8099999999994907E-2</v>
      </c>
      <c r="P825">
        <f t="shared" si="76"/>
        <v>1.4560444329217903E-4</v>
      </c>
      <c r="Q825">
        <f t="shared" si="76"/>
        <v>7.3387778100634198E-5</v>
      </c>
      <c r="R825">
        <f t="shared" si="76"/>
        <v>7.8960999999971371E-4</v>
      </c>
      <c r="S825">
        <f t="shared" si="78"/>
        <v>2.1899222139281323E-4</v>
      </c>
      <c r="T825">
        <f t="shared" si="79"/>
        <v>1.4798385769833588E-2</v>
      </c>
    </row>
    <row r="826" spans="1:20" x14ac:dyDescent="0.3">
      <c r="A826" s="2" t="s">
        <v>1305</v>
      </c>
      <c r="B826" s="2" t="s">
        <v>1323</v>
      </c>
      <c r="C826" s="2" t="s">
        <v>20</v>
      </c>
      <c r="D826" s="4" t="s">
        <v>46</v>
      </c>
      <c r="E826" s="8">
        <v>391620.26266666671</v>
      </c>
      <c r="F826" s="8">
        <v>207404.96486666668</v>
      </c>
      <c r="G826" s="8">
        <v>202.875</v>
      </c>
      <c r="H826" s="8"/>
      <c r="I826" s="8"/>
      <c r="J826" s="5" t="s">
        <v>1428</v>
      </c>
      <c r="K826" s="5" t="s">
        <v>1429</v>
      </c>
      <c r="L826" s="5" t="s">
        <v>1427</v>
      </c>
      <c r="M826" s="3">
        <f t="shared" si="75"/>
        <v>-2.5666666915640235E-3</v>
      </c>
      <c r="N826" s="3">
        <f t="shared" si="75"/>
        <v>-9.6666667377576232E-4</v>
      </c>
      <c r="O826" s="3">
        <f t="shared" si="77"/>
        <v>4.4099999999986039E-2</v>
      </c>
      <c r="P826">
        <f t="shared" si="76"/>
        <v>6.5877779055842101E-6</v>
      </c>
      <c r="Q826">
        <f t="shared" si="76"/>
        <v>9.3444445818869609E-7</v>
      </c>
      <c r="R826">
        <f t="shared" si="76"/>
        <v>1.9448099999987687E-3</v>
      </c>
      <c r="S826">
        <f t="shared" si="78"/>
        <v>7.5222223637729062E-6</v>
      </c>
      <c r="T826">
        <f t="shared" si="79"/>
        <v>2.7426670165685272E-3</v>
      </c>
    </row>
    <row r="827" spans="1:20" x14ac:dyDescent="0.3">
      <c r="A827" s="2" t="s">
        <v>1305</v>
      </c>
      <c r="B827" s="2" t="s">
        <v>1323</v>
      </c>
      <c r="C827" s="2" t="s">
        <v>51</v>
      </c>
      <c r="D827" s="2" t="s">
        <v>63</v>
      </c>
      <c r="E827" s="8">
        <v>391620.26016666665</v>
      </c>
      <c r="F827" s="8">
        <v>207404.95783333332</v>
      </c>
      <c r="G827" s="8">
        <v>202.86800000000002</v>
      </c>
      <c r="H827" s="8"/>
      <c r="I827" s="8"/>
      <c r="J827" s="5" t="s">
        <v>1428</v>
      </c>
      <c r="K827" s="5" t="s">
        <v>1429</v>
      </c>
      <c r="L827" s="5" t="s">
        <v>1427</v>
      </c>
      <c r="M827" s="3">
        <f t="shared" si="75"/>
        <v>-6.6666631028056145E-5</v>
      </c>
      <c r="N827" s="3">
        <f t="shared" si="75"/>
        <v>6.0666666831821203E-3</v>
      </c>
      <c r="O827" s="3">
        <f t="shared" si="77"/>
        <v>3.7100000000009459E-2</v>
      </c>
      <c r="P827">
        <f t="shared" si="76"/>
        <v>4.4444396926309783E-9</v>
      </c>
      <c r="Q827">
        <f t="shared" si="76"/>
        <v>3.6804444644831949E-5</v>
      </c>
      <c r="R827">
        <f t="shared" si="76"/>
        <v>1.3764100000007019E-3</v>
      </c>
      <c r="S827">
        <f t="shared" si="78"/>
        <v>3.680888908452458E-5</v>
      </c>
      <c r="T827">
        <f t="shared" si="79"/>
        <v>6.0670329720980236E-3</v>
      </c>
    </row>
    <row r="828" spans="1:20" x14ac:dyDescent="0.3">
      <c r="A828" s="2" t="s">
        <v>1305</v>
      </c>
      <c r="B828" s="2" t="s">
        <v>1323</v>
      </c>
      <c r="C828" s="2" t="s">
        <v>51</v>
      </c>
      <c r="D828" s="2" t="s">
        <v>30</v>
      </c>
      <c r="E828" s="8">
        <v>391620.26463333337</v>
      </c>
      <c r="F828" s="8">
        <v>207404.96433333331</v>
      </c>
      <c r="G828" s="8">
        <v>202.86333333333334</v>
      </c>
      <c r="H828" s="8"/>
      <c r="I828" s="8"/>
      <c r="J828" s="5" t="s">
        <v>1428</v>
      </c>
      <c r="K828" s="5" t="s">
        <v>1429</v>
      </c>
      <c r="L828" s="5" t="s">
        <v>1427</v>
      </c>
      <c r="M828" s="3">
        <f t="shared" si="75"/>
        <v>-4.5333333546295762E-3</v>
      </c>
      <c r="N828" s="3">
        <f t="shared" si="75"/>
        <v>-4.3333330540917814E-4</v>
      </c>
      <c r="O828" s="3">
        <f t="shared" si="77"/>
        <v>3.2433333333329983E-2</v>
      </c>
      <c r="P828">
        <f t="shared" si="76"/>
        <v>2.0551111304197047E-5</v>
      </c>
      <c r="Q828">
        <f t="shared" si="76"/>
        <v>1.8777775357684405E-7</v>
      </c>
      <c r="R828">
        <f t="shared" si="76"/>
        <v>1.0519211111108939E-3</v>
      </c>
      <c r="S828">
        <f t="shared" si="78"/>
        <v>2.073888905777389E-5</v>
      </c>
      <c r="T828">
        <f t="shared" si="79"/>
        <v>4.5539970419153641E-3</v>
      </c>
    </row>
    <row r="829" spans="1:20" x14ac:dyDescent="0.3">
      <c r="A829" s="2" t="s">
        <v>1305</v>
      </c>
      <c r="B829" s="2" t="s">
        <v>1323</v>
      </c>
      <c r="C829" s="2" t="s">
        <v>57</v>
      </c>
      <c r="D829" s="4" t="s">
        <v>52</v>
      </c>
      <c r="E829" s="8">
        <v>391620.26326666662</v>
      </c>
      <c r="F829" s="8">
        <v>207404.96550000002</v>
      </c>
      <c r="G829" s="8">
        <v>202.85900000000001</v>
      </c>
      <c r="H829" s="8"/>
      <c r="I829" s="8"/>
      <c r="J829" s="5" t="s">
        <v>1428</v>
      </c>
      <c r="K829" s="5" t="s">
        <v>1429</v>
      </c>
      <c r="L829" s="5" t="s">
        <v>1427</v>
      </c>
      <c r="M829" s="3">
        <f t="shared" si="75"/>
        <v>-3.1666666036471725E-3</v>
      </c>
      <c r="N829" s="3">
        <f t="shared" si="75"/>
        <v>-1.6000000177882612E-3</v>
      </c>
      <c r="O829" s="3">
        <f t="shared" si="77"/>
        <v>2.8099999999994907E-2</v>
      </c>
      <c r="P829">
        <f t="shared" si="76"/>
        <v>1.0027777378654318E-5</v>
      </c>
      <c r="Q829">
        <f t="shared" si="76"/>
        <v>2.5600000569224361E-6</v>
      </c>
      <c r="R829">
        <f t="shared" si="76"/>
        <v>7.8960999999971371E-4</v>
      </c>
      <c r="S829">
        <f t="shared" si="78"/>
        <v>1.2587777435576754E-5</v>
      </c>
      <c r="T829">
        <f t="shared" si="79"/>
        <v>3.5479257934146191E-3</v>
      </c>
    </row>
    <row r="830" spans="1:20" x14ac:dyDescent="0.3">
      <c r="A830" s="2" t="s">
        <v>1305</v>
      </c>
      <c r="B830" s="2" t="s">
        <v>1323</v>
      </c>
      <c r="C830" s="2" t="s">
        <v>1308</v>
      </c>
      <c r="D830" s="4" t="s">
        <v>1309</v>
      </c>
      <c r="E830" s="8">
        <v>391620.26726666669</v>
      </c>
      <c r="F830" s="8">
        <v>207404.97106666665</v>
      </c>
      <c r="G830" s="8">
        <v>202.85299999999998</v>
      </c>
      <c r="H830" s="8"/>
      <c r="I830" s="8"/>
      <c r="J830" s="5" t="s">
        <v>1428</v>
      </c>
      <c r="K830" s="5" t="s">
        <v>1429</v>
      </c>
      <c r="L830" s="5" t="s">
        <v>1427</v>
      </c>
      <c r="M830" s="3">
        <f t="shared" si="75"/>
        <v>-7.1666666772216558E-3</v>
      </c>
      <c r="N830" s="3">
        <f t="shared" si="75"/>
        <v>-7.1666666481178254E-3</v>
      </c>
      <c r="O830" s="3">
        <f t="shared" si="77"/>
        <v>2.2099999999966258E-2</v>
      </c>
      <c r="P830">
        <f t="shared" si="76"/>
        <v>5.1361111262399289E-5</v>
      </c>
      <c r="Q830">
        <f t="shared" si="76"/>
        <v>5.1361110845244386E-5</v>
      </c>
      <c r="R830">
        <f t="shared" si="76"/>
        <v>4.8840999999850857E-4</v>
      </c>
      <c r="S830">
        <f t="shared" si="78"/>
        <v>1.0272222210764368E-4</v>
      </c>
      <c r="T830">
        <f t="shared" si="79"/>
        <v>1.0135197191354674E-2</v>
      </c>
    </row>
    <row r="831" spans="1:20" x14ac:dyDescent="0.3">
      <c r="A831" s="2" t="s">
        <v>1305</v>
      </c>
      <c r="B831" s="2" t="s">
        <v>1323</v>
      </c>
      <c r="C831" s="2" t="s">
        <v>1317</v>
      </c>
      <c r="D831" s="4" t="s">
        <v>1310</v>
      </c>
      <c r="E831" s="8">
        <v>391620.27129999996</v>
      </c>
      <c r="F831" s="8">
        <v>207404.96679999997</v>
      </c>
      <c r="G831" s="8">
        <v>202.86699999999999</v>
      </c>
      <c r="H831" s="8"/>
      <c r="I831" s="8"/>
      <c r="J831" s="5" t="s">
        <v>1428</v>
      </c>
      <c r="K831" s="5" t="s">
        <v>1429</v>
      </c>
      <c r="L831" s="5" t="s">
        <v>1427</v>
      </c>
      <c r="M831" s="3">
        <f t="shared" si="75"/>
        <v>-1.1199999949894845E-2</v>
      </c>
      <c r="N831" s="3">
        <f t="shared" si="75"/>
        <v>-2.899999963119626E-3</v>
      </c>
      <c r="O831" s="3">
        <f t="shared" si="77"/>
        <v>3.6099999999976262E-2</v>
      </c>
      <c r="P831">
        <f t="shared" si="76"/>
        <v>1.2543999887764453E-4</v>
      </c>
      <c r="Q831">
        <f t="shared" si="76"/>
        <v>8.4099997860938324E-6</v>
      </c>
      <c r="R831">
        <f t="shared" si="76"/>
        <v>1.3032099999982861E-3</v>
      </c>
      <c r="S831">
        <f t="shared" si="78"/>
        <v>1.3384999866373836E-4</v>
      </c>
      <c r="T831">
        <f t="shared" si="79"/>
        <v>1.1569356017676108E-2</v>
      </c>
    </row>
    <row r="832" spans="1:20" x14ac:dyDescent="0.3">
      <c r="A832" s="2" t="s">
        <v>1305</v>
      </c>
      <c r="B832" s="2" t="s">
        <v>1324</v>
      </c>
      <c r="C832" s="2" t="s">
        <v>20</v>
      </c>
      <c r="D832" s="2" t="s">
        <v>30</v>
      </c>
      <c r="E832" s="8">
        <v>405408.63196666661</v>
      </c>
      <c r="F832" s="8">
        <v>219257.84420000002</v>
      </c>
      <c r="G832" s="8">
        <v>406.61400000000003</v>
      </c>
      <c r="H832" s="8"/>
      <c r="I832" s="8"/>
      <c r="J832" s="5" t="s">
        <v>1430</v>
      </c>
      <c r="K832" s="5" t="s">
        <v>1431</v>
      </c>
      <c r="L832" s="5" t="s">
        <v>1432</v>
      </c>
      <c r="M832" s="3">
        <f t="shared" si="75"/>
        <v>-8.6666661081835628E-4</v>
      </c>
      <c r="N832" s="3">
        <f t="shared" si="75"/>
        <v>2.2499999991850927E-2</v>
      </c>
      <c r="O832" s="3">
        <f t="shared" si="77"/>
        <v>5.2700000000015734E-2</v>
      </c>
      <c r="P832">
        <f t="shared" si="76"/>
        <v>7.5111101430737622E-7</v>
      </c>
      <c r="Q832">
        <f t="shared" si="76"/>
        <v>5.0624999963329179E-4</v>
      </c>
      <c r="R832">
        <f t="shared" si="76"/>
        <v>2.7772900000016584E-3</v>
      </c>
      <c r="S832">
        <f t="shared" si="78"/>
        <v>5.0700111064759914E-4</v>
      </c>
      <c r="T832">
        <f t="shared" si="79"/>
        <v>2.251668516117768E-2</v>
      </c>
    </row>
    <row r="833" spans="1:20" x14ac:dyDescent="0.3">
      <c r="A833" s="2" t="s">
        <v>1305</v>
      </c>
      <c r="B833" s="2" t="s">
        <v>1324</v>
      </c>
      <c r="C833" s="2" t="s">
        <v>20</v>
      </c>
      <c r="D833" s="2" t="s">
        <v>110</v>
      </c>
      <c r="E833" s="8">
        <v>405408.6407333333</v>
      </c>
      <c r="F833" s="8">
        <v>219257.84966666662</v>
      </c>
      <c r="G833" s="8">
        <v>406.57900000000001</v>
      </c>
      <c r="H833" s="8"/>
      <c r="I833" s="8"/>
      <c r="J833" s="5" t="s">
        <v>1430</v>
      </c>
      <c r="K833" s="5" t="s">
        <v>1431</v>
      </c>
      <c r="L833" s="5" t="s">
        <v>1432</v>
      </c>
      <c r="M833" s="3">
        <f t="shared" si="75"/>
        <v>-9.6333333058282733E-3</v>
      </c>
      <c r="N833" s="3">
        <f t="shared" si="75"/>
        <v>1.7033333395374939E-2</v>
      </c>
      <c r="O833" s="3">
        <f t="shared" si="77"/>
        <v>1.7699999999990723E-2</v>
      </c>
      <c r="P833">
        <f t="shared" si="76"/>
        <v>9.2801110581180288E-5</v>
      </c>
      <c r="Q833">
        <f t="shared" si="76"/>
        <v>2.9013444655799517E-4</v>
      </c>
      <c r="R833">
        <f t="shared" si="76"/>
        <v>3.1328999999967163E-4</v>
      </c>
      <c r="S833">
        <f t="shared" si="78"/>
        <v>3.8293555713917544E-4</v>
      </c>
      <c r="T833">
        <f t="shared" si="79"/>
        <v>1.9568739283335947E-2</v>
      </c>
    </row>
    <row r="834" spans="1:20" x14ac:dyDescent="0.3">
      <c r="A834" s="2" t="s">
        <v>1305</v>
      </c>
      <c r="B834" s="2" t="s">
        <v>1325</v>
      </c>
      <c r="C834" s="2" t="s">
        <v>20</v>
      </c>
      <c r="D834" s="4" t="s">
        <v>37</v>
      </c>
      <c r="E834" s="8">
        <v>405408.63743333332</v>
      </c>
      <c r="F834" s="8">
        <v>219257.84836666667</v>
      </c>
      <c r="G834" s="8">
        <v>406.5306666666666</v>
      </c>
      <c r="H834" s="8"/>
      <c r="I834" s="8"/>
      <c r="J834" s="5" t="s">
        <v>1433</v>
      </c>
      <c r="K834" s="5" t="s">
        <v>1434</v>
      </c>
      <c r="L834" s="5" t="s">
        <v>1432</v>
      </c>
      <c r="M834" s="3">
        <f t="shared" si="75"/>
        <v>-6.3333333237096667E-3</v>
      </c>
      <c r="N834" s="3">
        <f t="shared" si="75"/>
        <v>1.8333333340706304E-2</v>
      </c>
      <c r="O834" s="3">
        <f t="shared" si="77"/>
        <v>3.0633333333412338E-2</v>
      </c>
      <c r="P834">
        <f t="shared" si="76"/>
        <v>4.0111110989211334E-5</v>
      </c>
      <c r="Q834">
        <f t="shared" si="76"/>
        <v>3.3611111138145337E-4</v>
      </c>
      <c r="R834">
        <f t="shared" si="76"/>
        <v>9.3840111111595146E-4</v>
      </c>
      <c r="S834">
        <f t="shared" si="78"/>
        <v>3.7622222237066469E-4</v>
      </c>
      <c r="T834">
        <f t="shared" si="79"/>
        <v>1.9396448705128078E-2</v>
      </c>
    </row>
    <row r="835" spans="1:20" x14ac:dyDescent="0.3">
      <c r="A835" s="2" t="s">
        <v>1305</v>
      </c>
      <c r="B835" s="2" t="s">
        <v>1325</v>
      </c>
      <c r="C835" s="2" t="s">
        <v>20</v>
      </c>
      <c r="D835" s="2" t="s">
        <v>21</v>
      </c>
      <c r="E835" s="8">
        <v>405408.62793333334</v>
      </c>
      <c r="F835" s="8">
        <v>219257.84163333333</v>
      </c>
      <c r="G835" s="8">
        <v>406.53500000000003</v>
      </c>
      <c r="H835" s="8"/>
      <c r="I835" s="8"/>
      <c r="J835" s="5" t="s">
        <v>1433</v>
      </c>
      <c r="K835" s="5" t="s">
        <v>1434</v>
      </c>
      <c r="L835" s="5" t="s">
        <v>1432</v>
      </c>
      <c r="M835" s="3">
        <f t="shared" si="75"/>
        <v>3.1666666618548334E-3</v>
      </c>
      <c r="N835" s="3">
        <f t="shared" si="75"/>
        <v>2.5066666683414951E-2</v>
      </c>
      <c r="O835" s="3">
        <f t="shared" si="77"/>
        <v>2.6299999999991996E-2</v>
      </c>
      <c r="P835">
        <f t="shared" si="76"/>
        <v>1.0027777747302834E-5</v>
      </c>
      <c r="Q835">
        <f t="shared" si="76"/>
        <v>6.2833777861742506E-4</v>
      </c>
      <c r="R835">
        <f t="shared" si="76"/>
        <v>6.9168999999957902E-4</v>
      </c>
      <c r="S835">
        <f t="shared" si="78"/>
        <v>6.3836555636472795E-4</v>
      </c>
      <c r="T835">
        <f t="shared" si="79"/>
        <v>2.5265897101918386E-2</v>
      </c>
    </row>
    <row r="836" spans="1:20" x14ac:dyDescent="0.3">
      <c r="A836" s="2" t="s">
        <v>1305</v>
      </c>
      <c r="B836" s="2" t="s">
        <v>1325</v>
      </c>
      <c r="C836" s="2" t="s">
        <v>20</v>
      </c>
      <c r="D836" s="4" t="s">
        <v>46</v>
      </c>
      <c r="E836" s="8">
        <v>405408.62086666672</v>
      </c>
      <c r="F836" s="8">
        <v>219257.85493333335</v>
      </c>
      <c r="G836" s="8">
        <v>406.58833333333337</v>
      </c>
      <c r="H836" s="8"/>
      <c r="I836" s="8"/>
      <c r="J836" s="5" t="s">
        <v>1433</v>
      </c>
      <c r="K836" s="5" t="s">
        <v>1434</v>
      </c>
      <c r="L836" s="5" t="s">
        <v>1432</v>
      </c>
      <c r="M836" s="3">
        <f t="shared" si="75"/>
        <v>1.0233333276119083E-2</v>
      </c>
      <c r="N836" s="3">
        <f t="shared" si="75"/>
        <v>1.1766666662879288E-2</v>
      </c>
      <c r="O836" s="3">
        <f t="shared" si="77"/>
        <v>2.7033333333349674E-2</v>
      </c>
      <c r="P836">
        <f t="shared" si="76"/>
        <v>1.0472110994012612E-4</v>
      </c>
      <c r="Q836">
        <f t="shared" si="76"/>
        <v>1.3845444435531479E-4</v>
      </c>
      <c r="R836">
        <f t="shared" si="76"/>
        <v>7.308011111119946E-4</v>
      </c>
      <c r="S836">
        <f t="shared" si="78"/>
        <v>2.4317555429544092E-4</v>
      </c>
      <c r="T836">
        <f t="shared" si="79"/>
        <v>1.5594087158132755E-2</v>
      </c>
    </row>
    <row r="837" spans="1:20" x14ac:dyDescent="0.3">
      <c r="A837" s="2" t="s">
        <v>1305</v>
      </c>
      <c r="B837" s="2" t="s">
        <v>1325</v>
      </c>
      <c r="C837" s="2" t="s">
        <v>51</v>
      </c>
      <c r="D837" s="2" t="s">
        <v>63</v>
      </c>
      <c r="E837" s="8">
        <v>405408.652</v>
      </c>
      <c r="F837" s="8">
        <v>219257.89876666665</v>
      </c>
      <c r="G837" s="8">
        <v>407.00333333333333</v>
      </c>
      <c r="H837" s="13" t="s">
        <v>1383</v>
      </c>
      <c r="I837" s="13" t="s">
        <v>1384</v>
      </c>
      <c r="J837" s="5" t="s">
        <v>1433</v>
      </c>
      <c r="K837" s="5" t="s">
        <v>1434</v>
      </c>
      <c r="L837" s="5" t="s">
        <v>1432</v>
      </c>
      <c r="M837" s="3">
        <f t="shared" si="75"/>
        <v>-2.0900000003166497E-2</v>
      </c>
      <c r="N837" s="3">
        <f t="shared" si="75"/>
        <v>-3.2066666637547314E-2</v>
      </c>
      <c r="O837" s="3">
        <f t="shared" si="77"/>
        <v>0.44203333333331329</v>
      </c>
      <c r="P837">
        <f t="shared" si="76"/>
        <v>4.3681000013235955E-4</v>
      </c>
      <c r="Q837">
        <f t="shared" si="76"/>
        <v>1.02827110924359E-3</v>
      </c>
      <c r="R837">
        <f t="shared" si="76"/>
        <v>0.19539346777776007</v>
      </c>
      <c r="S837">
        <f t="shared" si="78"/>
        <v>1.4650811093759495E-3</v>
      </c>
      <c r="T837">
        <f t="shared" si="79"/>
        <v>3.8276377955286593E-2</v>
      </c>
    </row>
    <row r="838" spans="1:20" x14ac:dyDescent="0.3">
      <c r="A838" s="2" t="s">
        <v>1305</v>
      </c>
      <c r="B838" s="2" t="s">
        <v>1325</v>
      </c>
      <c r="C838" s="2" t="s">
        <v>51</v>
      </c>
      <c r="D838" s="2" t="s">
        <v>30</v>
      </c>
      <c r="E838" s="8">
        <v>405408.61709999997</v>
      </c>
      <c r="F838" s="8">
        <v>219257.8498</v>
      </c>
      <c r="G838" s="8">
        <v>406.61533333333335</v>
      </c>
      <c r="H838" s="8"/>
      <c r="I838" s="8"/>
      <c r="J838" s="5" t="s">
        <v>1433</v>
      </c>
      <c r="K838" s="5" t="s">
        <v>1434</v>
      </c>
      <c r="L838" s="5" t="s">
        <v>1432</v>
      </c>
      <c r="M838" s="3">
        <f t="shared" si="75"/>
        <v>1.4000000024680048E-2</v>
      </c>
      <c r="N838" s="3">
        <f t="shared" si="75"/>
        <v>1.6900000016903505E-2</v>
      </c>
      <c r="O838" s="3">
        <f t="shared" si="77"/>
        <v>5.4033333333336486E-2</v>
      </c>
      <c r="P838">
        <f t="shared" si="76"/>
        <v>1.9600000069104135E-4</v>
      </c>
      <c r="Q838">
        <f t="shared" si="76"/>
        <v>2.8561000057133844E-4</v>
      </c>
      <c r="R838">
        <f t="shared" si="76"/>
        <v>2.919601111111452E-3</v>
      </c>
      <c r="S838">
        <f t="shared" si="78"/>
        <v>4.8161000126237979E-4</v>
      </c>
      <c r="T838">
        <f t="shared" si="79"/>
        <v>2.1945614624848852E-2</v>
      </c>
    </row>
    <row r="839" spans="1:20" x14ac:dyDescent="0.3">
      <c r="A839" s="2" t="s">
        <v>1305</v>
      </c>
      <c r="B839" s="2" t="s">
        <v>1325</v>
      </c>
      <c r="C839" s="2" t="s">
        <v>57</v>
      </c>
      <c r="D839" s="4" t="s">
        <v>52</v>
      </c>
      <c r="E839" s="8">
        <v>405408.62096666667</v>
      </c>
      <c r="F839" s="8">
        <v>219257.84693333332</v>
      </c>
      <c r="G839" s="8">
        <v>406.57600000000002</v>
      </c>
      <c r="H839" s="8"/>
      <c r="I839" s="8"/>
      <c r="J839" s="5" t="s">
        <v>1433</v>
      </c>
      <c r="K839" s="5" t="s">
        <v>1434</v>
      </c>
      <c r="L839" s="5" t="s">
        <v>1432</v>
      </c>
      <c r="M839" s="3">
        <f t="shared" si="75"/>
        <v>1.0133333329576999E-2</v>
      </c>
      <c r="N839" s="3">
        <f t="shared" si="75"/>
        <v>1.9766666693612933E-2</v>
      </c>
      <c r="O839" s="3">
        <f t="shared" si="77"/>
        <v>1.470000000000482E-2</v>
      </c>
      <c r="P839">
        <f t="shared" si="76"/>
        <v>1.0268444436831606E-4</v>
      </c>
      <c r="Q839">
        <f t="shared" si="76"/>
        <v>3.9072111217638685E-4</v>
      </c>
      <c r="R839">
        <f t="shared" si="76"/>
        <v>2.160900000001417E-4</v>
      </c>
      <c r="S839">
        <f t="shared" si="78"/>
        <v>4.9340555654470294E-4</v>
      </c>
      <c r="T839">
        <f t="shared" si="79"/>
        <v>2.2212734107819841E-2</v>
      </c>
    </row>
    <row r="840" spans="1:20" x14ac:dyDescent="0.3">
      <c r="A840" s="2" t="s">
        <v>1305</v>
      </c>
      <c r="B840" s="2" t="s">
        <v>1325</v>
      </c>
      <c r="C840" s="2" t="s">
        <v>1308</v>
      </c>
      <c r="D840" s="4" t="s">
        <v>1309</v>
      </c>
      <c r="E840" s="8">
        <v>405408.60336666665</v>
      </c>
      <c r="F840" s="8">
        <v>219257.86786666667</v>
      </c>
      <c r="G840" s="8">
        <v>406.60533333333336</v>
      </c>
      <c r="H840" s="8"/>
      <c r="I840" s="8"/>
      <c r="J840" s="5" t="s">
        <v>1433</v>
      </c>
      <c r="K840" s="5" t="s">
        <v>1434</v>
      </c>
      <c r="L840" s="5" t="s">
        <v>1432</v>
      </c>
      <c r="M840" s="3">
        <f t="shared" si="75"/>
        <v>2.7733333350624889E-2</v>
      </c>
      <c r="N840" s="3">
        <f t="shared" si="75"/>
        <v>-1.1666666541714221E-3</v>
      </c>
      <c r="O840" s="3">
        <f t="shared" si="77"/>
        <v>4.4033333333345581E-2</v>
      </c>
      <c r="P840">
        <f t="shared" si="76"/>
        <v>7.6913777873688274E-4</v>
      </c>
      <c r="Q840">
        <f t="shared" si="76"/>
        <v>1.3611110819555407E-6</v>
      </c>
      <c r="R840">
        <f t="shared" si="76"/>
        <v>1.9389344444455231E-3</v>
      </c>
      <c r="S840">
        <f t="shared" si="78"/>
        <v>7.7049888981883829E-4</v>
      </c>
      <c r="T840">
        <f t="shared" si="79"/>
        <v>2.7757861765972506E-2</v>
      </c>
    </row>
    <row r="841" spans="1:20" x14ac:dyDescent="0.3">
      <c r="A841" s="2" t="s">
        <v>1305</v>
      </c>
      <c r="B841" s="2" t="s">
        <v>1325</v>
      </c>
      <c r="C841" s="2" t="s">
        <v>1317</v>
      </c>
      <c r="D841" s="4" t="s">
        <v>1310</v>
      </c>
      <c r="E841" s="8">
        <v>405408.60133333335</v>
      </c>
      <c r="F841" s="8">
        <v>219257.8615</v>
      </c>
      <c r="G841" s="8">
        <v>406.59</v>
      </c>
      <c r="H841" s="8"/>
      <c r="I841" s="8"/>
      <c r="J841" s="5" t="s">
        <v>1433</v>
      </c>
      <c r="K841" s="5" t="s">
        <v>1434</v>
      </c>
      <c r="L841" s="5" t="s">
        <v>1432</v>
      </c>
      <c r="M841" s="3">
        <f t="shared" si="75"/>
        <v>2.9766666644718498E-2</v>
      </c>
      <c r="N841" s="3">
        <f t="shared" si="75"/>
        <v>5.2000000141561031E-3</v>
      </c>
      <c r="O841" s="3">
        <f t="shared" si="77"/>
        <v>2.8699999999957981E-2</v>
      </c>
      <c r="P841">
        <f t="shared" si="76"/>
        <v>8.860544431377968E-4</v>
      </c>
      <c r="Q841">
        <f t="shared" si="76"/>
        <v>2.7040000147223473E-5</v>
      </c>
      <c r="R841">
        <f t="shared" si="76"/>
        <v>8.2368999999758816E-4</v>
      </c>
      <c r="S841">
        <f t="shared" si="78"/>
        <v>9.1309444328502027E-4</v>
      </c>
      <c r="T841">
        <f t="shared" si="79"/>
        <v>3.0217452627331449E-2</v>
      </c>
    </row>
    <row r="842" spans="1:20" x14ac:dyDescent="0.3">
      <c r="A842" s="2" t="s">
        <v>1305</v>
      </c>
      <c r="B842" s="2" t="s">
        <v>1326</v>
      </c>
      <c r="C842" s="2" t="s">
        <v>20</v>
      </c>
      <c r="D842" s="2" t="s">
        <v>30</v>
      </c>
      <c r="E842" s="8">
        <v>388773.96686666663</v>
      </c>
      <c r="F842" s="8">
        <v>233695.02163333332</v>
      </c>
      <c r="G842" s="8">
        <v>62.385333333333335</v>
      </c>
      <c r="H842" s="8"/>
      <c r="I842" s="8"/>
      <c r="J842" s="5" t="s">
        <v>1435</v>
      </c>
      <c r="K842" s="5" t="s">
        <v>1436</v>
      </c>
      <c r="L842" s="5" t="s">
        <v>1437</v>
      </c>
      <c r="M842" s="3">
        <f t="shared" si="75"/>
        <v>1.193333335686475E-2</v>
      </c>
      <c r="N842" s="3">
        <f t="shared" si="75"/>
        <v>-8.8333333260379732E-3</v>
      </c>
      <c r="O842" s="3">
        <f t="shared" si="77"/>
        <v>0.13726666666666176</v>
      </c>
      <c r="P842">
        <f t="shared" si="76"/>
        <v>1.4240444500606092E-4</v>
      </c>
      <c r="Q842">
        <f t="shared" si="76"/>
        <v>7.8027777648893078E-5</v>
      </c>
      <c r="R842">
        <f t="shared" si="76"/>
        <v>1.8842137777776432E-2</v>
      </c>
      <c r="S842">
        <f t="shared" si="78"/>
        <v>2.20432222654954E-4</v>
      </c>
      <c r="T842">
        <f t="shared" si="79"/>
        <v>1.484696004759742E-2</v>
      </c>
    </row>
    <row r="843" spans="1:20" x14ac:dyDescent="0.3">
      <c r="A843" s="2" t="s">
        <v>1305</v>
      </c>
      <c r="B843" s="2" t="s">
        <v>1326</v>
      </c>
      <c r="C843" s="2" t="s">
        <v>20</v>
      </c>
      <c r="D843" s="2" t="s">
        <v>21</v>
      </c>
      <c r="E843" s="8">
        <v>388773.95933333336</v>
      </c>
      <c r="F843" s="8">
        <v>233695.02690000003</v>
      </c>
      <c r="G843" s="8">
        <v>62.38633333333334</v>
      </c>
      <c r="H843" s="8"/>
      <c r="I843" s="8"/>
      <c r="J843" s="5" t="s">
        <v>1435</v>
      </c>
      <c r="K843" s="5" t="s">
        <v>1436</v>
      </c>
      <c r="L843" s="5" t="s">
        <v>1437</v>
      </c>
      <c r="M843" s="3">
        <f t="shared" si="75"/>
        <v>1.9466666621156037E-2</v>
      </c>
      <c r="N843" s="3">
        <f t="shared" si="75"/>
        <v>-1.4100000029429793E-2</v>
      </c>
      <c r="O843" s="3">
        <f t="shared" si="77"/>
        <v>0.13626666666665699</v>
      </c>
      <c r="P843">
        <f t="shared" si="76"/>
        <v>3.7895110933923058E-4</v>
      </c>
      <c r="Q843">
        <f t="shared" si="76"/>
        <v>1.9881000082992017E-4</v>
      </c>
      <c r="R843">
        <f t="shared" si="76"/>
        <v>1.8568604444441805E-2</v>
      </c>
      <c r="S843">
        <f t="shared" si="78"/>
        <v>5.777611101691507E-4</v>
      </c>
      <c r="T843">
        <f t="shared" si="79"/>
        <v>2.4036661793376192E-2</v>
      </c>
    </row>
    <row r="844" spans="1:20" x14ac:dyDescent="0.3">
      <c r="A844" s="2" t="s">
        <v>1305</v>
      </c>
      <c r="B844" s="2" t="s">
        <v>1327</v>
      </c>
      <c r="C844" s="2" t="s">
        <v>20</v>
      </c>
      <c r="D844" s="2" t="s">
        <v>110</v>
      </c>
      <c r="E844" s="8">
        <v>388773.95579999994</v>
      </c>
      <c r="F844" s="8">
        <v>233695.02430000002</v>
      </c>
      <c r="G844" s="8">
        <v>62.347000000000001</v>
      </c>
      <c r="H844" s="8"/>
      <c r="I844" s="8"/>
      <c r="J844" s="5" t="s">
        <v>1438</v>
      </c>
      <c r="K844" s="5" t="s">
        <v>1439</v>
      </c>
      <c r="L844" s="5" t="s">
        <v>1437</v>
      </c>
      <c r="M844" s="3">
        <f t="shared" si="75"/>
        <v>2.3000000044703484E-2</v>
      </c>
      <c r="N844" s="3">
        <f t="shared" si="75"/>
        <v>-1.1500000022351742E-2</v>
      </c>
      <c r="O844" s="3">
        <f t="shared" si="77"/>
        <v>0.17559999999999576</v>
      </c>
      <c r="P844">
        <f t="shared" si="76"/>
        <v>5.2900000205636025E-4</v>
      </c>
      <c r="Q844">
        <f t="shared" si="76"/>
        <v>1.3225000051409006E-4</v>
      </c>
      <c r="R844">
        <f t="shared" si="76"/>
        <v>3.0835359999998511E-2</v>
      </c>
      <c r="S844">
        <f t="shared" si="78"/>
        <v>6.6125000257045031E-4</v>
      </c>
      <c r="T844">
        <f t="shared" si="79"/>
        <v>2.5714781791227596E-2</v>
      </c>
    </row>
    <row r="845" spans="1:20" x14ac:dyDescent="0.3">
      <c r="A845" s="2" t="s">
        <v>1305</v>
      </c>
      <c r="B845" s="2" t="s">
        <v>1327</v>
      </c>
      <c r="C845" s="2" t="s">
        <v>20</v>
      </c>
      <c r="D845" s="4" t="s">
        <v>37</v>
      </c>
      <c r="E845" s="8">
        <v>388773.95126666664</v>
      </c>
      <c r="F845" s="8">
        <v>233695.01740000001</v>
      </c>
      <c r="G845" s="8">
        <v>62.351333333333336</v>
      </c>
      <c r="H845" s="8"/>
      <c r="I845" s="8"/>
      <c r="J845" s="5" t="s">
        <v>1438</v>
      </c>
      <c r="K845" s="5" t="s">
        <v>1439</v>
      </c>
      <c r="L845" s="5" t="s">
        <v>1437</v>
      </c>
      <c r="M845" s="3">
        <f t="shared" si="75"/>
        <v>2.7533333341125399E-2</v>
      </c>
      <c r="N845" s="3">
        <f t="shared" si="75"/>
        <v>-4.6000000147614628E-3</v>
      </c>
      <c r="O845" s="3">
        <f t="shared" si="77"/>
        <v>0.17126666666666068</v>
      </c>
      <c r="P845">
        <f t="shared" si="76"/>
        <v>7.5808444487352757E-4</v>
      </c>
      <c r="Q845">
        <f t="shared" si="76"/>
        <v>2.1160000135805457E-5</v>
      </c>
      <c r="R845">
        <f t="shared" si="76"/>
        <v>2.9332271111109063E-2</v>
      </c>
      <c r="S845">
        <f t="shared" si="78"/>
        <v>7.7924444500933299E-4</v>
      </c>
      <c r="T845">
        <f t="shared" si="79"/>
        <v>2.7914950206105203E-2</v>
      </c>
    </row>
    <row r="846" spans="1:20" x14ac:dyDescent="0.3">
      <c r="A846" s="2" t="s">
        <v>1305</v>
      </c>
      <c r="B846" s="2" t="s">
        <v>1327</v>
      </c>
      <c r="C846" s="2" t="s">
        <v>20</v>
      </c>
      <c r="D846" s="4" t="s">
        <v>46</v>
      </c>
      <c r="E846" s="8">
        <v>388773.96219999995</v>
      </c>
      <c r="F846" s="8">
        <v>233695.02949999998</v>
      </c>
      <c r="G846" s="8">
        <v>62.370333333333328</v>
      </c>
      <c r="H846" s="8"/>
      <c r="I846" s="8"/>
      <c r="J846" s="5" t="s">
        <v>1438</v>
      </c>
      <c r="K846" s="5" t="s">
        <v>1439</v>
      </c>
      <c r="L846" s="5" t="s">
        <v>1437</v>
      </c>
      <c r="M846" s="3">
        <f t="shared" si="75"/>
        <v>1.66000000317581E-2</v>
      </c>
      <c r="N846" s="3">
        <f t="shared" si="75"/>
        <v>-1.6699999978300184E-2</v>
      </c>
      <c r="O846" s="3">
        <f t="shared" si="77"/>
        <v>0.15226666666666944</v>
      </c>
      <c r="P846">
        <f t="shared" si="76"/>
        <v>2.7556000105436894E-4</v>
      </c>
      <c r="Q846">
        <f t="shared" si="76"/>
        <v>2.7888999927522614E-4</v>
      </c>
      <c r="R846">
        <f t="shared" si="76"/>
        <v>2.3185137777778621E-2</v>
      </c>
      <c r="S846">
        <f t="shared" si="78"/>
        <v>5.5445000032959503E-4</v>
      </c>
      <c r="T846">
        <f t="shared" si="79"/>
        <v>2.3546761992460769E-2</v>
      </c>
    </row>
    <row r="847" spans="1:20" x14ac:dyDescent="0.3">
      <c r="A847" s="2" t="s">
        <v>1305</v>
      </c>
      <c r="B847" s="2" t="s">
        <v>1327</v>
      </c>
      <c r="C847" s="2" t="s">
        <v>51</v>
      </c>
      <c r="D847" s="2" t="s">
        <v>63</v>
      </c>
      <c r="E847" s="8">
        <v>388773.93780000001</v>
      </c>
      <c r="F847" s="8">
        <v>233695.03383333332</v>
      </c>
      <c r="G847" s="8">
        <v>62.455000000000005</v>
      </c>
      <c r="H847" s="8"/>
      <c r="I847" s="8"/>
      <c r="J847" s="5" t="s">
        <v>1438</v>
      </c>
      <c r="K847" s="5" t="s">
        <v>1439</v>
      </c>
      <c r="L847" s="5" t="s">
        <v>1437</v>
      </c>
      <c r="M847" s="3">
        <f t="shared" si="75"/>
        <v>4.0999999968335032E-2</v>
      </c>
      <c r="N847" s="3">
        <f t="shared" si="75"/>
        <v>-2.103333332343027E-2</v>
      </c>
      <c r="O847" s="3">
        <f t="shared" si="77"/>
        <v>6.7599999999991667E-2</v>
      </c>
      <c r="P847">
        <f t="shared" si="76"/>
        <v>1.6809999974034726E-3</v>
      </c>
      <c r="Q847">
        <f t="shared" si="76"/>
        <v>4.4240111069452227E-4</v>
      </c>
      <c r="R847">
        <f t="shared" si="76"/>
        <v>4.5697599999988733E-3</v>
      </c>
      <c r="S847">
        <f t="shared" si="78"/>
        <v>2.123401108097995E-3</v>
      </c>
      <c r="T847">
        <f t="shared" si="79"/>
        <v>4.6080376605427117E-2</v>
      </c>
    </row>
    <row r="848" spans="1:20" x14ac:dyDescent="0.3">
      <c r="A848" s="2" t="s">
        <v>1305</v>
      </c>
      <c r="B848" s="2" t="s">
        <v>1327</v>
      </c>
      <c r="C848" s="2" t="s">
        <v>51</v>
      </c>
      <c r="D848" s="2" t="s">
        <v>30</v>
      </c>
      <c r="E848" s="8">
        <v>388773.93320000003</v>
      </c>
      <c r="F848" s="8">
        <v>233695.03096666667</v>
      </c>
      <c r="G848" s="8">
        <v>62.492666666666672</v>
      </c>
      <c r="H848" s="8"/>
      <c r="I848" s="8"/>
      <c r="J848" s="5" t="s">
        <v>1438</v>
      </c>
      <c r="K848" s="5" t="s">
        <v>1439</v>
      </c>
      <c r="L848" s="5" t="s">
        <v>1437</v>
      </c>
      <c r="M848" s="3">
        <f t="shared" si="75"/>
        <v>4.5599999953992665E-2</v>
      </c>
      <c r="N848" s="3">
        <f t="shared" si="75"/>
        <v>-1.8166666675824672E-2</v>
      </c>
      <c r="O848" s="3">
        <f t="shared" si="77"/>
        <v>2.9933333333325152E-2</v>
      </c>
      <c r="P848">
        <f t="shared" si="76"/>
        <v>2.0793599958041312E-3</v>
      </c>
      <c r="Q848">
        <f t="shared" si="76"/>
        <v>3.3002777811051866E-4</v>
      </c>
      <c r="R848">
        <f t="shared" si="76"/>
        <v>8.9600444444395467E-4</v>
      </c>
      <c r="S848">
        <f t="shared" si="78"/>
        <v>2.4093877739146501E-3</v>
      </c>
      <c r="T848">
        <f t="shared" si="79"/>
        <v>4.9085514909336034E-2</v>
      </c>
    </row>
    <row r="849" spans="1:20" x14ac:dyDescent="0.3">
      <c r="A849" s="2" t="s">
        <v>1305</v>
      </c>
      <c r="B849" s="2" t="s">
        <v>1327</v>
      </c>
      <c r="C849" s="2" t="s">
        <v>57</v>
      </c>
      <c r="D849" s="4" t="s">
        <v>52</v>
      </c>
      <c r="E849" s="8">
        <v>388773.94063333335</v>
      </c>
      <c r="F849" s="8">
        <v>233695.03599999999</v>
      </c>
      <c r="G849" s="8">
        <v>62.471666666666664</v>
      </c>
      <c r="H849" s="8"/>
      <c r="I849" s="8"/>
      <c r="J849" s="5" t="s">
        <v>1438</v>
      </c>
      <c r="K849" s="5" t="s">
        <v>1439</v>
      </c>
      <c r="L849" s="5" t="s">
        <v>1437</v>
      </c>
      <c r="M849" s="3">
        <f t="shared" ref="M849:N912" si="80">J849-E849</f>
        <v>3.8166666636243463E-2</v>
      </c>
      <c r="N849" s="3">
        <f t="shared" si="80"/>
        <v>-2.3199999995995313E-2</v>
      </c>
      <c r="O849" s="3">
        <f t="shared" si="77"/>
        <v>5.0933333333333053E-2</v>
      </c>
      <c r="P849">
        <f t="shared" ref="P849:R912" si="81">POWER(M849,2)</f>
        <v>1.4566944421221398E-3</v>
      </c>
      <c r="Q849">
        <f t="shared" si="81"/>
        <v>5.3823999981418254E-4</v>
      </c>
      <c r="R849">
        <f t="shared" si="81"/>
        <v>2.5942044444444159E-3</v>
      </c>
      <c r="S849">
        <f t="shared" si="78"/>
        <v>1.9949344419363225E-3</v>
      </c>
      <c r="T849">
        <f t="shared" si="79"/>
        <v>4.4664688982867913E-2</v>
      </c>
    </row>
    <row r="850" spans="1:20" x14ac:dyDescent="0.3">
      <c r="A850" s="2" t="s">
        <v>1305</v>
      </c>
      <c r="B850" s="2" t="s">
        <v>1327</v>
      </c>
      <c r="C850" s="2" t="s">
        <v>1308</v>
      </c>
      <c r="D850" s="4" t="s">
        <v>1309</v>
      </c>
      <c r="E850" s="8">
        <v>388773.94949999993</v>
      </c>
      <c r="F850" s="8">
        <v>233695.03776666665</v>
      </c>
      <c r="G850" s="8">
        <v>62.287666666666667</v>
      </c>
      <c r="H850" s="8"/>
      <c r="I850" s="8"/>
      <c r="J850" s="5" t="s">
        <v>1438</v>
      </c>
      <c r="K850" s="5" t="s">
        <v>1439</v>
      </c>
      <c r="L850" s="5" t="s">
        <v>1437</v>
      </c>
      <c r="M850" s="3">
        <f t="shared" si="80"/>
        <v>2.9300000052899122E-2</v>
      </c>
      <c r="N850" s="3">
        <f t="shared" si="80"/>
        <v>-2.4966666649561375E-2</v>
      </c>
      <c r="O850" s="3">
        <f t="shared" si="77"/>
        <v>0.23493333333333055</v>
      </c>
      <c r="P850">
        <f t="shared" si="81"/>
        <v>8.5849000309988857E-4</v>
      </c>
      <c r="Q850">
        <f t="shared" si="81"/>
        <v>6.233344435903202E-4</v>
      </c>
      <c r="R850">
        <f t="shared" si="81"/>
        <v>5.5193671111109802E-2</v>
      </c>
      <c r="S850">
        <f t="shared" si="78"/>
        <v>1.4818244466902088E-3</v>
      </c>
      <c r="T850">
        <f t="shared" si="79"/>
        <v>3.8494472936906263E-2</v>
      </c>
    </row>
    <row r="851" spans="1:20" x14ac:dyDescent="0.3">
      <c r="A851" s="2" t="s">
        <v>1305</v>
      </c>
      <c r="B851" s="2" t="s">
        <v>1327</v>
      </c>
      <c r="C851" s="2" t="s">
        <v>1317</v>
      </c>
      <c r="D851" s="4" t="s">
        <v>1310</v>
      </c>
      <c r="E851" s="8">
        <v>388773.9414666667</v>
      </c>
      <c r="F851" s="8">
        <v>233695.0336</v>
      </c>
      <c r="G851" s="8">
        <v>62.307333333333332</v>
      </c>
      <c r="H851" s="8"/>
      <c r="I851" s="8"/>
      <c r="J851" s="5" t="s">
        <v>1438</v>
      </c>
      <c r="K851" s="5" t="s">
        <v>1439</v>
      </c>
      <c r="L851" s="5" t="s">
        <v>1437</v>
      </c>
      <c r="M851" s="3">
        <f t="shared" si="80"/>
        <v>3.7333333282731473E-2</v>
      </c>
      <c r="N851" s="3">
        <f t="shared" si="80"/>
        <v>-2.0799999998416752E-2</v>
      </c>
      <c r="O851" s="3">
        <f t="shared" si="77"/>
        <v>0.21526666666666472</v>
      </c>
      <c r="P851">
        <f t="shared" si="81"/>
        <v>1.3937777739995057E-3</v>
      </c>
      <c r="Q851">
        <f t="shared" si="81"/>
        <v>4.3263999993413686E-4</v>
      </c>
      <c r="R851">
        <f t="shared" si="81"/>
        <v>4.6339737777776939E-2</v>
      </c>
      <c r="S851">
        <f t="shared" si="78"/>
        <v>1.8264177739336425E-3</v>
      </c>
      <c r="T851">
        <f t="shared" si="79"/>
        <v>4.273660929383194E-2</v>
      </c>
    </row>
    <row r="852" spans="1:20" x14ac:dyDescent="0.3">
      <c r="A852" s="2" t="s">
        <v>1305</v>
      </c>
      <c r="B852" s="2" t="s">
        <v>1328</v>
      </c>
      <c r="C852" s="2" t="s">
        <v>20</v>
      </c>
      <c r="D852" s="2" t="s">
        <v>30</v>
      </c>
      <c r="E852" s="8">
        <v>374502.7599</v>
      </c>
      <c r="F852" s="8">
        <v>221048.97096666667</v>
      </c>
      <c r="G852" s="8">
        <v>41.347999999999999</v>
      </c>
      <c r="H852" s="8"/>
      <c r="I852" s="8"/>
      <c r="J852" s="5" t="s">
        <v>1440</v>
      </c>
      <c r="K852" s="5" t="s">
        <v>1441</v>
      </c>
      <c r="L852" s="5" t="s">
        <v>1442</v>
      </c>
      <c r="M852" s="3">
        <f t="shared" si="80"/>
        <v>2.3899999971035868E-2</v>
      </c>
      <c r="N852" s="3">
        <f t="shared" si="80"/>
        <v>-2.0366666663903743E-2</v>
      </c>
      <c r="O852" s="3">
        <f t="shared" si="77"/>
        <v>9.5999999999989427E-3</v>
      </c>
      <c r="P852">
        <f t="shared" si="81"/>
        <v>5.7120999861551454E-4</v>
      </c>
      <c r="Q852">
        <f t="shared" si="81"/>
        <v>4.1480111099856805E-4</v>
      </c>
      <c r="R852">
        <f t="shared" si="81"/>
        <v>9.2159999999979697E-5</v>
      </c>
      <c r="S852">
        <f t="shared" si="78"/>
        <v>9.8601110961408253E-4</v>
      </c>
      <c r="T852">
        <f t="shared" si="79"/>
        <v>3.1400813836811342E-2</v>
      </c>
    </row>
    <row r="853" spans="1:20" x14ac:dyDescent="0.3">
      <c r="A853" s="2" t="s">
        <v>1305</v>
      </c>
      <c r="B853" s="2" t="s">
        <v>1328</v>
      </c>
      <c r="C853" s="2" t="s">
        <v>20</v>
      </c>
      <c r="D853" s="2" t="s">
        <v>21</v>
      </c>
      <c r="E853" s="8">
        <v>374502.7608333333</v>
      </c>
      <c r="F853" s="8">
        <v>221048.9566</v>
      </c>
      <c r="G853" s="8">
        <v>41.354333333333336</v>
      </c>
      <c r="H853" s="8"/>
      <c r="I853" s="8"/>
      <c r="J853" s="5" t="s">
        <v>1440</v>
      </c>
      <c r="K853" s="5" t="s">
        <v>1441</v>
      </c>
      <c r="L853" s="5" t="s">
        <v>1442</v>
      </c>
      <c r="M853" s="3">
        <f t="shared" si="80"/>
        <v>2.2966666670981795E-2</v>
      </c>
      <c r="N853" s="3">
        <f t="shared" si="80"/>
        <v>-5.9999999939464033E-3</v>
      </c>
      <c r="O853" s="3">
        <f t="shared" si="77"/>
        <v>1.5933333333336464E-2</v>
      </c>
      <c r="P853">
        <f t="shared" si="81"/>
        <v>5.2746777797598604E-4</v>
      </c>
      <c r="Q853">
        <f t="shared" si="81"/>
        <v>3.5999999927356836E-5</v>
      </c>
      <c r="R853">
        <f t="shared" si="81"/>
        <v>2.5387111111121086E-4</v>
      </c>
      <c r="S853">
        <f t="shared" si="78"/>
        <v>5.6346777790334287E-4</v>
      </c>
      <c r="T853">
        <f t="shared" si="79"/>
        <v>2.3737476232812596E-2</v>
      </c>
    </row>
    <row r="854" spans="1:20" x14ac:dyDescent="0.3">
      <c r="A854" s="2" t="s">
        <v>1305</v>
      </c>
      <c r="B854" s="2" t="s">
        <v>1329</v>
      </c>
      <c r="C854" s="2" t="s">
        <v>20</v>
      </c>
      <c r="D854" s="2" t="s">
        <v>110</v>
      </c>
      <c r="E854" s="8">
        <v>374502.75296666665</v>
      </c>
      <c r="F854" s="8">
        <v>221048.96686666668</v>
      </c>
      <c r="G854" s="8">
        <v>41.378</v>
      </c>
      <c r="H854" s="8"/>
      <c r="I854" s="8"/>
      <c r="J854" s="5" t="s">
        <v>1443</v>
      </c>
      <c r="K854" s="5" t="s">
        <v>1444</v>
      </c>
      <c r="L854" s="5" t="s">
        <v>1442</v>
      </c>
      <c r="M854" s="3">
        <f t="shared" si="80"/>
        <v>3.0833333323244005E-2</v>
      </c>
      <c r="N854" s="3">
        <f t="shared" si="80"/>
        <v>-1.6266666672891006E-2</v>
      </c>
      <c r="O854" s="3">
        <f t="shared" si="77"/>
        <v>3.960000000000008E-2</v>
      </c>
      <c r="P854">
        <f t="shared" si="81"/>
        <v>9.5069444382226928E-4</v>
      </c>
      <c r="Q854">
        <f t="shared" si="81"/>
        <v>2.6460444464694295E-4</v>
      </c>
      <c r="R854">
        <f t="shared" si="81"/>
        <v>1.5681600000000064E-3</v>
      </c>
      <c r="S854">
        <f t="shared" si="78"/>
        <v>1.2152988884692123E-3</v>
      </c>
      <c r="T854">
        <f t="shared" si="79"/>
        <v>3.4861137222833287E-2</v>
      </c>
    </row>
    <row r="855" spans="1:20" x14ac:dyDescent="0.3">
      <c r="A855" s="2" t="s">
        <v>1305</v>
      </c>
      <c r="B855" s="2" t="s">
        <v>1329</v>
      </c>
      <c r="C855" s="2" t="s">
        <v>20</v>
      </c>
      <c r="D855" s="4" t="s">
        <v>37</v>
      </c>
      <c r="E855" s="8">
        <v>374502.7634</v>
      </c>
      <c r="F855" s="8">
        <v>221048.96466666667</v>
      </c>
      <c r="G855" s="8">
        <v>41.445666666666675</v>
      </c>
      <c r="H855" s="8"/>
      <c r="I855" s="8"/>
      <c r="J855" s="5" t="s">
        <v>1443</v>
      </c>
      <c r="K855" s="5" t="s">
        <v>1444</v>
      </c>
      <c r="L855" s="5" t="s">
        <v>1442</v>
      </c>
      <c r="M855" s="3">
        <f t="shared" si="80"/>
        <v>2.0399999979417771E-2</v>
      </c>
      <c r="N855" s="3">
        <f t="shared" si="80"/>
        <v>-1.4066666655708104E-2</v>
      </c>
      <c r="O855" s="3">
        <f t="shared" si="77"/>
        <v>0.10726666666667484</v>
      </c>
      <c r="P855">
        <f t="shared" si="81"/>
        <v>4.1615999916024509E-4</v>
      </c>
      <c r="Q855">
        <f t="shared" si="81"/>
        <v>1.9787111080281022E-4</v>
      </c>
      <c r="R855">
        <f t="shared" si="81"/>
        <v>1.1506137777779531E-2</v>
      </c>
      <c r="S855">
        <f t="shared" si="78"/>
        <v>6.1403110996305528E-4</v>
      </c>
      <c r="T855">
        <f t="shared" si="79"/>
        <v>2.4779651126742186E-2</v>
      </c>
    </row>
    <row r="856" spans="1:20" x14ac:dyDescent="0.3">
      <c r="A856" s="2" t="s">
        <v>1305</v>
      </c>
      <c r="B856" s="2" t="s">
        <v>1329</v>
      </c>
      <c r="C856" s="2" t="s">
        <v>20</v>
      </c>
      <c r="D856" s="4" t="s">
        <v>46</v>
      </c>
      <c r="E856" s="8">
        <v>374502.76773333334</v>
      </c>
      <c r="F856" s="8">
        <v>221048.96660000001</v>
      </c>
      <c r="G856" s="8">
        <v>41.416999999999994</v>
      </c>
      <c r="H856" s="8"/>
      <c r="I856" s="8"/>
      <c r="J856" s="5" t="s">
        <v>1443</v>
      </c>
      <c r="K856" s="5" t="s">
        <v>1444</v>
      </c>
      <c r="L856" s="5" t="s">
        <v>1442</v>
      </c>
      <c r="M856" s="3">
        <f t="shared" si="80"/>
        <v>1.6066666634287685E-2</v>
      </c>
      <c r="N856" s="3">
        <f t="shared" si="80"/>
        <v>-1.6000000003259629E-2</v>
      </c>
      <c r="O856" s="3">
        <f t="shared" si="77"/>
        <v>7.8599999999994452E-2</v>
      </c>
      <c r="P856">
        <f t="shared" si="81"/>
        <v>2.5813777673733317E-4</v>
      </c>
      <c r="Q856">
        <f t="shared" si="81"/>
        <v>2.5600000010430815E-4</v>
      </c>
      <c r="R856">
        <f t="shared" si="81"/>
        <v>6.177959999999128E-3</v>
      </c>
      <c r="S856">
        <f t="shared" si="78"/>
        <v>5.1413777684164138E-4</v>
      </c>
      <c r="T856">
        <f t="shared" si="79"/>
        <v>2.2674606431901775E-2</v>
      </c>
    </row>
    <row r="857" spans="1:20" x14ac:dyDescent="0.3">
      <c r="A857" s="2" t="s">
        <v>1305</v>
      </c>
      <c r="B857" s="2" t="s">
        <v>1329</v>
      </c>
      <c r="C857" s="2" t="s">
        <v>51</v>
      </c>
      <c r="D857" s="2" t="s">
        <v>63</v>
      </c>
      <c r="E857" s="8">
        <v>374502.766</v>
      </c>
      <c r="F857" s="8">
        <v>221048.97270000001</v>
      </c>
      <c r="G857" s="8">
        <v>41.418333333333329</v>
      </c>
      <c r="H857" s="8"/>
      <c r="I857" s="8"/>
      <c r="J857" s="5" t="s">
        <v>1443</v>
      </c>
      <c r="K857" s="5" t="s">
        <v>1444</v>
      </c>
      <c r="L857" s="5" t="s">
        <v>1442</v>
      </c>
      <c r="M857" s="3">
        <f t="shared" si="80"/>
        <v>1.779999997233972E-2</v>
      </c>
      <c r="N857" s="3">
        <f t="shared" si="80"/>
        <v>-2.2100000001955777E-2</v>
      </c>
      <c r="O857" s="3">
        <f t="shared" si="77"/>
        <v>7.9933333333329415E-2</v>
      </c>
      <c r="P857">
        <f t="shared" si="81"/>
        <v>3.1683999901529401E-4</v>
      </c>
      <c r="Q857">
        <f t="shared" si="81"/>
        <v>4.8841000008644539E-4</v>
      </c>
      <c r="R857">
        <f t="shared" si="81"/>
        <v>6.389337777777151E-3</v>
      </c>
      <c r="S857">
        <f t="shared" si="78"/>
        <v>8.0524999910173934E-4</v>
      </c>
      <c r="T857">
        <f t="shared" si="79"/>
        <v>2.8376927231498116E-2</v>
      </c>
    </row>
    <row r="858" spans="1:20" x14ac:dyDescent="0.3">
      <c r="A858" s="2" t="s">
        <v>1305</v>
      </c>
      <c r="B858" s="2" t="s">
        <v>1329</v>
      </c>
      <c r="C858" s="2" t="s">
        <v>51</v>
      </c>
      <c r="D858" s="2" t="s">
        <v>30</v>
      </c>
      <c r="E858" s="8">
        <v>374502.7659</v>
      </c>
      <c r="F858" s="8">
        <v>221048.97099999999</v>
      </c>
      <c r="G858" s="8">
        <v>41.39</v>
      </c>
      <c r="H858" s="8"/>
      <c r="I858" s="8"/>
      <c r="J858" s="5" t="s">
        <v>1443</v>
      </c>
      <c r="K858" s="5" t="s">
        <v>1444</v>
      </c>
      <c r="L858" s="5" t="s">
        <v>1442</v>
      </c>
      <c r="M858" s="3">
        <f t="shared" si="80"/>
        <v>1.7899999977089465E-2</v>
      </c>
      <c r="N858" s="3">
        <f t="shared" si="80"/>
        <v>-2.0399999979417771E-2</v>
      </c>
      <c r="O858" s="3">
        <f t="shared" si="77"/>
        <v>5.1600000000000534E-2</v>
      </c>
      <c r="P858">
        <f t="shared" si="81"/>
        <v>3.2040999917980282E-4</v>
      </c>
      <c r="Q858">
        <f t="shared" si="81"/>
        <v>4.1615999916024509E-4</v>
      </c>
      <c r="R858">
        <f t="shared" si="81"/>
        <v>2.6625600000000551E-3</v>
      </c>
      <c r="S858">
        <f t="shared" si="78"/>
        <v>7.3656999834004785E-4</v>
      </c>
      <c r="T858">
        <f t="shared" si="79"/>
        <v>2.7139823108120065E-2</v>
      </c>
    </row>
    <row r="859" spans="1:20" x14ac:dyDescent="0.3">
      <c r="A859" s="2" t="s">
        <v>1305</v>
      </c>
      <c r="B859" s="2" t="s">
        <v>1329</v>
      </c>
      <c r="C859" s="2" t="s">
        <v>57</v>
      </c>
      <c r="D859" s="4" t="s">
        <v>52</v>
      </c>
      <c r="E859" s="8">
        <v>374502.77349999995</v>
      </c>
      <c r="F859" s="8">
        <v>221048.96790000002</v>
      </c>
      <c r="G859" s="8">
        <v>41.375333333333337</v>
      </c>
      <c r="H859" s="8"/>
      <c r="I859" s="8"/>
      <c r="J859" s="5" t="s">
        <v>1443</v>
      </c>
      <c r="K859" s="5" t="s">
        <v>1444</v>
      </c>
      <c r="L859" s="5" t="s">
        <v>1442</v>
      </c>
      <c r="M859" s="3">
        <f t="shared" si="80"/>
        <v>1.0300000023562461E-2</v>
      </c>
      <c r="N859" s="3">
        <f t="shared" si="80"/>
        <v>-1.7300000006798655E-2</v>
      </c>
      <c r="O859" s="3">
        <f t="shared" si="77"/>
        <v>3.6933333333337259E-2</v>
      </c>
      <c r="P859">
        <f t="shared" si="81"/>
        <v>1.060900004853867E-4</v>
      </c>
      <c r="Q859">
        <f t="shared" si="81"/>
        <v>2.9929000023523345E-4</v>
      </c>
      <c r="R859">
        <f t="shared" si="81"/>
        <v>1.364071111111401E-3</v>
      </c>
      <c r="S859">
        <f t="shared" si="78"/>
        <v>4.0538000072062018E-4</v>
      </c>
      <c r="T859">
        <f t="shared" si="79"/>
        <v>2.0134050777740185E-2</v>
      </c>
    </row>
    <row r="860" spans="1:20" x14ac:dyDescent="0.3">
      <c r="A860" s="2" t="s">
        <v>1305</v>
      </c>
      <c r="B860" s="2" t="s">
        <v>1329</v>
      </c>
      <c r="C860" s="2" t="s">
        <v>1308</v>
      </c>
      <c r="D860" s="4" t="s">
        <v>1309</v>
      </c>
      <c r="E860" s="8">
        <v>374502.77123333327</v>
      </c>
      <c r="F860" s="8">
        <v>221048.973</v>
      </c>
      <c r="G860" s="8">
        <v>41.489333333333327</v>
      </c>
      <c r="H860" s="8"/>
      <c r="I860" s="8"/>
      <c r="J860" s="5" t="s">
        <v>1443</v>
      </c>
      <c r="K860" s="5" t="s">
        <v>1444</v>
      </c>
      <c r="L860" s="5" t="s">
        <v>1442</v>
      </c>
      <c r="M860" s="3">
        <f t="shared" si="80"/>
        <v>1.2566666700877249E-2</v>
      </c>
      <c r="N860" s="3">
        <f t="shared" si="80"/>
        <v>-2.2399999987101182E-2</v>
      </c>
      <c r="O860" s="3">
        <f t="shared" ref="O860:O923" si="82">ABS(L860-G860)</f>
        <v>0.15093333333332737</v>
      </c>
      <c r="P860">
        <f t="shared" si="81"/>
        <v>1.5792111197093707E-4</v>
      </c>
      <c r="Q860">
        <f t="shared" si="81"/>
        <v>5.01759999422133E-4</v>
      </c>
      <c r="R860">
        <f t="shared" si="81"/>
        <v>2.278087111110931E-2</v>
      </c>
      <c r="S860">
        <f t="shared" ref="S860:S923" si="83">P860+Q860</f>
        <v>6.5968111139307008E-4</v>
      </c>
      <c r="T860">
        <f t="shared" ref="T860:T923" si="84">SQRT(S860)</f>
        <v>2.5684258046380668E-2</v>
      </c>
    </row>
    <row r="861" spans="1:20" x14ac:dyDescent="0.3">
      <c r="A861" s="2" t="s">
        <v>1305</v>
      </c>
      <c r="B861" s="2" t="s">
        <v>1329</v>
      </c>
      <c r="C861" s="2" t="s">
        <v>1317</v>
      </c>
      <c r="D861" s="4" t="s">
        <v>1310</v>
      </c>
      <c r="E861" s="8">
        <v>374502.77523333329</v>
      </c>
      <c r="F861" s="8">
        <v>221048.96633333332</v>
      </c>
      <c r="G861" s="8">
        <v>41.494</v>
      </c>
      <c r="H861" s="8"/>
      <c r="I861" s="8"/>
      <c r="J861" s="5" t="s">
        <v>1443</v>
      </c>
      <c r="K861" s="5" t="s">
        <v>1444</v>
      </c>
      <c r="L861" s="5" t="s">
        <v>1442</v>
      </c>
      <c r="M861" s="3">
        <f t="shared" si="80"/>
        <v>8.5666666855104268E-3</v>
      </c>
      <c r="N861" s="3">
        <f t="shared" si="80"/>
        <v>-1.5733333304524422E-2</v>
      </c>
      <c r="O861" s="3">
        <f t="shared" si="82"/>
        <v>0.15559999999999974</v>
      </c>
      <c r="P861">
        <f t="shared" si="81"/>
        <v>7.3387778100634198E-5</v>
      </c>
      <c r="Q861">
        <f t="shared" si="81"/>
        <v>2.4753777687125736E-4</v>
      </c>
      <c r="R861">
        <f t="shared" si="81"/>
        <v>2.4211359999999918E-2</v>
      </c>
      <c r="S861">
        <f t="shared" si="83"/>
        <v>3.2092555497189158E-4</v>
      </c>
      <c r="T861">
        <f t="shared" si="84"/>
        <v>1.791439518855972E-2</v>
      </c>
    </row>
    <row r="862" spans="1:20" x14ac:dyDescent="0.3">
      <c r="A862" s="2" t="s">
        <v>1305</v>
      </c>
      <c r="B862" s="2" t="s">
        <v>1330</v>
      </c>
      <c r="C862" s="2" t="s">
        <v>20</v>
      </c>
      <c r="D862" s="2" t="s">
        <v>30</v>
      </c>
      <c r="E862" s="8">
        <v>363334.95556666673</v>
      </c>
      <c r="F862" s="8">
        <v>220308.70313333336</v>
      </c>
      <c r="G862" s="8">
        <v>66.932333333333332</v>
      </c>
      <c r="H862" s="8"/>
      <c r="I862" s="8"/>
      <c r="J862" s="5" t="s">
        <v>1445</v>
      </c>
      <c r="K862" s="5" t="s">
        <v>1446</v>
      </c>
      <c r="L862" s="5" t="s">
        <v>1447</v>
      </c>
      <c r="M862" s="3">
        <f t="shared" si="80"/>
        <v>1.7333333264105022E-2</v>
      </c>
      <c r="N862" s="3">
        <f t="shared" si="80"/>
        <v>2.866666647605598E-3</v>
      </c>
      <c r="O862" s="3">
        <f t="shared" si="82"/>
        <v>1.1966666666666015E-2</v>
      </c>
      <c r="P862">
        <f t="shared" si="81"/>
        <v>3.0044444204452964E-4</v>
      </c>
      <c r="Q862">
        <f t="shared" si="81"/>
        <v>8.2177776684943176E-6</v>
      </c>
      <c r="R862">
        <f t="shared" si="81"/>
        <v>1.432011111110955E-4</v>
      </c>
      <c r="S862">
        <f t="shared" si="83"/>
        <v>3.0866221971302395E-4</v>
      </c>
      <c r="T862">
        <f t="shared" si="84"/>
        <v>1.7568785379559509E-2</v>
      </c>
    </row>
    <row r="863" spans="1:20" x14ac:dyDescent="0.3">
      <c r="A863" s="2" t="s">
        <v>1305</v>
      </c>
      <c r="B863" s="2" t="s">
        <v>1330</v>
      </c>
      <c r="C863" s="2" t="s">
        <v>20</v>
      </c>
      <c r="D863" s="2" t="s">
        <v>21</v>
      </c>
      <c r="E863" s="8">
        <v>363334.96316666668</v>
      </c>
      <c r="F863" s="8">
        <v>220308.70513333334</v>
      </c>
      <c r="G863" s="8">
        <v>66.919666666666672</v>
      </c>
      <c r="H863" s="8"/>
      <c r="I863" s="8"/>
      <c r="J863" s="5" t="s">
        <v>1445</v>
      </c>
      <c r="K863" s="5" t="s">
        <v>1446</v>
      </c>
      <c r="L863" s="5" t="s">
        <v>1447</v>
      </c>
      <c r="M863" s="3">
        <f t="shared" si="80"/>
        <v>9.7333333105780184E-3</v>
      </c>
      <c r="N863" s="3">
        <f t="shared" si="80"/>
        <v>8.6666666902601719E-4</v>
      </c>
      <c r="O863" s="3">
        <f t="shared" si="82"/>
        <v>2.4633333333326846E-2</v>
      </c>
      <c r="P863">
        <f t="shared" si="81"/>
        <v>9.4737777334807645E-5</v>
      </c>
      <c r="Q863">
        <f t="shared" si="81"/>
        <v>7.5111111520065202E-7</v>
      </c>
      <c r="R863">
        <f t="shared" si="81"/>
        <v>6.0680111111079149E-4</v>
      </c>
      <c r="S863">
        <f t="shared" si="83"/>
        <v>9.5488888450008297E-5</v>
      </c>
      <c r="T863">
        <f t="shared" si="84"/>
        <v>9.7718416099529717E-3</v>
      </c>
    </row>
    <row r="864" spans="1:20" x14ac:dyDescent="0.3">
      <c r="A864" s="2" t="s">
        <v>1305</v>
      </c>
      <c r="B864" s="2" t="s">
        <v>1331</v>
      </c>
      <c r="C864" s="2" t="s">
        <v>20</v>
      </c>
      <c r="D864" s="2" t="s">
        <v>110</v>
      </c>
      <c r="E864" s="8">
        <v>363334.95716666663</v>
      </c>
      <c r="F864" s="8">
        <v>220308.71153333332</v>
      </c>
      <c r="G864" s="8">
        <v>66.935000000000002</v>
      </c>
      <c r="H864" s="8"/>
      <c r="I864" s="8"/>
      <c r="J864" s="5" t="s">
        <v>1448</v>
      </c>
      <c r="K864" s="5" t="s">
        <v>1449</v>
      </c>
      <c r="L864" s="5" t="s">
        <v>1447</v>
      </c>
      <c r="M864" s="3">
        <f t="shared" si="80"/>
        <v>1.5733333362732083E-2</v>
      </c>
      <c r="N864" s="3">
        <f t="shared" si="80"/>
        <v>-5.5333333148155361E-3</v>
      </c>
      <c r="O864" s="3">
        <f t="shared" si="82"/>
        <v>9.2999999999960892E-3</v>
      </c>
      <c r="P864">
        <f t="shared" si="81"/>
        <v>2.4753777870285842E-4</v>
      </c>
      <c r="Q864">
        <f t="shared" si="81"/>
        <v>3.0617777572847488E-5</v>
      </c>
      <c r="R864">
        <f t="shared" si="81"/>
        <v>8.6489999999927257E-5</v>
      </c>
      <c r="S864">
        <f t="shared" si="83"/>
        <v>2.7815555627570593E-4</v>
      </c>
      <c r="T864">
        <f t="shared" si="84"/>
        <v>1.6677996170874544E-2</v>
      </c>
    </row>
    <row r="865" spans="1:20" x14ac:dyDescent="0.3">
      <c r="A865" s="2" t="s">
        <v>1305</v>
      </c>
      <c r="B865" s="2" t="s">
        <v>1331</v>
      </c>
      <c r="C865" s="2" t="s">
        <v>20</v>
      </c>
      <c r="D865" s="4" t="s">
        <v>37</v>
      </c>
      <c r="E865" s="8">
        <v>363334.96266666666</v>
      </c>
      <c r="F865" s="8">
        <v>220308.69656666668</v>
      </c>
      <c r="G865" s="8">
        <v>66.961333333333343</v>
      </c>
      <c r="H865" s="8"/>
      <c r="I865" s="8"/>
      <c r="J865" s="5" t="s">
        <v>1448</v>
      </c>
      <c r="K865" s="5" t="s">
        <v>1449</v>
      </c>
      <c r="L865" s="5" t="s">
        <v>1447</v>
      </c>
      <c r="M865" s="3">
        <f t="shared" si="80"/>
        <v>1.0233333334326744E-2</v>
      </c>
      <c r="N865" s="3">
        <f t="shared" si="80"/>
        <v>9.4333333254326135E-3</v>
      </c>
      <c r="O865" s="3">
        <f t="shared" si="82"/>
        <v>1.7033333333344558E-2</v>
      </c>
      <c r="P865">
        <f t="shared" si="81"/>
        <v>1.0472111113144292E-4</v>
      </c>
      <c r="Q865">
        <f t="shared" si="81"/>
        <v>8.8987777628717529E-5</v>
      </c>
      <c r="R865">
        <f t="shared" si="81"/>
        <v>2.9013444444482686E-4</v>
      </c>
      <c r="S865">
        <f t="shared" si="83"/>
        <v>1.9370888876016045E-4</v>
      </c>
      <c r="T865">
        <f t="shared" si="84"/>
        <v>1.3917934069399828E-2</v>
      </c>
    </row>
    <row r="866" spans="1:20" x14ac:dyDescent="0.3">
      <c r="A866" s="2" t="s">
        <v>1305</v>
      </c>
      <c r="B866" s="2" t="s">
        <v>1331</v>
      </c>
      <c r="C866" s="2" t="s">
        <v>20</v>
      </c>
      <c r="D866" s="4" t="s">
        <v>46</v>
      </c>
      <c r="E866" s="8">
        <v>363334.96729999996</v>
      </c>
      <c r="F866" s="8">
        <v>220308.70083333334</v>
      </c>
      <c r="G866" s="8">
        <v>66.938666666666677</v>
      </c>
      <c r="H866" s="8"/>
      <c r="I866" s="8"/>
      <c r="J866" s="5" t="s">
        <v>1448</v>
      </c>
      <c r="K866" s="5" t="s">
        <v>1449</v>
      </c>
      <c r="L866" s="5" t="s">
        <v>1447</v>
      </c>
      <c r="M866" s="3">
        <f t="shared" si="80"/>
        <v>5.6000000331550837E-3</v>
      </c>
      <c r="N866" s="3">
        <f t="shared" si="80"/>
        <v>5.1666666695382446E-3</v>
      </c>
      <c r="O866" s="3">
        <f t="shared" si="82"/>
        <v>5.6333333333213886E-3</v>
      </c>
      <c r="P866">
        <f t="shared" si="81"/>
        <v>3.1360000371336938E-5</v>
      </c>
      <c r="Q866">
        <f t="shared" si="81"/>
        <v>2.6694444474117416E-5</v>
      </c>
      <c r="R866">
        <f t="shared" si="81"/>
        <v>3.1734444444309865E-5</v>
      </c>
      <c r="S866">
        <f t="shared" si="83"/>
        <v>5.8054444845454354E-5</v>
      </c>
      <c r="T866">
        <f t="shared" si="84"/>
        <v>7.6193467466348025E-3</v>
      </c>
    </row>
    <row r="867" spans="1:20" x14ac:dyDescent="0.3">
      <c r="A867" s="2" t="s">
        <v>1305</v>
      </c>
      <c r="B867" s="2" t="s">
        <v>1331</v>
      </c>
      <c r="C867" s="2" t="s">
        <v>51</v>
      </c>
      <c r="D867" s="2" t="s">
        <v>63</v>
      </c>
      <c r="E867" s="8">
        <v>363334.98099999997</v>
      </c>
      <c r="F867" s="8">
        <v>220308.71223333335</v>
      </c>
      <c r="G867" s="8">
        <v>66.862333333333325</v>
      </c>
      <c r="H867" s="8"/>
      <c r="I867" s="8"/>
      <c r="J867" s="5" t="s">
        <v>1448</v>
      </c>
      <c r="K867" s="5" t="s">
        <v>1449</v>
      </c>
      <c r="L867" s="5" t="s">
        <v>1447</v>
      </c>
      <c r="M867" s="3">
        <f t="shared" si="80"/>
        <v>-8.0999999772757292E-3</v>
      </c>
      <c r="N867" s="3">
        <f t="shared" si="80"/>
        <v>-6.2333333480637521E-3</v>
      </c>
      <c r="O867" s="3">
        <f t="shared" si="82"/>
        <v>8.1966666666673405E-2</v>
      </c>
      <c r="P867">
        <f t="shared" si="81"/>
        <v>6.5609999631866813E-5</v>
      </c>
      <c r="Q867">
        <f t="shared" si="81"/>
        <v>3.8854444628083664E-5</v>
      </c>
      <c r="R867">
        <f t="shared" si="81"/>
        <v>6.7185344444455489E-3</v>
      </c>
      <c r="S867">
        <f t="shared" si="83"/>
        <v>1.0446444425995048E-4</v>
      </c>
      <c r="T867">
        <f t="shared" si="84"/>
        <v>1.0220784914083188E-2</v>
      </c>
    </row>
    <row r="868" spans="1:20" x14ac:dyDescent="0.3">
      <c r="A868" s="2" t="s">
        <v>1305</v>
      </c>
      <c r="B868" s="2" t="s">
        <v>1331</v>
      </c>
      <c r="C868" s="2" t="s">
        <v>51</v>
      </c>
      <c r="D868" s="2" t="s">
        <v>30</v>
      </c>
      <c r="E868" s="8">
        <v>363334.96786666667</v>
      </c>
      <c r="F868" s="8">
        <v>220308.69963333334</v>
      </c>
      <c r="G868" s="8">
        <v>66.929000000000016</v>
      </c>
      <c r="H868" s="8"/>
      <c r="I868" s="8"/>
      <c r="J868" s="5" t="s">
        <v>1448</v>
      </c>
      <c r="K868" s="5" t="s">
        <v>1449</v>
      </c>
      <c r="L868" s="5" t="s">
        <v>1447</v>
      </c>
      <c r="M868" s="3">
        <f t="shared" si="80"/>
        <v>5.0333333201706409E-3</v>
      </c>
      <c r="N868" s="3">
        <f t="shared" si="80"/>
        <v>6.3666666683275253E-3</v>
      </c>
      <c r="O868" s="3">
        <f t="shared" si="82"/>
        <v>1.5299999999982106E-2</v>
      </c>
      <c r="P868">
        <f t="shared" si="81"/>
        <v>2.5334444311940008E-5</v>
      </c>
      <c r="Q868">
        <f t="shared" si="81"/>
        <v>4.053444446559271E-5</v>
      </c>
      <c r="R868">
        <f t="shared" si="81"/>
        <v>2.3408999999945243E-4</v>
      </c>
      <c r="S868">
        <f t="shared" si="83"/>
        <v>6.5868888777532718E-5</v>
      </c>
      <c r="T868">
        <f t="shared" si="84"/>
        <v>8.115965055218801E-3</v>
      </c>
    </row>
    <row r="869" spans="1:20" x14ac:dyDescent="0.3">
      <c r="A869" s="2" t="s">
        <v>1305</v>
      </c>
      <c r="B869" s="2" t="s">
        <v>1331</v>
      </c>
      <c r="C869" s="2" t="s">
        <v>57</v>
      </c>
      <c r="D869" s="4" t="s">
        <v>52</v>
      </c>
      <c r="E869" s="8">
        <v>363334.95876666671</v>
      </c>
      <c r="F869" s="8">
        <v>220308.69923333335</v>
      </c>
      <c r="G869" s="8">
        <v>66.931333333333328</v>
      </c>
      <c r="H869" s="8"/>
      <c r="I869" s="8"/>
      <c r="J869" s="5" t="s">
        <v>1448</v>
      </c>
      <c r="K869" s="5" t="s">
        <v>1449</v>
      </c>
      <c r="L869" s="5" t="s">
        <v>1447</v>
      </c>
      <c r="M869" s="3">
        <f t="shared" si="80"/>
        <v>1.4133333286736161E-2</v>
      </c>
      <c r="N869" s="3">
        <f t="shared" si="80"/>
        <v>6.7666666582226753E-3</v>
      </c>
      <c r="O869" s="3">
        <f t="shared" si="82"/>
        <v>1.296666666667079E-2</v>
      </c>
      <c r="P869">
        <f t="shared" si="81"/>
        <v>1.9975110979396436E-4</v>
      </c>
      <c r="Q869">
        <f t="shared" si="81"/>
        <v>4.5787777663502428E-5</v>
      </c>
      <c r="R869">
        <f t="shared" si="81"/>
        <v>1.6813444444455138E-4</v>
      </c>
      <c r="S869">
        <f t="shared" si="83"/>
        <v>2.4553888745746679E-4</v>
      </c>
      <c r="T869">
        <f t="shared" si="84"/>
        <v>1.5669680515488081E-2</v>
      </c>
    </row>
    <row r="870" spans="1:20" x14ac:dyDescent="0.3">
      <c r="A870" s="2" t="s">
        <v>1305</v>
      </c>
      <c r="B870" s="2" t="s">
        <v>1331</v>
      </c>
      <c r="C870" s="2" t="s">
        <v>1308</v>
      </c>
      <c r="D870" s="4" t="s">
        <v>1309</v>
      </c>
      <c r="E870" s="8">
        <v>363334.93890000001</v>
      </c>
      <c r="F870" s="8">
        <v>220308.68636666666</v>
      </c>
      <c r="G870" s="8">
        <v>66.833333333333329</v>
      </c>
      <c r="H870" s="8"/>
      <c r="I870" s="8"/>
      <c r="J870" s="5" t="s">
        <v>1448</v>
      </c>
      <c r="K870" s="5" t="s">
        <v>1449</v>
      </c>
      <c r="L870" s="5" t="s">
        <v>1447</v>
      </c>
      <c r="M870" s="3">
        <f t="shared" si="80"/>
        <v>3.3999999985098839E-2</v>
      </c>
      <c r="N870" s="3">
        <f t="shared" si="80"/>
        <v>1.9633333344245329E-2</v>
      </c>
      <c r="O870" s="3">
        <f t="shared" si="82"/>
        <v>0.11096666666666977</v>
      </c>
      <c r="P870">
        <f t="shared" si="81"/>
        <v>1.155999998986721E-3</v>
      </c>
      <c r="Q870">
        <f t="shared" si="81"/>
        <v>3.8546777820625547E-4</v>
      </c>
      <c r="R870">
        <f t="shared" si="81"/>
        <v>1.2313601111111799E-2</v>
      </c>
      <c r="S870">
        <f t="shared" si="83"/>
        <v>1.5414677771929766E-3</v>
      </c>
      <c r="T870">
        <f t="shared" si="84"/>
        <v>3.9261530499879606E-2</v>
      </c>
    </row>
    <row r="871" spans="1:20" x14ac:dyDescent="0.3">
      <c r="A871" s="2" t="s">
        <v>1305</v>
      </c>
      <c r="B871" s="2" t="s">
        <v>1331</v>
      </c>
      <c r="C871" s="2" t="s">
        <v>1317</v>
      </c>
      <c r="D871" s="4" t="s">
        <v>1310</v>
      </c>
      <c r="E871" s="8">
        <v>363334.94116666663</v>
      </c>
      <c r="F871" s="8">
        <v>220308.68663333333</v>
      </c>
      <c r="G871" s="8">
        <v>66.85199999999999</v>
      </c>
      <c r="H871" s="8"/>
      <c r="I871" s="8"/>
      <c r="J871" s="5" t="s">
        <v>1448</v>
      </c>
      <c r="K871" s="5" t="s">
        <v>1449</v>
      </c>
      <c r="L871" s="5" t="s">
        <v>1447</v>
      </c>
      <c r="M871" s="3">
        <f t="shared" si="80"/>
        <v>3.1733333365991712E-2</v>
      </c>
      <c r="N871" s="3">
        <f t="shared" si="80"/>
        <v>1.9366666674613953E-2</v>
      </c>
      <c r="O871" s="3">
        <f t="shared" si="82"/>
        <v>9.2300000000008708E-2</v>
      </c>
      <c r="P871">
        <f t="shared" si="81"/>
        <v>1.0070044465171628E-3</v>
      </c>
      <c r="Q871">
        <f t="shared" si="81"/>
        <v>3.7506777808560265E-4</v>
      </c>
      <c r="R871">
        <f t="shared" si="81"/>
        <v>8.5192900000016069E-3</v>
      </c>
      <c r="S871">
        <f t="shared" si="83"/>
        <v>1.3820722246027655E-3</v>
      </c>
      <c r="T871">
        <f t="shared" si="84"/>
        <v>3.7176231985003069E-2</v>
      </c>
    </row>
    <row r="872" spans="1:20" x14ac:dyDescent="0.3">
      <c r="A872" s="2" t="s">
        <v>1305</v>
      </c>
      <c r="B872" s="2" t="s">
        <v>1332</v>
      </c>
      <c r="C872" s="2" t="s">
        <v>20</v>
      </c>
      <c r="D872" s="2" t="s">
        <v>30</v>
      </c>
      <c r="E872" s="8">
        <v>356458.19116666663</v>
      </c>
      <c r="F872" s="8">
        <v>197200.21823333335</v>
      </c>
      <c r="G872" s="8">
        <v>236.04566666666665</v>
      </c>
      <c r="H872" s="8"/>
      <c r="I872" s="8"/>
      <c r="J872" s="5" t="s">
        <v>1450</v>
      </c>
      <c r="K872" s="5" t="s">
        <v>1451</v>
      </c>
      <c r="L872" s="5" t="s">
        <v>1452</v>
      </c>
      <c r="M872" s="3">
        <f t="shared" si="80"/>
        <v>-9.366666607093066E-3</v>
      </c>
      <c r="N872" s="3">
        <f t="shared" si="80"/>
        <v>6.8666666629724205E-3</v>
      </c>
      <c r="O872" s="3">
        <f t="shared" si="82"/>
        <v>6.5366666666648143E-2</v>
      </c>
      <c r="P872">
        <f t="shared" si="81"/>
        <v>8.7734443328432325E-5</v>
      </c>
      <c r="Q872">
        <f t="shared" si="81"/>
        <v>4.7151111060376793E-5</v>
      </c>
      <c r="R872">
        <f t="shared" si="81"/>
        <v>4.2728011111086896E-3</v>
      </c>
      <c r="S872">
        <f t="shared" si="83"/>
        <v>1.3488555438880912E-4</v>
      </c>
      <c r="T872">
        <f t="shared" si="84"/>
        <v>1.161402403944512E-2</v>
      </c>
    </row>
    <row r="873" spans="1:20" x14ac:dyDescent="0.3">
      <c r="A873" s="2" t="s">
        <v>1305</v>
      </c>
      <c r="B873" s="2" t="s">
        <v>1332</v>
      </c>
      <c r="C873" s="2" t="s">
        <v>20</v>
      </c>
      <c r="D873" s="2" t="s">
        <v>21</v>
      </c>
      <c r="E873" s="8">
        <v>356458.18556666671</v>
      </c>
      <c r="F873" s="8">
        <v>197200.22589999999</v>
      </c>
      <c r="G873" s="8">
        <v>236.02933333333331</v>
      </c>
      <c r="H873" s="8"/>
      <c r="I873" s="8"/>
      <c r="J873" s="5" t="s">
        <v>1450</v>
      </c>
      <c r="K873" s="5" t="s">
        <v>1451</v>
      </c>
      <c r="L873" s="5" t="s">
        <v>1452</v>
      </c>
      <c r="M873" s="3">
        <f t="shared" si="80"/>
        <v>-3.7666666903533041E-3</v>
      </c>
      <c r="N873" s="3">
        <f t="shared" si="80"/>
        <v>-7.9999997979030013E-4</v>
      </c>
      <c r="O873" s="3">
        <f t="shared" si="82"/>
        <v>4.9033333333312612E-2</v>
      </c>
      <c r="P873">
        <f t="shared" si="81"/>
        <v>1.4187777956217114E-5</v>
      </c>
      <c r="Q873">
        <f t="shared" si="81"/>
        <v>6.3999996766448062E-7</v>
      </c>
      <c r="R873">
        <f t="shared" si="81"/>
        <v>2.4042677777757456E-3</v>
      </c>
      <c r="S873">
        <f t="shared" si="83"/>
        <v>1.4827777923881595E-5</v>
      </c>
      <c r="T873">
        <f t="shared" si="84"/>
        <v>3.850685383653356E-3</v>
      </c>
    </row>
    <row r="874" spans="1:20" x14ac:dyDescent="0.3">
      <c r="A874" s="2" t="s">
        <v>1305</v>
      </c>
      <c r="B874" s="2" t="s">
        <v>1333</v>
      </c>
      <c r="C874" s="2" t="s">
        <v>20</v>
      </c>
      <c r="D874" s="2" t="s">
        <v>110</v>
      </c>
      <c r="E874" s="8">
        <v>356458.1828666667</v>
      </c>
      <c r="F874" s="8">
        <v>197200.22339999999</v>
      </c>
      <c r="G874" s="8">
        <v>236.02666666666664</v>
      </c>
      <c r="H874" s="8"/>
      <c r="I874" s="8"/>
      <c r="J874" s="5" t="s">
        <v>1453</v>
      </c>
      <c r="K874" s="5" t="s">
        <v>1454</v>
      </c>
      <c r="L874" s="5" t="s">
        <v>1452</v>
      </c>
      <c r="M874" s="3">
        <f t="shared" si="80"/>
        <v>-1.0666666785255075E-3</v>
      </c>
      <c r="N874" s="3">
        <f t="shared" si="80"/>
        <v>1.7000000225380063E-3</v>
      </c>
      <c r="O874" s="3">
        <f t="shared" si="82"/>
        <v>4.6366666666642686E-2</v>
      </c>
      <c r="P874">
        <f t="shared" si="81"/>
        <v>1.1377778030766383E-6</v>
      </c>
      <c r="Q874">
        <f t="shared" si="81"/>
        <v>2.8900000766292219E-6</v>
      </c>
      <c r="R874">
        <f t="shared" si="81"/>
        <v>2.1498677777755542E-3</v>
      </c>
      <c r="S874">
        <f t="shared" si="83"/>
        <v>4.0277778797058602E-6</v>
      </c>
      <c r="T874">
        <f t="shared" si="84"/>
        <v>2.0069324551927155E-3</v>
      </c>
    </row>
    <row r="875" spans="1:20" x14ac:dyDescent="0.3">
      <c r="A875" s="2" t="s">
        <v>1305</v>
      </c>
      <c r="B875" s="2" t="s">
        <v>1333</v>
      </c>
      <c r="C875" s="2" t="s">
        <v>20</v>
      </c>
      <c r="D875" s="4" t="s">
        <v>37</v>
      </c>
      <c r="E875" s="8">
        <v>356458.19010000001</v>
      </c>
      <c r="F875" s="8">
        <v>197200.22966666668</v>
      </c>
      <c r="G875" s="8">
        <v>236.077</v>
      </c>
      <c r="H875" s="8"/>
      <c r="I875" s="8"/>
      <c r="J875" s="5" t="s">
        <v>1453</v>
      </c>
      <c r="K875" s="5" t="s">
        <v>1454</v>
      </c>
      <c r="L875" s="5" t="s">
        <v>1452</v>
      </c>
      <c r="M875" s="3">
        <f t="shared" si="80"/>
        <v>-8.2999999867752194E-3</v>
      </c>
      <c r="N875" s="3">
        <f t="shared" si="80"/>
        <v>-4.5666666701436043E-3</v>
      </c>
      <c r="O875" s="3">
        <f t="shared" si="82"/>
        <v>9.6699999999998454E-2</v>
      </c>
      <c r="P875">
        <f t="shared" si="81"/>
        <v>6.8889999780468643E-5</v>
      </c>
      <c r="Q875">
        <f t="shared" si="81"/>
        <v>2.0854444476200475E-5</v>
      </c>
      <c r="R875">
        <f t="shared" si="81"/>
        <v>9.3508899999997005E-3</v>
      </c>
      <c r="S875">
        <f t="shared" si="83"/>
        <v>8.9744444256669118E-5</v>
      </c>
      <c r="T875">
        <f t="shared" si="84"/>
        <v>9.473354435292132E-3</v>
      </c>
    </row>
    <row r="876" spans="1:20" x14ac:dyDescent="0.3">
      <c r="A876" s="2" t="s">
        <v>1305</v>
      </c>
      <c r="B876" s="2" t="s">
        <v>1333</v>
      </c>
      <c r="C876" s="2" t="s">
        <v>20</v>
      </c>
      <c r="D876" s="4" t="s">
        <v>46</v>
      </c>
      <c r="E876" s="8">
        <v>356458.18763333332</v>
      </c>
      <c r="F876" s="8">
        <v>197200.23123333332</v>
      </c>
      <c r="G876" s="8">
        <v>236.08033333333333</v>
      </c>
      <c r="H876" s="8"/>
      <c r="I876" s="8"/>
      <c r="J876" s="5" t="s">
        <v>1453</v>
      </c>
      <c r="K876" s="5" t="s">
        <v>1454</v>
      </c>
      <c r="L876" s="5" t="s">
        <v>1452</v>
      </c>
      <c r="M876" s="3">
        <f t="shared" si="80"/>
        <v>-5.8333332999609411E-3</v>
      </c>
      <c r="N876" s="3">
        <f t="shared" si="80"/>
        <v>-6.1333333142101765E-3</v>
      </c>
      <c r="O876" s="3">
        <f t="shared" si="82"/>
        <v>0.10003333333332876</v>
      </c>
      <c r="P876">
        <f t="shared" si="81"/>
        <v>3.4027777388433199E-5</v>
      </c>
      <c r="Q876">
        <f t="shared" si="81"/>
        <v>3.7617777543200387E-5</v>
      </c>
      <c r="R876">
        <f t="shared" si="81"/>
        <v>1.0006667777776862E-2</v>
      </c>
      <c r="S876">
        <f t="shared" si="83"/>
        <v>7.1645554931633586E-5</v>
      </c>
      <c r="T876">
        <f t="shared" si="84"/>
        <v>8.4643697303244964E-3</v>
      </c>
    </row>
    <row r="877" spans="1:20" x14ac:dyDescent="0.3">
      <c r="A877" s="2" t="s">
        <v>1305</v>
      </c>
      <c r="B877" s="2" t="s">
        <v>1333</v>
      </c>
      <c r="C877" s="2" t="s">
        <v>51</v>
      </c>
      <c r="D877" s="2" t="s">
        <v>63</v>
      </c>
      <c r="E877" s="8">
        <v>356458.1595666667</v>
      </c>
      <c r="F877" s="8">
        <v>197200.24639999997</v>
      </c>
      <c r="G877" s="8">
        <v>236.02133333333333</v>
      </c>
      <c r="H877" s="8"/>
      <c r="I877" s="8"/>
      <c r="J877" s="5" t="s">
        <v>1453</v>
      </c>
      <c r="K877" s="5" t="s">
        <v>1454</v>
      </c>
      <c r="L877" s="5" t="s">
        <v>1452</v>
      </c>
      <c r="M877" s="3">
        <f t="shared" si="80"/>
        <v>2.2233333322219551E-2</v>
      </c>
      <c r="N877" s="3">
        <f t="shared" si="80"/>
        <v>-2.1299999963957816E-2</v>
      </c>
      <c r="O877" s="3">
        <f t="shared" si="82"/>
        <v>4.1033333333331257E-2</v>
      </c>
      <c r="P877">
        <f t="shared" si="81"/>
        <v>4.9432111061691823E-4</v>
      </c>
      <c r="Q877">
        <f t="shared" si="81"/>
        <v>4.53689998464603E-4</v>
      </c>
      <c r="R877">
        <f t="shared" si="81"/>
        <v>1.683734444444274E-3</v>
      </c>
      <c r="S877">
        <f t="shared" si="83"/>
        <v>9.4801110908152128E-4</v>
      </c>
      <c r="T877">
        <f t="shared" si="84"/>
        <v>3.0789789039250028E-2</v>
      </c>
    </row>
    <row r="878" spans="1:20" x14ac:dyDescent="0.3">
      <c r="A878" s="2" t="s">
        <v>1305</v>
      </c>
      <c r="B878" s="2" t="s">
        <v>1333</v>
      </c>
      <c r="C878" s="2" t="s">
        <v>51</v>
      </c>
      <c r="D878" s="2" t="s">
        <v>30</v>
      </c>
      <c r="E878" s="8">
        <v>356458.17259999999</v>
      </c>
      <c r="F878" s="8">
        <v>197200.24603333333</v>
      </c>
      <c r="G878" s="8">
        <v>236.01966666666667</v>
      </c>
      <c r="H878" s="8"/>
      <c r="I878" s="8"/>
      <c r="J878" s="5" t="s">
        <v>1453</v>
      </c>
      <c r="K878" s="5" t="s">
        <v>1454</v>
      </c>
      <c r="L878" s="5" t="s">
        <v>1452</v>
      </c>
      <c r="M878" s="3">
        <f t="shared" si="80"/>
        <v>9.2000000295229256E-3</v>
      </c>
      <c r="N878" s="3">
        <f t="shared" si="80"/>
        <v>-2.0933333318680525E-2</v>
      </c>
      <c r="O878" s="3">
        <f t="shared" si="82"/>
        <v>3.9366666666666106E-2</v>
      </c>
      <c r="P878">
        <f t="shared" si="81"/>
        <v>8.4640000543221829E-5</v>
      </c>
      <c r="Q878">
        <f t="shared" si="81"/>
        <v>4.382044438309802E-4</v>
      </c>
      <c r="R878">
        <f t="shared" si="81"/>
        <v>1.5497344444444002E-3</v>
      </c>
      <c r="S878">
        <f t="shared" si="83"/>
        <v>5.22844444374202E-4</v>
      </c>
      <c r="T878">
        <f t="shared" si="84"/>
        <v>2.2865792012834413E-2</v>
      </c>
    </row>
    <row r="879" spans="1:20" x14ac:dyDescent="0.3">
      <c r="A879" s="2" t="s">
        <v>1305</v>
      </c>
      <c r="B879" s="2" t="s">
        <v>1333</v>
      </c>
      <c r="C879" s="2" t="s">
        <v>57</v>
      </c>
      <c r="D879" s="4" t="s">
        <v>52</v>
      </c>
      <c r="E879" s="8">
        <v>356458.17463333328</v>
      </c>
      <c r="F879" s="8">
        <v>197200.24033333335</v>
      </c>
      <c r="G879" s="8">
        <v>236.02566666666667</v>
      </c>
      <c r="H879" s="8"/>
      <c r="I879" s="8"/>
      <c r="J879" s="5" t="s">
        <v>1453</v>
      </c>
      <c r="K879" s="5" t="s">
        <v>1454</v>
      </c>
      <c r="L879" s="5" t="s">
        <v>1452</v>
      </c>
      <c r="M879" s="3">
        <f t="shared" si="80"/>
        <v>7.1666667354293168E-3</v>
      </c>
      <c r="N879" s="3">
        <f t="shared" si="80"/>
        <v>-1.5233333338983357E-2</v>
      </c>
      <c r="O879" s="3">
        <f t="shared" si="82"/>
        <v>4.5366666666666333E-2</v>
      </c>
      <c r="P879">
        <f t="shared" si="81"/>
        <v>5.1361112096709097E-5</v>
      </c>
      <c r="Q879">
        <f t="shared" si="81"/>
        <v>2.3205444461658182E-4</v>
      </c>
      <c r="R879">
        <f t="shared" si="81"/>
        <v>2.0581344444444141E-3</v>
      </c>
      <c r="S879">
        <f t="shared" si="83"/>
        <v>2.8341555671329089E-4</v>
      </c>
      <c r="T879">
        <f t="shared" si="84"/>
        <v>1.6834950451762278E-2</v>
      </c>
    </row>
    <row r="880" spans="1:20" x14ac:dyDescent="0.3">
      <c r="A880" s="2" t="s">
        <v>1305</v>
      </c>
      <c r="B880" s="2" t="s">
        <v>1333</v>
      </c>
      <c r="C880" s="2" t="s">
        <v>1308</v>
      </c>
      <c r="D880" s="4" t="s">
        <v>1309</v>
      </c>
      <c r="E880" s="8">
        <v>356458.17036666669</v>
      </c>
      <c r="F880" s="8">
        <v>197200.24706666663</v>
      </c>
      <c r="G880" s="8">
        <v>235.82066666666665</v>
      </c>
      <c r="H880" s="8"/>
      <c r="I880" s="8"/>
      <c r="J880" s="5" t="s">
        <v>1453</v>
      </c>
      <c r="K880" s="5" t="s">
        <v>1454</v>
      </c>
      <c r="L880" s="5" t="s">
        <v>1452</v>
      </c>
      <c r="M880" s="3">
        <f t="shared" si="80"/>
        <v>1.1433333333116025E-2</v>
      </c>
      <c r="N880" s="3">
        <f t="shared" si="80"/>
        <v>-2.1966666623484343E-2</v>
      </c>
      <c r="O880" s="3">
        <f t="shared" si="82"/>
        <v>0.15963333333334617</v>
      </c>
      <c r="P880">
        <f t="shared" si="81"/>
        <v>1.3072111110614198E-4</v>
      </c>
      <c r="Q880">
        <f t="shared" si="81"/>
        <v>4.8253444254730106E-4</v>
      </c>
      <c r="R880">
        <f t="shared" si="81"/>
        <v>2.548280111111521E-2</v>
      </c>
      <c r="S880">
        <f t="shared" si="83"/>
        <v>6.1325555365344302E-4</v>
      </c>
      <c r="T880">
        <f t="shared" si="84"/>
        <v>2.4763997125937545E-2</v>
      </c>
    </row>
    <row r="881" spans="1:20" x14ac:dyDescent="0.3">
      <c r="A881" s="2" t="s">
        <v>1305</v>
      </c>
      <c r="B881" s="2" t="s">
        <v>1333</v>
      </c>
      <c r="C881" s="2" t="s">
        <v>1317</v>
      </c>
      <c r="D881" s="4" t="s">
        <v>1310</v>
      </c>
      <c r="E881" s="8">
        <v>356458.17293333332</v>
      </c>
      <c r="F881" s="8">
        <v>197200.24266666666</v>
      </c>
      <c r="G881" s="8">
        <v>235.82133333333331</v>
      </c>
      <c r="H881" s="8"/>
      <c r="I881" s="8"/>
      <c r="J881" s="5" t="s">
        <v>1453</v>
      </c>
      <c r="K881" s="5" t="s">
        <v>1454</v>
      </c>
      <c r="L881" s="5" t="s">
        <v>1452</v>
      </c>
      <c r="M881" s="3">
        <f t="shared" si="80"/>
        <v>8.8666666997596622E-3</v>
      </c>
      <c r="N881" s="3">
        <f t="shared" si="80"/>
        <v>-1.7566666647326201E-2</v>
      </c>
      <c r="O881" s="3">
        <f t="shared" si="82"/>
        <v>0.1589666666666858</v>
      </c>
      <c r="P881">
        <f t="shared" si="81"/>
        <v>7.8617778364626899E-5</v>
      </c>
      <c r="Q881">
        <f t="shared" si="81"/>
        <v>3.0858777709828278E-4</v>
      </c>
      <c r="R881">
        <f t="shared" si="81"/>
        <v>2.5270401111117193E-2</v>
      </c>
      <c r="S881">
        <f t="shared" si="83"/>
        <v>3.8720555546290967E-4</v>
      </c>
      <c r="T881">
        <f t="shared" si="84"/>
        <v>1.9677539365045359E-2</v>
      </c>
    </row>
    <row r="882" spans="1:20" x14ac:dyDescent="0.3">
      <c r="A882" s="2" t="s">
        <v>1305</v>
      </c>
      <c r="B882" s="2" t="s">
        <v>1334</v>
      </c>
      <c r="C882" s="2" t="s">
        <v>20</v>
      </c>
      <c r="D882" s="2" t="s">
        <v>30</v>
      </c>
      <c r="E882" s="8">
        <v>341754.06313333334</v>
      </c>
      <c r="F882" s="8">
        <v>204660.36753333334</v>
      </c>
      <c r="G882" s="8">
        <v>457.59099999999995</v>
      </c>
      <c r="H882" s="8"/>
      <c r="I882" s="8"/>
      <c r="J882" s="5" t="s">
        <v>1455</v>
      </c>
      <c r="K882" s="5" t="s">
        <v>1456</v>
      </c>
      <c r="L882" s="5" t="s">
        <v>1457</v>
      </c>
      <c r="M882" s="3">
        <f>J882-E882</f>
        <v>-6.4333333284594119E-3</v>
      </c>
      <c r="N882" s="3">
        <f>K882-F882</f>
        <v>1.7666666535660625E-3</v>
      </c>
      <c r="O882" s="3">
        <f>ABS(L882-G882)</f>
        <v>0.12820000000004939</v>
      </c>
      <c r="P882">
        <f t="shared" si="81"/>
        <v>4.1387777715066651E-5</v>
      </c>
      <c r="Q882">
        <f t="shared" si="81"/>
        <v>3.1211110648223097E-6</v>
      </c>
      <c r="R882">
        <f t="shared" si="81"/>
        <v>1.6435240000012664E-2</v>
      </c>
      <c r="S882">
        <f t="shared" si="83"/>
        <v>4.4508888779888961E-5</v>
      </c>
      <c r="T882">
        <f t="shared" si="84"/>
        <v>6.6714982410167028E-3</v>
      </c>
    </row>
    <row r="883" spans="1:20" x14ac:dyDescent="0.3">
      <c r="A883" s="2" t="s">
        <v>1305</v>
      </c>
      <c r="B883" s="2" t="s">
        <v>1334</v>
      </c>
      <c r="C883" s="2" t="s">
        <v>20</v>
      </c>
      <c r="D883" s="2" t="s">
        <v>21</v>
      </c>
      <c r="E883" s="8">
        <v>341754.04099999997</v>
      </c>
      <c r="F883" s="8">
        <v>204660.37596666664</v>
      </c>
      <c r="G883" s="8">
        <v>457.66833333333335</v>
      </c>
      <c r="H883" s="8"/>
      <c r="I883" s="8"/>
      <c r="J883" s="5" t="s">
        <v>1455</v>
      </c>
      <c r="K883" s="5" t="s">
        <v>1456</v>
      </c>
      <c r="L883" s="5" t="s">
        <v>1457</v>
      </c>
      <c r="M883" s="3">
        <f>J883-E883</f>
        <v>1.5700000047218055E-2</v>
      </c>
      <c r="N883" s="3">
        <f>K883-F883</f>
        <v>-6.6666666534729302E-3</v>
      </c>
      <c r="O883" s="3">
        <f>ABS(L883-G883)</f>
        <v>5.0866666666649962E-2</v>
      </c>
      <c r="P883">
        <f t="shared" si="81"/>
        <v>2.4649000148264694E-4</v>
      </c>
      <c r="Q883">
        <f t="shared" si="81"/>
        <v>4.4444444268527955E-5</v>
      </c>
      <c r="R883">
        <f t="shared" si="81"/>
        <v>2.5874177777760782E-3</v>
      </c>
      <c r="S883">
        <f t="shared" si="83"/>
        <v>2.9093444575117487E-4</v>
      </c>
      <c r="T883">
        <f t="shared" si="84"/>
        <v>1.7056800571947098E-2</v>
      </c>
    </row>
    <row r="884" spans="1:20" x14ac:dyDescent="0.3">
      <c r="A884" s="2" t="s">
        <v>1305</v>
      </c>
      <c r="B884" s="2" t="s">
        <v>1335</v>
      </c>
      <c r="C884" s="2" t="s">
        <v>20</v>
      </c>
      <c r="D884" s="2" t="s">
        <v>110</v>
      </c>
      <c r="E884" s="8">
        <v>341754.6161333333</v>
      </c>
      <c r="F884" s="8">
        <v>204660.39283333335</v>
      </c>
      <c r="G884" s="8">
        <v>456.21599999999995</v>
      </c>
      <c r="H884" s="13" t="s">
        <v>1385</v>
      </c>
      <c r="I884" s="13" t="s">
        <v>1386</v>
      </c>
      <c r="J884" s="5" t="s">
        <v>1458</v>
      </c>
      <c r="K884" s="5" t="s">
        <v>1459</v>
      </c>
      <c r="L884" s="5" t="s">
        <v>1457</v>
      </c>
      <c r="M884" s="3">
        <f>J884-E884</f>
        <v>-0.55943333328468725</v>
      </c>
      <c r="N884" s="3">
        <f>K884-F884</f>
        <v>-2.3533333354862407E-2</v>
      </c>
      <c r="O884" s="3">
        <f>ABS(L884-G884)</f>
        <v>1.5032000000000494</v>
      </c>
      <c r="P884">
        <f t="shared" si="81"/>
        <v>0.31296565439001595</v>
      </c>
      <c r="Q884">
        <f t="shared" si="81"/>
        <v>5.5381777879107954E-4</v>
      </c>
      <c r="R884">
        <f t="shared" si="81"/>
        <v>2.2596102400001485</v>
      </c>
      <c r="S884">
        <f t="shared" si="83"/>
        <v>0.31351947216880705</v>
      </c>
      <c r="T884">
        <f t="shared" si="84"/>
        <v>0.55992809553442402</v>
      </c>
    </row>
    <row r="885" spans="1:20" x14ac:dyDescent="0.3">
      <c r="A885" s="2" t="s">
        <v>1305</v>
      </c>
      <c r="B885" s="2" t="s">
        <v>1335</v>
      </c>
      <c r="C885" s="2" t="s">
        <v>20</v>
      </c>
      <c r="D885" s="4" t="s">
        <v>37</v>
      </c>
      <c r="E885" s="8">
        <v>341754.07366666663</v>
      </c>
      <c r="F885" s="8">
        <v>204660.36426666667</v>
      </c>
      <c r="G885" s="8">
        <v>457.61833333333334</v>
      </c>
      <c r="H885" s="8"/>
      <c r="I885" s="8"/>
      <c r="J885" s="5" t="s">
        <v>1458</v>
      </c>
      <c r="K885" s="5" t="s">
        <v>1459</v>
      </c>
      <c r="L885" s="5" t="s">
        <v>1457</v>
      </c>
      <c r="M885" s="3">
        <f>J885-E885</f>
        <v>-1.696666661882773E-2</v>
      </c>
      <c r="N885" s="3">
        <f>K885-F885</f>
        <v>5.0333333201706409E-3</v>
      </c>
      <c r="O885" s="3">
        <f>ABS(L885-G885)</f>
        <v>0.10086666666666133</v>
      </c>
      <c r="P885">
        <f t="shared" si="81"/>
        <v>2.8786777615444321E-4</v>
      </c>
      <c r="Q885">
        <f t="shared" si="81"/>
        <v>2.5334444311940008E-5</v>
      </c>
      <c r="R885">
        <f t="shared" si="81"/>
        <v>1.0174084444443367E-2</v>
      </c>
      <c r="S885">
        <f t="shared" si="83"/>
        <v>3.1320222046638321E-4</v>
      </c>
      <c r="T885">
        <f t="shared" si="84"/>
        <v>1.7697520178442606E-2</v>
      </c>
    </row>
    <row r="886" spans="1:20" x14ac:dyDescent="0.3">
      <c r="A886" s="2" t="s">
        <v>1305</v>
      </c>
      <c r="B886" s="2" t="s">
        <v>1335</v>
      </c>
      <c r="C886" s="2" t="s">
        <v>20</v>
      </c>
      <c r="D886" s="4" t="s">
        <v>46</v>
      </c>
      <c r="E886" s="8">
        <v>341754.10303333338</v>
      </c>
      <c r="F886" s="8">
        <v>204660.35766666671</v>
      </c>
      <c r="G886" s="8">
        <v>457.61899999999997</v>
      </c>
      <c r="H886" s="8"/>
      <c r="I886" s="8"/>
      <c r="J886" s="5" t="s">
        <v>1458</v>
      </c>
      <c r="K886" s="5" t="s">
        <v>1459</v>
      </c>
      <c r="L886" s="5" t="s">
        <v>1457</v>
      </c>
      <c r="M886" s="3">
        <f>J886-E886</f>
        <v>-4.633333336096257E-2</v>
      </c>
      <c r="N886" s="3">
        <f>K886-F886</f>
        <v>1.1633333284407854E-2</v>
      </c>
      <c r="O886" s="3">
        <f>ABS(L886-G886)</f>
        <v>0.10020000000002938</v>
      </c>
      <c r="P886">
        <f t="shared" si="81"/>
        <v>2.146777780338087E-3</v>
      </c>
      <c r="Q886">
        <f t="shared" si="81"/>
        <v>1.3533444330611163E-4</v>
      </c>
      <c r="R886">
        <f t="shared" si="81"/>
        <v>1.0040040000005888E-2</v>
      </c>
      <c r="S886">
        <f t="shared" si="83"/>
        <v>2.2821122236441988E-3</v>
      </c>
      <c r="T886">
        <f t="shared" si="84"/>
        <v>4.7771458253272933E-2</v>
      </c>
    </row>
    <row r="887" spans="1:20" x14ac:dyDescent="0.3">
      <c r="A887" s="2" t="s">
        <v>1305</v>
      </c>
      <c r="B887" s="2" t="s">
        <v>1335</v>
      </c>
      <c r="C887" s="2" t="s">
        <v>51</v>
      </c>
      <c r="D887" s="2" t="s">
        <v>63</v>
      </c>
      <c r="E887" s="8">
        <v>341754.05206666671</v>
      </c>
      <c r="F887" s="8">
        <v>204660.36970000001</v>
      </c>
      <c r="G887" s="8">
        <v>457.68166666666667</v>
      </c>
      <c r="H887" s="8"/>
      <c r="I887" s="8"/>
      <c r="J887" s="5" t="s">
        <v>1458</v>
      </c>
      <c r="K887" s="5" t="s">
        <v>1459</v>
      </c>
      <c r="L887" s="5" t="s">
        <v>1457</v>
      </c>
      <c r="M887" s="3">
        <f>J887-E887</f>
        <v>4.6333333011716604E-3</v>
      </c>
      <c r="N887" s="3">
        <f>K887-F887</f>
        <v>-4.0000001899898052E-4</v>
      </c>
      <c r="O887" s="3">
        <f>ABS(L887-G887)</f>
        <v>3.7533333333328756E-2</v>
      </c>
      <c r="P887">
        <f t="shared" si="81"/>
        <v>2.1467777479746277E-5</v>
      </c>
      <c r="Q887">
        <f t="shared" si="81"/>
        <v>1.6000001519918478E-7</v>
      </c>
      <c r="R887">
        <f t="shared" si="81"/>
        <v>1.4087511111107675E-3</v>
      </c>
      <c r="S887">
        <f t="shared" si="83"/>
        <v>2.1627777494945461E-5</v>
      </c>
      <c r="T887">
        <f t="shared" si="84"/>
        <v>4.6505674379526485E-3</v>
      </c>
    </row>
    <row r="888" spans="1:20" x14ac:dyDescent="0.3">
      <c r="A888" s="2" t="s">
        <v>1305</v>
      </c>
      <c r="B888" s="2" t="s">
        <v>1335</v>
      </c>
      <c r="C888" s="2" t="s">
        <v>51</v>
      </c>
      <c r="D888" s="2" t="s">
        <v>30</v>
      </c>
      <c r="E888" s="8">
        <v>341754.08333333331</v>
      </c>
      <c r="F888" s="8">
        <v>204660.36523333332</v>
      </c>
      <c r="G888" s="8">
        <v>457.64266666666663</v>
      </c>
      <c r="H888" s="13" t="s">
        <v>1387</v>
      </c>
      <c r="I888" s="13" t="s">
        <v>1388</v>
      </c>
      <c r="J888" s="5" t="s">
        <v>1458</v>
      </c>
      <c r="K888" s="5" t="s">
        <v>1459</v>
      </c>
      <c r="L888" s="5" t="s">
        <v>1457</v>
      </c>
      <c r="M888" s="3">
        <f>J888-E888</f>
        <v>-2.6633333298377693E-2</v>
      </c>
      <c r="N888" s="3">
        <f>K888-F888</f>
        <v>4.0666666754987091E-3</v>
      </c>
      <c r="O888" s="3">
        <f>ABS(L888-G888)</f>
        <v>7.6533333333372866E-2</v>
      </c>
      <c r="P888">
        <f t="shared" si="81"/>
        <v>7.0933444258247397E-4</v>
      </c>
      <c r="Q888">
        <f t="shared" si="81"/>
        <v>1.6537777849611722E-5</v>
      </c>
      <c r="R888">
        <f t="shared" si="81"/>
        <v>5.8573511111171626E-3</v>
      </c>
      <c r="S888">
        <f t="shared" si="83"/>
        <v>7.2587222043208569E-4</v>
      </c>
      <c r="T888">
        <f t="shared" si="84"/>
        <v>2.6942015893991408E-2</v>
      </c>
    </row>
    <row r="889" spans="1:20" x14ac:dyDescent="0.3">
      <c r="A889" s="2" t="s">
        <v>1305</v>
      </c>
      <c r="B889" s="2" t="s">
        <v>1335</v>
      </c>
      <c r="C889" s="2" t="s">
        <v>57</v>
      </c>
      <c r="D889" s="4" t="s">
        <v>52</v>
      </c>
      <c r="E889" s="8">
        <v>341754.06556666666</v>
      </c>
      <c r="F889" s="8">
        <v>204660.37673333334</v>
      </c>
      <c r="G889" s="8">
        <v>457.70666666666665</v>
      </c>
      <c r="H889" s="8"/>
      <c r="I889" s="8"/>
      <c r="J889" s="5" t="s">
        <v>1458</v>
      </c>
      <c r="K889" s="5" t="s">
        <v>1459</v>
      </c>
      <c r="L889" s="5" t="s">
        <v>1457</v>
      </c>
      <c r="M889" s="3">
        <f>J889-E889</f>
        <v>-8.8666666415520012E-3</v>
      </c>
      <c r="N889" s="3">
        <f>K889-F889</f>
        <v>-7.4333333468530327E-3</v>
      </c>
      <c r="O889" s="3">
        <f>ABS(L889-G889)</f>
        <v>1.2533333333351493E-2</v>
      </c>
      <c r="P889">
        <f t="shared" si="81"/>
        <v>7.8617777332411041E-5</v>
      </c>
      <c r="Q889">
        <f t="shared" si="81"/>
        <v>5.5254444645437308E-5</v>
      </c>
      <c r="R889">
        <f t="shared" si="81"/>
        <v>1.5708444444489965E-4</v>
      </c>
      <c r="S889">
        <f t="shared" si="83"/>
        <v>1.3387222197784834E-4</v>
      </c>
      <c r="T889">
        <f t="shared" si="84"/>
        <v>1.1570316416496498E-2</v>
      </c>
    </row>
    <row r="890" spans="1:20" x14ac:dyDescent="0.3">
      <c r="A890" s="2" t="s">
        <v>1305</v>
      </c>
      <c r="B890" s="2" t="s">
        <v>1335</v>
      </c>
      <c r="C890" s="2" t="s">
        <v>1308</v>
      </c>
      <c r="D890" s="4" t="s">
        <v>1309</v>
      </c>
      <c r="E890" s="8">
        <v>341754.09983333334</v>
      </c>
      <c r="F890" s="8">
        <v>204660.35656666671</v>
      </c>
      <c r="G890" s="8">
        <v>457.548</v>
      </c>
      <c r="H890" s="8"/>
      <c r="I890" s="8"/>
      <c r="J890" s="5" t="s">
        <v>1458</v>
      </c>
      <c r="K890" s="5" t="s">
        <v>1459</v>
      </c>
      <c r="L890" s="5" t="s">
        <v>1457</v>
      </c>
      <c r="M890" s="3">
        <f>J890-E890</f>
        <v>-4.3133333325386047E-2</v>
      </c>
      <c r="N890" s="3">
        <f>K890-F890</f>
        <v>1.273333327844739E-2</v>
      </c>
      <c r="O890" s="3">
        <f>ABS(L890-G890)</f>
        <v>0.17119999999999891</v>
      </c>
      <c r="P890">
        <f t="shared" si="81"/>
        <v>1.8604844437588586E-3</v>
      </c>
      <c r="Q890">
        <f t="shared" si="81"/>
        <v>1.6213777638001575E-4</v>
      </c>
      <c r="R890">
        <f t="shared" si="81"/>
        <v>2.9309439999999628E-2</v>
      </c>
      <c r="S890">
        <f t="shared" si="83"/>
        <v>2.0226222201388741E-3</v>
      </c>
      <c r="T890">
        <f t="shared" si="84"/>
        <v>4.4973572463602153E-2</v>
      </c>
    </row>
    <row r="891" spans="1:20" x14ac:dyDescent="0.3">
      <c r="A891" s="2" t="s">
        <v>1305</v>
      </c>
      <c r="B891" s="2" t="s">
        <v>1336</v>
      </c>
      <c r="C891" s="2" t="s">
        <v>20</v>
      </c>
      <c r="D891" s="2" t="s">
        <v>30</v>
      </c>
      <c r="E891" s="8">
        <v>339704.18540000002</v>
      </c>
      <c r="F891" s="8">
        <v>220043.50023333333</v>
      </c>
      <c r="G891" s="8">
        <v>186.97633333333332</v>
      </c>
      <c r="H891" s="8"/>
      <c r="I891" s="8"/>
      <c r="J891" s="5" t="s">
        <v>1460</v>
      </c>
      <c r="K891" s="5" t="s">
        <v>1461</v>
      </c>
      <c r="L891" s="5" t="s">
        <v>1462</v>
      </c>
      <c r="M891" s="3">
        <f t="shared" si="80"/>
        <v>2.0199999969918281E-2</v>
      </c>
      <c r="N891" s="3">
        <f t="shared" si="80"/>
        <v>-1.9133333320496604E-2</v>
      </c>
      <c r="O891" s="3">
        <f t="shared" si="82"/>
        <v>7.9233333333320388E-2</v>
      </c>
      <c r="P891">
        <f t="shared" si="81"/>
        <v>4.0803999878469857E-4</v>
      </c>
      <c r="Q891">
        <f t="shared" si="81"/>
        <v>3.6608444395322561E-4</v>
      </c>
      <c r="R891">
        <f t="shared" si="81"/>
        <v>6.27792111110906E-3</v>
      </c>
      <c r="S891">
        <f t="shared" si="83"/>
        <v>7.7412444273792418E-4</v>
      </c>
      <c r="T891">
        <f t="shared" si="84"/>
        <v>2.7823091897521458E-2</v>
      </c>
    </row>
    <row r="892" spans="1:20" x14ac:dyDescent="0.3">
      <c r="A892" s="2" t="s">
        <v>1305</v>
      </c>
      <c r="B892" s="2" t="s">
        <v>1336</v>
      </c>
      <c r="C892" s="2" t="s">
        <v>20</v>
      </c>
      <c r="D892" s="2" t="s">
        <v>21</v>
      </c>
      <c r="E892" s="8">
        <v>339704.18729999999</v>
      </c>
      <c r="F892" s="8">
        <v>220043.50146666667</v>
      </c>
      <c r="G892" s="8">
        <v>186.98299999999998</v>
      </c>
      <c r="H892" s="8"/>
      <c r="I892" s="8"/>
      <c r="J892" s="5" t="s">
        <v>1460</v>
      </c>
      <c r="K892" s="5" t="s">
        <v>1461</v>
      </c>
      <c r="L892" s="5" t="s">
        <v>1462</v>
      </c>
      <c r="M892" s="3">
        <f t="shared" si="80"/>
        <v>1.8299999996088445E-2</v>
      </c>
      <c r="N892" s="3">
        <f t="shared" si="80"/>
        <v>-2.0366666663903743E-2</v>
      </c>
      <c r="O892" s="3">
        <f t="shared" si="82"/>
        <v>8.5899999999980992E-2</v>
      </c>
      <c r="P892">
        <f t="shared" si="81"/>
        <v>3.3488999985683708E-4</v>
      </c>
      <c r="Q892">
        <f t="shared" si="81"/>
        <v>4.1480111099856805E-4</v>
      </c>
      <c r="R892">
        <f t="shared" si="81"/>
        <v>7.3788099999967339E-3</v>
      </c>
      <c r="S892">
        <f t="shared" si="83"/>
        <v>7.4969111085540518E-4</v>
      </c>
      <c r="T892">
        <f t="shared" si="84"/>
        <v>2.7380487776067927E-2</v>
      </c>
    </row>
    <row r="893" spans="1:20" x14ac:dyDescent="0.3">
      <c r="A893" s="2" t="s">
        <v>1305</v>
      </c>
      <c r="B893" s="2" t="s">
        <v>1337</v>
      </c>
      <c r="C893" s="2" t="s">
        <v>20</v>
      </c>
      <c r="D893" s="2" t="s">
        <v>110</v>
      </c>
      <c r="E893" s="8">
        <v>339704.18693333329</v>
      </c>
      <c r="F893" s="8">
        <v>220043.50959999999</v>
      </c>
      <c r="G893" s="8">
        <v>186.96033333333335</v>
      </c>
      <c r="H893" s="8"/>
      <c r="I893" s="8"/>
      <c r="J893" s="5" t="s">
        <v>1463</v>
      </c>
      <c r="K893" s="5" t="s">
        <v>1464</v>
      </c>
      <c r="L893" s="5" t="s">
        <v>1462</v>
      </c>
      <c r="M893" s="3">
        <f t="shared" si="80"/>
        <v>1.8666666699573398E-2</v>
      </c>
      <c r="N893" s="3">
        <f t="shared" si="80"/>
        <v>-2.8499999985797331E-2</v>
      </c>
      <c r="O893" s="3">
        <f t="shared" si="82"/>
        <v>6.3233333333357677E-2</v>
      </c>
      <c r="P893">
        <f t="shared" si="81"/>
        <v>3.484444456729624E-4</v>
      </c>
      <c r="Q893">
        <f t="shared" si="81"/>
        <v>8.1224999919044785E-4</v>
      </c>
      <c r="R893">
        <f t="shared" si="81"/>
        <v>3.9984544444475233E-3</v>
      </c>
      <c r="S893">
        <f t="shared" si="83"/>
        <v>1.1606944448634103E-3</v>
      </c>
      <c r="T893">
        <f t="shared" si="84"/>
        <v>3.4068966008134298E-2</v>
      </c>
    </row>
    <row r="894" spans="1:20" x14ac:dyDescent="0.3">
      <c r="A894" s="2" t="s">
        <v>1305</v>
      </c>
      <c r="B894" s="2" t="s">
        <v>1337</v>
      </c>
      <c r="C894" s="2" t="s">
        <v>20</v>
      </c>
      <c r="D894" s="4" t="s">
        <v>37</v>
      </c>
      <c r="E894" s="8">
        <v>339704.18756666669</v>
      </c>
      <c r="F894" s="8">
        <v>220043.50766666667</v>
      </c>
      <c r="G894" s="8">
        <v>186.96133333333333</v>
      </c>
      <c r="H894" s="8"/>
      <c r="I894" s="8"/>
      <c r="J894" s="5" t="s">
        <v>1463</v>
      </c>
      <c r="K894" s="5" t="s">
        <v>1464</v>
      </c>
      <c r="L894" s="5" t="s">
        <v>1462</v>
      </c>
      <c r="M894" s="3">
        <f t="shared" si="80"/>
        <v>1.8033333297353238E-2</v>
      </c>
      <c r="N894" s="3">
        <f t="shared" si="80"/>
        <v>-2.6566666667349637E-2</v>
      </c>
      <c r="O894" s="3">
        <f t="shared" si="82"/>
        <v>6.4233333333334031E-2</v>
      </c>
      <c r="P894">
        <f t="shared" si="81"/>
        <v>3.2520110981342903E-4</v>
      </c>
      <c r="Q894">
        <f t="shared" si="81"/>
        <v>7.0578777781406623E-4</v>
      </c>
      <c r="R894">
        <f t="shared" si="81"/>
        <v>4.1259211111112004E-3</v>
      </c>
      <c r="S894">
        <f t="shared" si="83"/>
        <v>1.0309888876274952E-3</v>
      </c>
      <c r="T894">
        <f t="shared" si="84"/>
        <v>3.2109015675157268E-2</v>
      </c>
    </row>
    <row r="895" spans="1:20" x14ac:dyDescent="0.3">
      <c r="A895" s="2" t="s">
        <v>1305</v>
      </c>
      <c r="B895" s="2" t="s">
        <v>1337</v>
      </c>
      <c r="C895" s="2" t="s">
        <v>20</v>
      </c>
      <c r="D895" s="4" t="s">
        <v>46</v>
      </c>
      <c r="E895" s="8">
        <v>339704.1949</v>
      </c>
      <c r="F895" s="8">
        <v>220043.50353333331</v>
      </c>
      <c r="G895" s="8">
        <v>186.94933333333333</v>
      </c>
      <c r="H895" s="8"/>
      <c r="I895" s="8"/>
      <c r="J895" s="5" t="s">
        <v>1463</v>
      </c>
      <c r="K895" s="5" t="s">
        <v>1464</v>
      </c>
      <c r="L895" s="5" t="s">
        <v>1462</v>
      </c>
      <c r="M895" s="3">
        <f t="shared" si="80"/>
        <v>1.0699999984353781E-2</v>
      </c>
      <c r="N895" s="3">
        <f t="shared" si="80"/>
        <v>-2.243333330261521E-2</v>
      </c>
      <c r="O895" s="3">
        <f t="shared" si="82"/>
        <v>5.2233333333333576E-2</v>
      </c>
      <c r="P895">
        <f t="shared" si="81"/>
        <v>1.1448999966517091E-4</v>
      </c>
      <c r="Q895">
        <f t="shared" si="81"/>
        <v>5.0325444306622462E-4</v>
      </c>
      <c r="R895">
        <f t="shared" si="81"/>
        <v>2.7283211111111365E-3</v>
      </c>
      <c r="S895">
        <f t="shared" si="83"/>
        <v>6.1774444273139553E-4</v>
      </c>
      <c r="T895">
        <f t="shared" si="84"/>
        <v>2.4854465247343294E-2</v>
      </c>
    </row>
    <row r="896" spans="1:20" x14ac:dyDescent="0.3">
      <c r="A896" s="2" t="s">
        <v>1305</v>
      </c>
      <c r="B896" s="2" t="s">
        <v>1337</v>
      </c>
      <c r="C896" s="2" t="s">
        <v>51</v>
      </c>
      <c r="D896" s="2" t="s">
        <v>63</v>
      </c>
      <c r="E896" s="8">
        <v>339704.18536666664</v>
      </c>
      <c r="F896" s="8">
        <v>220043.50323333332</v>
      </c>
      <c r="G896" s="8">
        <v>186.95866666666666</v>
      </c>
      <c r="H896" s="8"/>
      <c r="I896" s="8"/>
      <c r="J896" s="5" t="s">
        <v>1463</v>
      </c>
      <c r="K896" s="5" t="s">
        <v>1464</v>
      </c>
      <c r="L896" s="5" t="s">
        <v>1462</v>
      </c>
      <c r="M896" s="3">
        <f t="shared" si="80"/>
        <v>2.023333334363997E-2</v>
      </c>
      <c r="N896" s="3">
        <f t="shared" si="80"/>
        <v>-2.2133333317469805E-2</v>
      </c>
      <c r="O896" s="3">
        <f t="shared" si="82"/>
        <v>6.1566666666664105E-2</v>
      </c>
      <c r="P896">
        <f t="shared" si="81"/>
        <v>4.09387778194853E-4</v>
      </c>
      <c r="Q896">
        <f t="shared" si="81"/>
        <v>4.8988444374221897E-4</v>
      </c>
      <c r="R896">
        <f t="shared" si="81"/>
        <v>3.790454444444129E-3</v>
      </c>
      <c r="S896">
        <f t="shared" si="83"/>
        <v>8.9927222193707202E-4</v>
      </c>
      <c r="T896">
        <f t="shared" si="84"/>
        <v>2.998786791249208E-2</v>
      </c>
    </row>
    <row r="897" spans="1:20" x14ac:dyDescent="0.3">
      <c r="A897" s="2" t="s">
        <v>1305</v>
      </c>
      <c r="B897" s="2" t="s">
        <v>1337</v>
      </c>
      <c r="C897" s="2" t="s">
        <v>51</v>
      </c>
      <c r="D897" s="2" t="s">
        <v>30</v>
      </c>
      <c r="E897" s="8">
        <v>339704.18413333333</v>
      </c>
      <c r="F897" s="8">
        <v>220043.50200000001</v>
      </c>
      <c r="G897" s="8">
        <v>186.97133333333332</v>
      </c>
      <c r="H897" s="8"/>
      <c r="I897" s="8"/>
      <c r="J897" s="5" t="s">
        <v>1463</v>
      </c>
      <c r="K897" s="5" t="s">
        <v>1464</v>
      </c>
      <c r="L897" s="5" t="s">
        <v>1462</v>
      </c>
      <c r="M897" s="3">
        <f t="shared" si="80"/>
        <v>2.1466666657943279E-2</v>
      </c>
      <c r="N897" s="3">
        <f t="shared" si="80"/>
        <v>-2.0900000003166497E-2</v>
      </c>
      <c r="O897" s="3">
        <f t="shared" si="82"/>
        <v>7.4233333333324936E-2</v>
      </c>
      <c r="P897">
        <f t="shared" si="81"/>
        <v>4.6081777740325367E-4</v>
      </c>
      <c r="Q897">
        <f t="shared" si="81"/>
        <v>4.3681000013235955E-4</v>
      </c>
      <c r="R897">
        <f t="shared" si="81"/>
        <v>5.5105877777765306E-3</v>
      </c>
      <c r="S897">
        <f t="shared" si="83"/>
        <v>8.9762777753561317E-4</v>
      </c>
      <c r="T897">
        <f t="shared" si="84"/>
        <v>2.9960436871574705E-2</v>
      </c>
    </row>
    <row r="898" spans="1:20" x14ac:dyDescent="0.3">
      <c r="A898" s="2" t="s">
        <v>1305</v>
      </c>
      <c r="B898" s="2" t="s">
        <v>1337</v>
      </c>
      <c r="C898" s="2" t="s">
        <v>57</v>
      </c>
      <c r="D898" s="4" t="s">
        <v>52</v>
      </c>
      <c r="E898" s="8">
        <v>339704.1865666667</v>
      </c>
      <c r="F898" s="8">
        <v>220043.50206666664</v>
      </c>
      <c r="G898" s="8">
        <v>186.96299999999999</v>
      </c>
      <c r="H898" s="8"/>
      <c r="I898" s="8"/>
      <c r="J898" s="5" t="s">
        <v>1463</v>
      </c>
      <c r="K898" s="5" t="s">
        <v>1464</v>
      </c>
      <c r="L898" s="5" t="s">
        <v>1462</v>
      </c>
      <c r="M898" s="3">
        <f t="shared" si="80"/>
        <v>1.9033333286643028E-2</v>
      </c>
      <c r="N898" s="3">
        <f t="shared" si="80"/>
        <v>-2.0966666634194553E-2</v>
      </c>
      <c r="O898" s="3">
        <f t="shared" si="82"/>
        <v>6.5899999999999181E-2</v>
      </c>
      <c r="P898">
        <f t="shared" si="81"/>
        <v>3.622677760004335E-4</v>
      </c>
      <c r="Q898">
        <f t="shared" si="81"/>
        <v>4.3960110974944713E-4</v>
      </c>
      <c r="R898">
        <f t="shared" si="81"/>
        <v>4.3428099999998923E-3</v>
      </c>
      <c r="S898">
        <f t="shared" si="83"/>
        <v>8.0186888574988063E-4</v>
      </c>
      <c r="T898">
        <f t="shared" si="84"/>
        <v>2.8317289519830119E-2</v>
      </c>
    </row>
    <row r="899" spans="1:20" x14ac:dyDescent="0.3">
      <c r="A899" s="2" t="s">
        <v>1305</v>
      </c>
      <c r="B899" s="2" t="s">
        <v>1337</v>
      </c>
      <c r="C899" s="2" t="s">
        <v>1308</v>
      </c>
      <c r="D899" s="4" t="s">
        <v>1309</v>
      </c>
      <c r="E899" s="8">
        <v>339704.19223333331</v>
      </c>
      <c r="F899" s="8">
        <v>220043.50279999999</v>
      </c>
      <c r="G899" s="8">
        <v>186.92699999999999</v>
      </c>
      <c r="H899" s="8"/>
      <c r="I899" s="8"/>
      <c r="J899" s="5" t="s">
        <v>1463</v>
      </c>
      <c r="K899" s="5" t="s">
        <v>1464</v>
      </c>
      <c r="L899" s="5" t="s">
        <v>1462</v>
      </c>
      <c r="M899" s="3">
        <f t="shared" si="80"/>
        <v>1.3366666680667549E-2</v>
      </c>
      <c r="N899" s="3">
        <f t="shared" si="80"/>
        <v>-2.1699999982956797E-2</v>
      </c>
      <c r="O899" s="3">
        <f t="shared" si="82"/>
        <v>2.9899999999997817E-2</v>
      </c>
      <c r="P899">
        <f t="shared" si="81"/>
        <v>1.7866777815206804E-4</v>
      </c>
      <c r="Q899">
        <f t="shared" si="81"/>
        <v>4.7088999926032498E-4</v>
      </c>
      <c r="R899">
        <f t="shared" si="81"/>
        <v>8.9400999999986945E-4</v>
      </c>
      <c r="S899">
        <f t="shared" si="83"/>
        <v>6.4955777741239297E-4</v>
      </c>
      <c r="T899">
        <f t="shared" si="84"/>
        <v>2.5486423393885477E-2</v>
      </c>
    </row>
    <row r="900" spans="1:20" x14ac:dyDescent="0.3">
      <c r="A900" s="2" t="s">
        <v>1305</v>
      </c>
      <c r="B900" s="2" t="s">
        <v>1337</v>
      </c>
      <c r="C900" s="2" t="s">
        <v>1317</v>
      </c>
      <c r="D900" s="4" t="s">
        <v>1310</v>
      </c>
      <c r="E900" s="8">
        <v>339704.19639999996</v>
      </c>
      <c r="F900" s="8">
        <v>220043.49976666667</v>
      </c>
      <c r="G900" s="8">
        <v>186.92933333333335</v>
      </c>
      <c r="H900" s="8"/>
      <c r="I900" s="8"/>
      <c r="J900" s="5" t="s">
        <v>1463</v>
      </c>
      <c r="K900" s="5" t="s">
        <v>1464</v>
      </c>
      <c r="L900" s="5" t="s">
        <v>1462</v>
      </c>
      <c r="M900" s="3">
        <f t="shared" si="80"/>
        <v>9.2000000295229256E-3</v>
      </c>
      <c r="N900" s="3">
        <f t="shared" si="80"/>
        <v>-1.8666666670469567E-2</v>
      </c>
      <c r="O900" s="3">
        <f t="shared" si="82"/>
        <v>3.2233333333351766E-2</v>
      </c>
      <c r="P900">
        <f t="shared" si="81"/>
        <v>8.4640000543221829E-5</v>
      </c>
      <c r="Q900">
        <f t="shared" si="81"/>
        <v>3.4844444458641938E-4</v>
      </c>
      <c r="R900">
        <f t="shared" si="81"/>
        <v>1.0389877777789661E-3</v>
      </c>
      <c r="S900">
        <f t="shared" si="83"/>
        <v>4.3308444512964118E-4</v>
      </c>
      <c r="T900">
        <f t="shared" si="84"/>
        <v>2.0810681034738897E-2</v>
      </c>
    </row>
    <row r="901" spans="1:20" x14ac:dyDescent="0.3">
      <c r="A901" s="2" t="s">
        <v>1305</v>
      </c>
      <c r="B901" s="2" t="s">
        <v>1338</v>
      </c>
      <c r="C901" s="2" t="s">
        <v>20</v>
      </c>
      <c r="D901" s="2" t="s">
        <v>30</v>
      </c>
      <c r="E901" s="8">
        <v>346692.65353333333</v>
      </c>
      <c r="F901" s="8">
        <v>229301.27206666666</v>
      </c>
      <c r="G901" s="8">
        <v>119.96900000000001</v>
      </c>
      <c r="H901" s="8"/>
      <c r="I901" s="8"/>
      <c r="J901" s="5" t="s">
        <v>1465</v>
      </c>
      <c r="K901" s="5" t="s">
        <v>1466</v>
      </c>
      <c r="L901" s="5" t="s">
        <v>1467</v>
      </c>
      <c r="M901" s="3">
        <f t="shared" si="80"/>
        <v>-1.7033333308063447E-2</v>
      </c>
      <c r="N901" s="3">
        <f t="shared" si="80"/>
        <v>-9.0666666510514915E-3</v>
      </c>
      <c r="O901" s="3">
        <f t="shared" si="82"/>
        <v>8.9999999999861302E-3</v>
      </c>
      <c r="P901">
        <f t="shared" si="81"/>
        <v>2.9013444358358365E-4</v>
      </c>
      <c r="Q901">
        <f t="shared" si="81"/>
        <v>8.2204444161289265E-5</v>
      </c>
      <c r="R901">
        <f t="shared" si="81"/>
        <v>8.0999999999750339E-5</v>
      </c>
      <c r="S901">
        <f t="shared" si="83"/>
        <v>3.7233888774487289E-4</v>
      </c>
      <c r="T901">
        <f t="shared" si="84"/>
        <v>1.9296084777614159E-2</v>
      </c>
    </row>
    <row r="902" spans="1:20" x14ac:dyDescent="0.3">
      <c r="A902" s="2" t="s">
        <v>1305</v>
      </c>
      <c r="B902" s="2" t="s">
        <v>1338</v>
      </c>
      <c r="C902" s="2" t="s">
        <v>20</v>
      </c>
      <c r="D902" s="2" t="s">
        <v>21</v>
      </c>
      <c r="E902" s="8">
        <v>346692.65366666665</v>
      </c>
      <c r="F902" s="8">
        <v>229301.27280000001</v>
      </c>
      <c r="G902" s="8">
        <v>119.97233333333332</v>
      </c>
      <c r="H902" s="8"/>
      <c r="I902" s="8"/>
      <c r="J902" s="5" t="s">
        <v>1465</v>
      </c>
      <c r="K902" s="5" t="s">
        <v>1466</v>
      </c>
      <c r="L902" s="5" t="s">
        <v>1467</v>
      </c>
      <c r="M902" s="3">
        <f t="shared" si="80"/>
        <v>-1.7166666628327221E-2</v>
      </c>
      <c r="N902" s="3">
        <f t="shared" si="80"/>
        <v>-9.7999999998137355E-3</v>
      </c>
      <c r="O902" s="3">
        <f t="shared" si="82"/>
        <v>5.6666666666700394E-3</v>
      </c>
      <c r="P902">
        <f t="shared" si="81"/>
        <v>2.9469444312812346E-4</v>
      </c>
      <c r="Q902">
        <f t="shared" si="81"/>
        <v>9.6039999996349216E-5</v>
      </c>
      <c r="R902">
        <f t="shared" si="81"/>
        <v>3.2111111111149332E-5</v>
      </c>
      <c r="S902">
        <f t="shared" si="83"/>
        <v>3.9073444312447267E-4</v>
      </c>
      <c r="T902">
        <f t="shared" si="84"/>
        <v>1.9767003898529305E-2</v>
      </c>
    </row>
    <row r="903" spans="1:20" x14ac:dyDescent="0.3">
      <c r="A903" s="2" t="s">
        <v>1305</v>
      </c>
      <c r="B903" s="2" t="s">
        <v>1339</v>
      </c>
      <c r="C903" s="2" t="s">
        <v>20</v>
      </c>
      <c r="D903" s="2" t="s">
        <v>110</v>
      </c>
      <c r="E903" s="8">
        <v>346692.65779999999</v>
      </c>
      <c r="F903" s="8">
        <v>229301.27590000001</v>
      </c>
      <c r="G903" s="8">
        <v>119.98133333333334</v>
      </c>
      <c r="H903" s="13" t="s">
        <v>144</v>
      </c>
      <c r="I903" s="13" t="s">
        <v>1389</v>
      </c>
      <c r="J903" s="5" t="s">
        <v>1468</v>
      </c>
      <c r="K903" s="5" t="s">
        <v>1469</v>
      </c>
      <c r="L903" s="5" t="s">
        <v>1467</v>
      </c>
      <c r="M903" s="3">
        <f t="shared" si="80"/>
        <v>-2.1299999963957816E-2</v>
      </c>
      <c r="N903" s="3">
        <f t="shared" si="80"/>
        <v>-1.2900000001536682E-2</v>
      </c>
      <c r="O903" s="3">
        <f t="shared" si="82"/>
        <v>3.3333333333445125E-3</v>
      </c>
      <c r="P903">
        <f t="shared" si="81"/>
        <v>4.53689998464603E-4</v>
      </c>
      <c r="Q903">
        <f t="shared" si="81"/>
        <v>1.664100000396464E-4</v>
      </c>
      <c r="R903">
        <f t="shared" si="81"/>
        <v>1.1111111111185639E-5</v>
      </c>
      <c r="S903">
        <f t="shared" si="83"/>
        <v>6.2009999850424938E-4</v>
      </c>
      <c r="T903">
        <f t="shared" si="84"/>
        <v>2.4901807133303585E-2</v>
      </c>
    </row>
    <row r="904" spans="1:20" x14ac:dyDescent="0.3">
      <c r="A904" s="2" t="s">
        <v>1305</v>
      </c>
      <c r="B904" s="2" t="s">
        <v>1339</v>
      </c>
      <c r="C904" s="2" t="s">
        <v>20</v>
      </c>
      <c r="D904" s="4" t="s">
        <v>37</v>
      </c>
      <c r="E904" s="8">
        <v>346692.6519</v>
      </c>
      <c r="F904" s="8">
        <v>229301.27009999999</v>
      </c>
      <c r="G904" s="8">
        <v>119.96333333333332</v>
      </c>
      <c r="H904" s="8"/>
      <c r="I904" s="8"/>
      <c r="J904" s="5" t="s">
        <v>1468</v>
      </c>
      <c r="K904" s="5" t="s">
        <v>1469</v>
      </c>
      <c r="L904" s="5" t="s">
        <v>1467</v>
      </c>
      <c r="M904" s="3">
        <f t="shared" si="80"/>
        <v>-1.5399999974761158E-2</v>
      </c>
      <c r="N904" s="3">
        <f t="shared" si="80"/>
        <v>-7.0999999879859388E-3</v>
      </c>
      <c r="O904" s="3">
        <f t="shared" si="82"/>
        <v>1.466666666667038E-2</v>
      </c>
      <c r="P904">
        <f t="shared" si="81"/>
        <v>2.3715999922264367E-4</v>
      </c>
      <c r="Q904">
        <f t="shared" si="81"/>
        <v>5.0409999829400328E-5</v>
      </c>
      <c r="R904">
        <f t="shared" si="81"/>
        <v>2.1511111111122006E-4</v>
      </c>
      <c r="S904">
        <f t="shared" si="83"/>
        <v>2.87569999052044E-4</v>
      </c>
      <c r="T904">
        <f t="shared" si="84"/>
        <v>1.695788899161815E-2</v>
      </c>
    </row>
    <row r="905" spans="1:20" x14ac:dyDescent="0.3">
      <c r="A905" s="2" t="s">
        <v>1305</v>
      </c>
      <c r="B905" s="2" t="s">
        <v>1339</v>
      </c>
      <c r="C905" s="2" t="s">
        <v>20</v>
      </c>
      <c r="D905" s="4" t="s">
        <v>46</v>
      </c>
      <c r="E905" s="8">
        <v>346692.65576666669</v>
      </c>
      <c r="F905" s="8">
        <v>229301.27146666669</v>
      </c>
      <c r="G905" s="8">
        <v>119.96133333333334</v>
      </c>
      <c r="H905" s="8"/>
      <c r="I905" s="8"/>
      <c r="J905" s="5" t="s">
        <v>1468</v>
      </c>
      <c r="K905" s="5" t="s">
        <v>1469</v>
      </c>
      <c r="L905" s="5" t="s">
        <v>1467</v>
      </c>
      <c r="M905" s="3">
        <f t="shared" si="80"/>
        <v>-1.9266666669864208E-2</v>
      </c>
      <c r="N905" s="3">
        <f t="shared" si="80"/>
        <v>-8.4666666807606816E-3</v>
      </c>
      <c r="O905" s="3">
        <f t="shared" si="82"/>
        <v>1.6666666666651508E-2</v>
      </c>
      <c r="P905">
        <f t="shared" si="81"/>
        <v>3.7120444456765638E-4</v>
      </c>
      <c r="Q905">
        <f t="shared" si="81"/>
        <v>7.1684444683103098E-5</v>
      </c>
      <c r="R905">
        <f t="shared" si="81"/>
        <v>2.7777777777727249E-4</v>
      </c>
      <c r="S905">
        <f t="shared" si="83"/>
        <v>4.4288888925075946E-4</v>
      </c>
      <c r="T905">
        <f t="shared" si="84"/>
        <v>2.1044925498817035E-2</v>
      </c>
    </row>
    <row r="906" spans="1:20" x14ac:dyDescent="0.3">
      <c r="A906" s="2" t="s">
        <v>1305</v>
      </c>
      <c r="B906" s="2" t="s">
        <v>1339</v>
      </c>
      <c r="C906" s="2" t="s">
        <v>51</v>
      </c>
      <c r="D906" s="2" t="s">
        <v>63</v>
      </c>
      <c r="E906" s="8">
        <v>346692.65886666666</v>
      </c>
      <c r="F906" s="8">
        <v>229301.26823333334</v>
      </c>
      <c r="G906" s="8">
        <v>120.00466666666667</v>
      </c>
      <c r="H906" s="8"/>
      <c r="I906" s="8"/>
      <c r="J906" s="5" t="s">
        <v>1468</v>
      </c>
      <c r="K906" s="5" t="s">
        <v>1469</v>
      </c>
      <c r="L906" s="5" t="s">
        <v>1467</v>
      </c>
      <c r="M906" s="3">
        <f t="shared" si="80"/>
        <v>-2.2366666642483324E-2</v>
      </c>
      <c r="N906" s="3">
        <f t="shared" si="80"/>
        <v>-5.2333333296701312E-3</v>
      </c>
      <c r="O906" s="3">
        <f t="shared" si="82"/>
        <v>2.6666666666670835E-2</v>
      </c>
      <c r="P906">
        <f t="shared" si="81"/>
        <v>5.0026777669597629E-4</v>
      </c>
      <c r="Q906">
        <f t="shared" si="81"/>
        <v>2.7387777739436262E-5</v>
      </c>
      <c r="R906">
        <f t="shared" si="81"/>
        <v>7.1111111111133341E-4</v>
      </c>
      <c r="S906">
        <f t="shared" si="83"/>
        <v>5.2765555443541254E-4</v>
      </c>
      <c r="T906">
        <f t="shared" si="84"/>
        <v>2.2970754328828918E-2</v>
      </c>
    </row>
    <row r="907" spans="1:20" x14ac:dyDescent="0.3">
      <c r="A907" s="2" t="s">
        <v>1305</v>
      </c>
      <c r="B907" s="2" t="s">
        <v>1339</v>
      </c>
      <c r="C907" s="2" t="s">
        <v>51</v>
      </c>
      <c r="D907" s="2" t="s">
        <v>30</v>
      </c>
      <c r="E907" s="8">
        <v>346692.65693333332</v>
      </c>
      <c r="F907" s="8">
        <v>229301.27643333332</v>
      </c>
      <c r="G907" s="8">
        <v>120.01133333333333</v>
      </c>
      <c r="H907" s="8"/>
      <c r="I907" s="8"/>
      <c r="J907" s="5" t="s">
        <v>1468</v>
      </c>
      <c r="K907" s="5" t="s">
        <v>1469</v>
      </c>
      <c r="L907" s="5" t="s">
        <v>1467</v>
      </c>
      <c r="M907" s="3">
        <f t="shared" si="80"/>
        <v>-2.0433333294931799E-2</v>
      </c>
      <c r="N907" s="3">
        <f t="shared" si="80"/>
        <v>-1.3433333311695606E-2</v>
      </c>
      <c r="O907" s="3">
        <f t="shared" si="82"/>
        <v>3.3333333333331439E-2</v>
      </c>
      <c r="P907">
        <f t="shared" si="81"/>
        <v>4.1752110954176841E-4</v>
      </c>
      <c r="Q907">
        <f t="shared" si="81"/>
        <v>1.8045444386311082E-4</v>
      </c>
      <c r="R907">
        <f t="shared" si="81"/>
        <v>1.1111111111109847E-3</v>
      </c>
      <c r="S907">
        <f t="shared" si="83"/>
        <v>5.9797555340487926E-4</v>
      </c>
      <c r="T907">
        <f t="shared" si="84"/>
        <v>2.4453538668357987E-2</v>
      </c>
    </row>
    <row r="908" spans="1:20" x14ac:dyDescent="0.3">
      <c r="A908" s="2" t="s">
        <v>1305</v>
      </c>
      <c r="B908" s="2" t="s">
        <v>1339</v>
      </c>
      <c r="C908" s="2" t="s">
        <v>57</v>
      </c>
      <c r="D908" s="4" t="s">
        <v>52</v>
      </c>
      <c r="E908" s="8">
        <v>346692.65386666666</v>
      </c>
      <c r="F908" s="8">
        <v>229301.27419999999</v>
      </c>
      <c r="G908" s="8">
        <v>119.98766666666667</v>
      </c>
      <c r="H908" s="8"/>
      <c r="I908" s="8"/>
      <c r="J908" s="5" t="s">
        <v>1468</v>
      </c>
      <c r="K908" s="5" t="s">
        <v>1469</v>
      </c>
      <c r="L908" s="5" t="s">
        <v>1467</v>
      </c>
      <c r="M908" s="3">
        <f t="shared" si="80"/>
        <v>-1.7366666637826711E-2</v>
      </c>
      <c r="N908" s="3">
        <f t="shared" si="80"/>
        <v>-1.1199999978998676E-2</v>
      </c>
      <c r="O908" s="3">
        <f t="shared" si="82"/>
        <v>9.6666666666749279E-3</v>
      </c>
      <c r="P908">
        <f t="shared" si="81"/>
        <v>3.0160111010940334E-4</v>
      </c>
      <c r="Q908">
        <f t="shared" si="81"/>
        <v>1.2543999952957033E-4</v>
      </c>
      <c r="R908">
        <f t="shared" si="81"/>
        <v>9.3444444444604162E-5</v>
      </c>
      <c r="S908">
        <f t="shared" si="83"/>
        <v>4.2704110963897365E-4</v>
      </c>
      <c r="T908">
        <f t="shared" si="84"/>
        <v>2.0664973013265069E-2</v>
      </c>
    </row>
    <row r="909" spans="1:20" x14ac:dyDescent="0.3">
      <c r="A909" s="2" t="s">
        <v>1305</v>
      </c>
      <c r="B909" s="2" t="s">
        <v>1339</v>
      </c>
      <c r="C909" s="2" t="s">
        <v>1308</v>
      </c>
      <c r="D909" s="4" t="s">
        <v>1309</v>
      </c>
      <c r="E909" s="8">
        <v>346692.6324</v>
      </c>
      <c r="F909" s="8">
        <v>229301.2777666667</v>
      </c>
      <c r="G909" s="8">
        <v>119.81866666666667</v>
      </c>
      <c r="H909" s="8"/>
      <c r="I909" s="8"/>
      <c r="J909" s="5" t="s">
        <v>1468</v>
      </c>
      <c r="K909" s="5" t="s">
        <v>1469</v>
      </c>
      <c r="L909" s="5" t="s">
        <v>1467</v>
      </c>
      <c r="M909" s="3">
        <f t="shared" si="80"/>
        <v>4.1000000201165676E-3</v>
      </c>
      <c r="N909" s="3">
        <f t="shared" si="80"/>
        <v>-1.476666668895632E-2</v>
      </c>
      <c r="O909" s="3">
        <f t="shared" si="82"/>
        <v>0.159333333333322</v>
      </c>
      <c r="P909">
        <f t="shared" si="81"/>
        <v>1.6810000164955855E-5</v>
      </c>
      <c r="Q909">
        <f t="shared" si="81"/>
        <v>2.180544451027322E-4</v>
      </c>
      <c r="R909">
        <f t="shared" si="81"/>
        <v>2.5387111111107502E-2</v>
      </c>
      <c r="S909">
        <f t="shared" si="83"/>
        <v>2.3486444526768806E-4</v>
      </c>
      <c r="T909">
        <f t="shared" si="84"/>
        <v>1.5325287771121561E-2</v>
      </c>
    </row>
    <row r="910" spans="1:20" x14ac:dyDescent="0.3">
      <c r="A910" s="2" t="s">
        <v>1305</v>
      </c>
      <c r="B910" s="2" t="s">
        <v>1339</v>
      </c>
      <c r="C910" s="2" t="s">
        <v>1317</v>
      </c>
      <c r="D910" s="4" t="s">
        <v>1310</v>
      </c>
      <c r="E910" s="8">
        <v>346692.63369999995</v>
      </c>
      <c r="F910" s="8">
        <v>229301.28339999999</v>
      </c>
      <c r="G910" s="8">
        <v>119.79700000000001</v>
      </c>
      <c r="H910" s="8"/>
      <c r="I910" s="8"/>
      <c r="J910" s="5" t="s">
        <v>1468</v>
      </c>
      <c r="K910" s="5" t="s">
        <v>1469</v>
      </c>
      <c r="L910" s="5" t="s">
        <v>1467</v>
      </c>
      <c r="M910" s="3">
        <f t="shared" si="80"/>
        <v>2.8000000747852027E-3</v>
      </c>
      <c r="N910" s="3">
        <f t="shared" si="80"/>
        <v>-2.0399999979417771E-2</v>
      </c>
      <c r="O910" s="3">
        <f t="shared" si="82"/>
        <v>0.18099999999998317</v>
      </c>
      <c r="P910">
        <f t="shared" si="81"/>
        <v>7.8400004187971409E-6</v>
      </c>
      <c r="Q910">
        <f t="shared" si="81"/>
        <v>4.1615999916024509E-4</v>
      </c>
      <c r="R910">
        <f t="shared" si="81"/>
        <v>3.2760999999993906E-2</v>
      </c>
      <c r="S910">
        <f t="shared" si="83"/>
        <v>4.2399999957904225E-4</v>
      </c>
      <c r="T910">
        <f t="shared" si="84"/>
        <v>2.0591260271752242E-2</v>
      </c>
    </row>
    <row r="911" spans="1:20" x14ac:dyDescent="0.3">
      <c r="A911" s="2" t="s">
        <v>1305</v>
      </c>
      <c r="B911" s="2" t="s">
        <v>1340</v>
      </c>
      <c r="C911" s="2" t="s">
        <v>20</v>
      </c>
      <c r="D911" s="2" t="s">
        <v>30</v>
      </c>
      <c r="E911" s="8">
        <v>324580.55383333331</v>
      </c>
      <c r="F911" s="8">
        <v>230152.81839999999</v>
      </c>
      <c r="G911" s="8">
        <v>43.207333333333338</v>
      </c>
      <c r="H911" s="8"/>
      <c r="I911" s="8"/>
      <c r="J911" s="5" t="s">
        <v>1470</v>
      </c>
      <c r="K911" s="5" t="s">
        <v>1471</v>
      </c>
      <c r="L911" s="5" t="s">
        <v>1472</v>
      </c>
      <c r="M911" s="3">
        <f t="shared" si="80"/>
        <v>-1.333333202637732E-4</v>
      </c>
      <c r="N911" s="3">
        <f t="shared" si="80"/>
        <v>4.7600000019883737E-2</v>
      </c>
      <c r="O911" s="3">
        <f t="shared" si="82"/>
        <v>6.9333333333361225E-3</v>
      </c>
      <c r="P911">
        <f t="shared" si="81"/>
        <v>1.7777774292561914E-8</v>
      </c>
      <c r="Q911">
        <f t="shared" si="81"/>
        <v>2.2657600018929319E-3</v>
      </c>
      <c r="R911">
        <f t="shared" si="81"/>
        <v>4.8071111111149789E-5</v>
      </c>
      <c r="S911">
        <f t="shared" si="83"/>
        <v>2.2657777796672245E-3</v>
      </c>
      <c r="T911">
        <f t="shared" si="84"/>
        <v>4.760018676084396E-2</v>
      </c>
    </row>
    <row r="912" spans="1:20" x14ac:dyDescent="0.3">
      <c r="A912" s="2" t="s">
        <v>1305</v>
      </c>
      <c r="B912" s="2" t="s">
        <v>1340</v>
      </c>
      <c r="C912" s="2" t="s">
        <v>20</v>
      </c>
      <c r="D912" s="2" t="s">
        <v>21</v>
      </c>
      <c r="E912" s="8">
        <v>324580.55930000002</v>
      </c>
      <c r="F912" s="8">
        <v>230152.82036666665</v>
      </c>
      <c r="G912" s="8">
        <v>43.192000000000007</v>
      </c>
      <c r="H912" s="8"/>
      <c r="I912" s="8"/>
      <c r="J912" s="5" t="s">
        <v>1470</v>
      </c>
      <c r="K912" s="5" t="s">
        <v>1471</v>
      </c>
      <c r="L912" s="5" t="s">
        <v>1472</v>
      </c>
      <c r="M912" s="3">
        <f t="shared" si="80"/>
        <v>-5.6000000331550837E-3</v>
      </c>
      <c r="N912" s="3">
        <f t="shared" si="80"/>
        <v>4.5633333356818184E-2</v>
      </c>
      <c r="O912" s="3">
        <f t="shared" si="82"/>
        <v>8.399999999994634E-3</v>
      </c>
      <c r="P912">
        <f t="shared" si="81"/>
        <v>3.1360000371336938E-5</v>
      </c>
      <c r="Q912">
        <f t="shared" si="81"/>
        <v>2.082401113254495E-3</v>
      </c>
      <c r="R912">
        <f t="shared" si="81"/>
        <v>7.0559999999909851E-5</v>
      </c>
      <c r="S912">
        <f t="shared" si="83"/>
        <v>2.1137611136258319E-3</v>
      </c>
      <c r="T912">
        <f t="shared" si="84"/>
        <v>4.5975657837880164E-2</v>
      </c>
    </row>
    <row r="913" spans="1:20" x14ac:dyDescent="0.3">
      <c r="A913" s="2" t="s">
        <v>1305</v>
      </c>
      <c r="B913" s="2" t="s">
        <v>1341</v>
      </c>
      <c r="C913" s="2" t="s">
        <v>20</v>
      </c>
      <c r="D913" s="2" t="s">
        <v>110</v>
      </c>
      <c r="E913" s="8">
        <v>324580.55833333335</v>
      </c>
      <c r="F913" s="8">
        <v>230152.82153333336</v>
      </c>
      <c r="G913" s="8">
        <v>43.18633333333333</v>
      </c>
      <c r="H913" s="8"/>
      <c r="I913" s="8"/>
      <c r="J913" s="5" t="s">
        <v>1473</v>
      </c>
      <c r="K913" s="5" t="s">
        <v>1474</v>
      </c>
      <c r="L913" s="5" t="s">
        <v>1472</v>
      </c>
      <c r="M913" s="3">
        <f t="shared" ref="M913:N976" si="85">J913-E913</f>
        <v>-4.6333333593793213E-3</v>
      </c>
      <c r="N913" s="3">
        <f t="shared" si="85"/>
        <v>4.4466666644439101E-2</v>
      </c>
      <c r="O913" s="3">
        <f t="shared" si="82"/>
        <v>1.4066666666671779E-2</v>
      </c>
      <c r="P913">
        <f t="shared" ref="P913:R976" si="86">POWER(M913,2)</f>
        <v>2.1467778019137267E-5</v>
      </c>
      <c r="Q913">
        <f t="shared" si="86"/>
        <v>1.9772844424676729E-3</v>
      </c>
      <c r="R913">
        <f t="shared" si="86"/>
        <v>1.9787111111125493E-4</v>
      </c>
      <c r="S913">
        <f t="shared" si="83"/>
        <v>1.9987522204868101E-3</v>
      </c>
      <c r="T913">
        <f t="shared" si="84"/>
        <v>4.4707406774345683E-2</v>
      </c>
    </row>
    <row r="914" spans="1:20" x14ac:dyDescent="0.3">
      <c r="A914" s="2" t="s">
        <v>1305</v>
      </c>
      <c r="B914" s="2" t="s">
        <v>1341</v>
      </c>
      <c r="C914" s="2" t="s">
        <v>20</v>
      </c>
      <c r="D914" s="4" t="s">
        <v>37</v>
      </c>
      <c r="E914" s="8">
        <v>324580.5737666667</v>
      </c>
      <c r="F914" s="8">
        <v>230152.84959999999</v>
      </c>
      <c r="G914" s="8">
        <v>43.193999999999996</v>
      </c>
      <c r="H914" s="8"/>
      <c r="I914" s="8"/>
      <c r="J914" s="5" t="s">
        <v>1473</v>
      </c>
      <c r="K914" s="5" t="s">
        <v>1474</v>
      </c>
      <c r="L914" s="5" t="s">
        <v>1472</v>
      </c>
      <c r="M914" s="3">
        <f t="shared" si="85"/>
        <v>-2.0066666707862169E-2</v>
      </c>
      <c r="N914" s="3">
        <f t="shared" si="85"/>
        <v>1.640000002225861E-2</v>
      </c>
      <c r="O914" s="3">
        <f t="shared" si="82"/>
        <v>6.4000000000064006E-3</v>
      </c>
      <c r="P914">
        <f t="shared" si="86"/>
        <v>4.0267111276442395E-4</v>
      </c>
      <c r="Q914">
        <f t="shared" si="86"/>
        <v>2.6896000073008239E-4</v>
      </c>
      <c r="R914">
        <f t="shared" si="86"/>
        <v>4.0960000000081926E-5</v>
      </c>
      <c r="S914">
        <f t="shared" si="83"/>
        <v>6.7163111349450634E-4</v>
      </c>
      <c r="T914">
        <f t="shared" si="84"/>
        <v>2.591584676398798E-2</v>
      </c>
    </row>
    <row r="915" spans="1:20" x14ac:dyDescent="0.3">
      <c r="A915" s="2" t="s">
        <v>1305</v>
      </c>
      <c r="B915" s="2" t="s">
        <v>1341</v>
      </c>
      <c r="C915" s="2" t="s">
        <v>20</v>
      </c>
      <c r="D915" s="4" t="s">
        <v>46</v>
      </c>
      <c r="E915" s="8">
        <v>324580.57723333332</v>
      </c>
      <c r="F915" s="8">
        <v>230152.84713333333</v>
      </c>
      <c r="G915" s="8">
        <v>43.196333333333335</v>
      </c>
      <c r="H915" s="8"/>
      <c r="I915" s="8"/>
      <c r="J915" s="5" t="s">
        <v>1473</v>
      </c>
      <c r="K915" s="5" t="s">
        <v>1474</v>
      </c>
      <c r="L915" s="5" t="s">
        <v>1472</v>
      </c>
      <c r="M915" s="3">
        <f t="shared" si="85"/>
        <v>-2.3533333325758576E-2</v>
      </c>
      <c r="N915" s="3">
        <f t="shared" si="85"/>
        <v>1.8866666679969057E-2</v>
      </c>
      <c r="O915" s="3">
        <f t="shared" si="82"/>
        <v>4.0666666666666629E-3</v>
      </c>
      <c r="P915">
        <f t="shared" si="86"/>
        <v>5.5381777742125916E-4</v>
      </c>
      <c r="Q915">
        <f t="shared" si="86"/>
        <v>3.5595111161305465E-4</v>
      </c>
      <c r="R915">
        <f t="shared" si="86"/>
        <v>1.6537777777777748E-5</v>
      </c>
      <c r="S915">
        <f t="shared" si="83"/>
        <v>9.0976888903431387E-4</v>
      </c>
      <c r="T915">
        <f t="shared" si="84"/>
        <v>3.0162375387795867E-2</v>
      </c>
    </row>
    <row r="916" spans="1:20" x14ac:dyDescent="0.3">
      <c r="A916" s="2" t="s">
        <v>1305</v>
      </c>
      <c r="B916" s="2" t="s">
        <v>1341</v>
      </c>
      <c r="C916" s="2" t="s">
        <v>51</v>
      </c>
      <c r="D916" s="2" t="s">
        <v>63</v>
      </c>
      <c r="E916" s="8">
        <v>324580.57976666669</v>
      </c>
      <c r="F916" s="8">
        <v>230152.85490000001</v>
      </c>
      <c r="G916" s="8">
        <v>43.204333333333331</v>
      </c>
      <c r="H916" s="8"/>
      <c r="I916" s="8"/>
      <c r="J916" s="5" t="s">
        <v>1473</v>
      </c>
      <c r="K916" s="5" t="s">
        <v>1474</v>
      </c>
      <c r="L916" s="5" t="s">
        <v>1472</v>
      </c>
      <c r="M916" s="3">
        <f t="shared" si="85"/>
        <v>-2.6066666701808572E-2</v>
      </c>
      <c r="N916" s="3">
        <f t="shared" si="85"/>
        <v>1.1100000003352761E-2</v>
      </c>
      <c r="O916" s="3">
        <f t="shared" si="82"/>
        <v>3.9333333333289033E-3</v>
      </c>
      <c r="P916">
        <f t="shared" si="86"/>
        <v>6.7947111294317571E-4</v>
      </c>
      <c r="Q916">
        <f t="shared" si="86"/>
        <v>1.232100000744313E-4</v>
      </c>
      <c r="R916">
        <f t="shared" si="86"/>
        <v>1.547111111107626E-5</v>
      </c>
      <c r="S916">
        <f t="shared" si="83"/>
        <v>8.0268111301760696E-4</v>
      </c>
      <c r="T916">
        <f t="shared" si="84"/>
        <v>2.8331627433269817E-2</v>
      </c>
    </row>
    <row r="917" spans="1:20" x14ac:dyDescent="0.3">
      <c r="A917" s="2" t="s">
        <v>1305</v>
      </c>
      <c r="B917" s="2" t="s">
        <v>1341</v>
      </c>
      <c r="C917" s="2" t="s">
        <v>51</v>
      </c>
      <c r="D917" s="2" t="s">
        <v>30</v>
      </c>
      <c r="E917" s="8">
        <v>324580.57660000003</v>
      </c>
      <c r="F917" s="8">
        <v>230152.85093333331</v>
      </c>
      <c r="G917" s="8">
        <v>43.194999999999993</v>
      </c>
      <c r="H917" s="8"/>
      <c r="I917" s="8"/>
      <c r="J917" s="5" t="s">
        <v>1473</v>
      </c>
      <c r="K917" s="5" t="s">
        <v>1474</v>
      </c>
      <c r="L917" s="5" t="s">
        <v>1472</v>
      </c>
      <c r="M917" s="3">
        <f t="shared" si="85"/>
        <v>-2.2900000039953738E-2</v>
      </c>
      <c r="N917" s="3">
        <f t="shared" si="85"/>
        <v>1.5066666703205556E-2</v>
      </c>
      <c r="O917" s="3">
        <f t="shared" si="82"/>
        <v>5.4000000000087311E-3</v>
      </c>
      <c r="P917">
        <f t="shared" si="86"/>
        <v>5.2441000182988119E-4</v>
      </c>
      <c r="Q917">
        <f t="shared" si="86"/>
        <v>2.2700444554548296E-4</v>
      </c>
      <c r="R917">
        <f t="shared" si="86"/>
        <v>2.9160000000094297E-5</v>
      </c>
      <c r="S917">
        <f t="shared" si="83"/>
        <v>7.5141444737536413E-4</v>
      </c>
      <c r="T917">
        <f t="shared" si="84"/>
        <v>2.7411939868884946E-2</v>
      </c>
    </row>
    <row r="918" spans="1:20" x14ac:dyDescent="0.3">
      <c r="A918" s="2" t="s">
        <v>1305</v>
      </c>
      <c r="B918" s="2" t="s">
        <v>1341</v>
      </c>
      <c r="C918" s="2" t="s">
        <v>57</v>
      </c>
      <c r="D918" s="4" t="s">
        <v>52</v>
      </c>
      <c r="E918" s="8">
        <v>324580.57906666672</v>
      </c>
      <c r="F918" s="8">
        <v>230152.8419</v>
      </c>
      <c r="G918" s="8">
        <v>43.198</v>
      </c>
      <c r="H918" s="8"/>
      <c r="I918" s="8"/>
      <c r="J918" s="5" t="s">
        <v>1473</v>
      </c>
      <c r="K918" s="5" t="s">
        <v>1474</v>
      </c>
      <c r="L918" s="5" t="s">
        <v>1472</v>
      </c>
      <c r="M918" s="3">
        <f t="shared" si="85"/>
        <v>-2.5366666726768017E-2</v>
      </c>
      <c r="N918" s="3">
        <f t="shared" si="85"/>
        <v>2.4100000009639189E-2</v>
      </c>
      <c r="O918" s="3">
        <f t="shared" si="82"/>
        <v>2.400000000001512E-3</v>
      </c>
      <c r="P918">
        <f t="shared" si="86"/>
        <v>6.4346778082691961E-4</v>
      </c>
      <c r="Q918">
        <f t="shared" si="86"/>
        <v>5.8081000046460889E-4</v>
      </c>
      <c r="R918">
        <f t="shared" si="86"/>
        <v>5.7600000000072581E-6</v>
      </c>
      <c r="S918">
        <f t="shared" si="83"/>
        <v>1.2242777812915286E-3</v>
      </c>
      <c r="T918">
        <f t="shared" si="84"/>
        <v>3.4989681068731231E-2</v>
      </c>
    </row>
    <row r="919" spans="1:20" x14ac:dyDescent="0.3">
      <c r="A919" s="2" t="s">
        <v>1305</v>
      </c>
      <c r="B919" s="2" t="s">
        <v>1341</v>
      </c>
      <c r="C919" s="2" t="s">
        <v>1308</v>
      </c>
      <c r="D919" s="4" t="s">
        <v>1309</v>
      </c>
      <c r="E919" s="8">
        <v>324580.56316666672</v>
      </c>
      <c r="F919" s="8">
        <v>230152.81916666668</v>
      </c>
      <c r="G919" s="8">
        <v>43.286666666666669</v>
      </c>
      <c r="H919" s="8"/>
      <c r="I919" s="8"/>
      <c r="J919" s="5" t="s">
        <v>1473</v>
      </c>
      <c r="K919" s="5" t="s">
        <v>1474</v>
      </c>
      <c r="L919" s="5" t="s">
        <v>1472</v>
      </c>
      <c r="M919" s="3">
        <f t="shared" si="85"/>
        <v>-9.4666667282581329E-3</v>
      </c>
      <c r="N919" s="3">
        <f t="shared" si="85"/>
        <v>4.6833333326503634E-2</v>
      </c>
      <c r="O919" s="3">
        <f t="shared" si="82"/>
        <v>8.6266666666666936E-2</v>
      </c>
      <c r="P919">
        <f t="shared" si="86"/>
        <v>8.9617778943909543E-5</v>
      </c>
      <c r="Q919">
        <f t="shared" si="86"/>
        <v>2.1933611104713959E-3</v>
      </c>
      <c r="R919">
        <f t="shared" si="86"/>
        <v>7.4419377777778239E-3</v>
      </c>
      <c r="S919">
        <f t="shared" si="83"/>
        <v>2.2829788894153055E-3</v>
      </c>
      <c r="T919">
        <f t="shared" si="84"/>
        <v>4.7780528350106231E-2</v>
      </c>
    </row>
    <row r="920" spans="1:20" x14ac:dyDescent="0.3">
      <c r="A920" s="2" t="s">
        <v>1305</v>
      </c>
      <c r="B920" s="2" t="s">
        <v>1341</v>
      </c>
      <c r="C920" s="2" t="s">
        <v>1317</v>
      </c>
      <c r="D920" s="4" t="s">
        <v>1310</v>
      </c>
      <c r="E920" s="8">
        <v>324580.56236666668</v>
      </c>
      <c r="F920" s="8">
        <v>230152.81753333335</v>
      </c>
      <c r="G920" s="8">
        <v>43.289333333333332</v>
      </c>
      <c r="H920" s="8"/>
      <c r="I920" s="8"/>
      <c r="J920" s="5" t="s">
        <v>1473</v>
      </c>
      <c r="K920" s="5" t="s">
        <v>1474</v>
      </c>
      <c r="L920" s="5" t="s">
        <v>1472</v>
      </c>
      <c r="M920" s="3">
        <f t="shared" si="85"/>
        <v>-8.6666666902601719E-3</v>
      </c>
      <c r="N920" s="3">
        <f t="shared" si="85"/>
        <v>4.8466666659805924E-2</v>
      </c>
      <c r="O920" s="3">
        <f t="shared" si="82"/>
        <v>8.8933333333329756E-2</v>
      </c>
      <c r="P920">
        <f t="shared" si="86"/>
        <v>7.5111111520065202E-5</v>
      </c>
      <c r="Q920">
        <f t="shared" si="86"/>
        <v>2.3490177771127432E-3</v>
      </c>
      <c r="R920">
        <f t="shared" si="86"/>
        <v>7.9091377777771414E-3</v>
      </c>
      <c r="S920">
        <f t="shared" si="83"/>
        <v>2.4241288886328082E-3</v>
      </c>
      <c r="T920">
        <f t="shared" si="84"/>
        <v>4.9235443418667493E-2</v>
      </c>
    </row>
    <row r="921" spans="1:20" x14ac:dyDescent="0.3">
      <c r="A921" s="2" t="s">
        <v>1305</v>
      </c>
      <c r="B921" s="2" t="s">
        <v>1342</v>
      </c>
      <c r="C921" s="2" t="s">
        <v>20</v>
      </c>
      <c r="D921" s="2" t="s">
        <v>30</v>
      </c>
      <c r="E921" s="8">
        <v>313730.00770000002</v>
      </c>
      <c r="F921" s="8">
        <v>215986.45146666668</v>
      </c>
      <c r="G921" s="8">
        <v>111.47966666666667</v>
      </c>
      <c r="H921" s="8"/>
      <c r="I921" s="8"/>
      <c r="J921" s="5" t="s">
        <v>1475</v>
      </c>
      <c r="K921" s="5" t="s">
        <v>1476</v>
      </c>
      <c r="L921" s="5" t="s">
        <v>1477</v>
      </c>
      <c r="M921" s="3">
        <f t="shared" si="85"/>
        <v>-8.8000000105239451E-3</v>
      </c>
      <c r="N921" s="3">
        <f t="shared" si="85"/>
        <v>-9.466666670050472E-3</v>
      </c>
      <c r="O921" s="3">
        <f t="shared" si="82"/>
        <v>1.7333333333326095E-2</v>
      </c>
      <c r="P921">
        <f t="shared" si="86"/>
        <v>7.744000018522143E-5</v>
      </c>
      <c r="Q921">
        <f t="shared" si="86"/>
        <v>8.9617777841844489E-5</v>
      </c>
      <c r="R921">
        <f t="shared" si="86"/>
        <v>3.0044444444419355E-4</v>
      </c>
      <c r="S921">
        <f t="shared" si="83"/>
        <v>1.6705777802706592E-4</v>
      </c>
      <c r="T921">
        <f t="shared" si="84"/>
        <v>1.292508328897984E-2</v>
      </c>
    </row>
    <row r="922" spans="1:20" x14ac:dyDescent="0.3">
      <c r="A922" s="2" t="s">
        <v>1305</v>
      </c>
      <c r="B922" s="2" t="s">
        <v>1342</v>
      </c>
      <c r="C922" s="2" t="s">
        <v>20</v>
      </c>
      <c r="D922" s="2" t="s">
        <v>21</v>
      </c>
      <c r="E922" s="8">
        <v>313730.00976666663</v>
      </c>
      <c r="F922" s="8">
        <v>215986.45526666669</v>
      </c>
      <c r="G922" s="8">
        <v>111.49399999999999</v>
      </c>
      <c r="H922" s="8"/>
      <c r="I922" s="8"/>
      <c r="J922" s="5" t="s">
        <v>1475</v>
      </c>
      <c r="K922" s="5" t="s">
        <v>1476</v>
      </c>
      <c r="L922" s="5" t="s">
        <v>1477</v>
      </c>
      <c r="M922" s="3">
        <f t="shared" si="85"/>
        <v>-1.0866666620131582E-2</v>
      </c>
      <c r="N922" s="3">
        <f t="shared" si="85"/>
        <v>-1.3266666675917804E-2</v>
      </c>
      <c r="O922" s="3">
        <f t="shared" si="82"/>
        <v>3.0000000000143245E-3</v>
      </c>
      <c r="P922">
        <f t="shared" si="86"/>
        <v>1.1808444343308194E-4</v>
      </c>
      <c r="Q922">
        <f t="shared" si="86"/>
        <v>1.7600444468990795E-4</v>
      </c>
      <c r="R922">
        <f t="shared" si="86"/>
        <v>9.000000000085947E-6</v>
      </c>
      <c r="S922">
        <f t="shared" si="83"/>
        <v>2.9408888812298988E-4</v>
      </c>
      <c r="T922">
        <f t="shared" si="84"/>
        <v>1.7149020033896685E-2</v>
      </c>
    </row>
    <row r="923" spans="1:20" x14ac:dyDescent="0.3">
      <c r="A923" s="2" t="s">
        <v>1305</v>
      </c>
      <c r="B923" s="2" t="s">
        <v>1343</v>
      </c>
      <c r="C923" s="2" t="s">
        <v>20</v>
      </c>
      <c r="D923" s="2" t="s">
        <v>110</v>
      </c>
      <c r="E923" s="8">
        <v>313730.00903333334</v>
      </c>
      <c r="F923" s="8">
        <v>215986.45813333336</v>
      </c>
      <c r="G923" s="8">
        <v>111.49133333333333</v>
      </c>
      <c r="H923" s="8"/>
      <c r="I923" s="8"/>
      <c r="J923" s="5" t="s">
        <v>1478</v>
      </c>
      <c r="K923" s="5" t="s">
        <v>1479</v>
      </c>
      <c r="L923" s="5" t="s">
        <v>1477</v>
      </c>
      <c r="M923" s="3">
        <f t="shared" si="85"/>
        <v>-1.0133333329576999E-2</v>
      </c>
      <c r="N923" s="3">
        <f t="shared" si="85"/>
        <v>-1.6133333352627233E-2</v>
      </c>
      <c r="O923" s="3">
        <f t="shared" si="82"/>
        <v>5.6666666666700394E-3</v>
      </c>
      <c r="P923">
        <f t="shared" si="86"/>
        <v>1.0268444436831606E-4</v>
      </c>
      <c r="Q923">
        <f t="shared" si="86"/>
        <v>2.6028444506699428E-4</v>
      </c>
      <c r="R923">
        <f t="shared" si="86"/>
        <v>3.2111111111149332E-5</v>
      </c>
      <c r="S923">
        <f t="shared" si="83"/>
        <v>3.6296888943531031E-4</v>
      </c>
      <c r="T923">
        <f t="shared" si="84"/>
        <v>1.9051742425177553E-2</v>
      </c>
    </row>
    <row r="924" spans="1:20" x14ac:dyDescent="0.3">
      <c r="A924" s="2" t="s">
        <v>1305</v>
      </c>
      <c r="B924" s="2" t="s">
        <v>1343</v>
      </c>
      <c r="C924" s="2" t="s">
        <v>20</v>
      </c>
      <c r="D924" s="4" t="s">
        <v>37</v>
      </c>
      <c r="E924" s="8">
        <v>313730.01073333336</v>
      </c>
      <c r="F924" s="8">
        <v>215986.45893333331</v>
      </c>
      <c r="G924" s="8">
        <v>111.49533333333333</v>
      </c>
      <c r="H924" s="8"/>
      <c r="I924" s="8"/>
      <c r="J924" s="5" t="s">
        <v>1478</v>
      </c>
      <c r="K924" s="5" t="s">
        <v>1479</v>
      </c>
      <c r="L924" s="5" t="s">
        <v>1477</v>
      </c>
      <c r="M924" s="3">
        <f t="shared" si="85"/>
        <v>-1.1833333352115005E-2</v>
      </c>
      <c r="N924" s="3">
        <f t="shared" si="85"/>
        <v>-1.6933333303313702E-2</v>
      </c>
      <c r="O924" s="3">
        <f t="shared" ref="O924:O987" si="87">ABS(L924-G924)</f>
        <v>1.6666666666651508E-3</v>
      </c>
      <c r="P924">
        <f t="shared" si="86"/>
        <v>1.4002777822227734E-4</v>
      </c>
      <c r="Q924">
        <f t="shared" si="86"/>
        <v>2.8673777676111297E-4</v>
      </c>
      <c r="R924">
        <f t="shared" si="86"/>
        <v>2.7777777777727249E-6</v>
      </c>
      <c r="S924">
        <f t="shared" ref="S924:S987" si="88">P924+Q924</f>
        <v>4.2676555498339031E-4</v>
      </c>
      <c r="T924">
        <f t="shared" ref="T924:T987" si="89">SQRT(S924)</f>
        <v>2.0658304746115793E-2</v>
      </c>
    </row>
    <row r="925" spans="1:20" x14ac:dyDescent="0.3">
      <c r="A925" s="2" t="s">
        <v>1305</v>
      </c>
      <c r="B925" s="2" t="s">
        <v>1343</v>
      </c>
      <c r="C925" s="2" t="s">
        <v>20</v>
      </c>
      <c r="D925" s="4" t="s">
        <v>46</v>
      </c>
      <c r="E925" s="8">
        <v>313730.00976666663</v>
      </c>
      <c r="F925" s="8">
        <v>215986.45586666666</v>
      </c>
      <c r="G925" s="8">
        <v>111.48633333333333</v>
      </c>
      <c r="H925" s="8"/>
      <c r="I925" s="8"/>
      <c r="J925" s="5" t="s">
        <v>1478</v>
      </c>
      <c r="K925" s="5" t="s">
        <v>1479</v>
      </c>
      <c r="L925" s="5" t="s">
        <v>1477</v>
      </c>
      <c r="M925" s="3">
        <f t="shared" si="85"/>
        <v>-1.0866666620131582E-2</v>
      </c>
      <c r="N925" s="3">
        <f t="shared" si="85"/>
        <v>-1.3866666646208614E-2</v>
      </c>
      <c r="O925" s="3">
        <f t="shared" si="87"/>
        <v>1.0666666666665492E-2</v>
      </c>
      <c r="P925">
        <f t="shared" si="86"/>
        <v>1.1808444343308194E-4</v>
      </c>
      <c r="Q925">
        <f t="shared" si="86"/>
        <v>1.9228444387707445E-4</v>
      </c>
      <c r="R925">
        <f t="shared" si="86"/>
        <v>1.1377777777775272E-4</v>
      </c>
      <c r="S925">
        <f t="shared" si="88"/>
        <v>3.1036888731015639E-4</v>
      </c>
      <c r="T925">
        <f t="shared" si="89"/>
        <v>1.7617289442764923E-2</v>
      </c>
    </row>
    <row r="926" spans="1:20" x14ac:dyDescent="0.3">
      <c r="A926" s="2" t="s">
        <v>1305</v>
      </c>
      <c r="B926" s="2" t="s">
        <v>1343</v>
      </c>
      <c r="C926" s="2" t="s">
        <v>51</v>
      </c>
      <c r="D926" s="2" t="s">
        <v>63</v>
      </c>
      <c r="E926" s="8">
        <v>313730.01263333327</v>
      </c>
      <c r="F926" s="8">
        <v>215986.4529</v>
      </c>
      <c r="G926" s="8">
        <v>111.47799999999999</v>
      </c>
      <c r="H926" s="8"/>
      <c r="I926" s="8"/>
      <c r="J926" s="5" t="s">
        <v>1478</v>
      </c>
      <c r="K926" s="5" t="s">
        <v>1479</v>
      </c>
      <c r="L926" s="5" t="s">
        <v>1477</v>
      </c>
      <c r="M926" s="3">
        <f t="shared" si="85"/>
        <v>-1.373333326773718E-2</v>
      </c>
      <c r="N926" s="3">
        <f t="shared" si="85"/>
        <v>-1.0899999993853271E-2</v>
      </c>
      <c r="O926" s="3">
        <f t="shared" si="87"/>
        <v>1.9000000000005457E-2</v>
      </c>
      <c r="P926">
        <f t="shared" si="86"/>
        <v>1.8860444264273677E-4</v>
      </c>
      <c r="Q926">
        <f t="shared" si="86"/>
        <v>1.1880999986600131E-4</v>
      </c>
      <c r="R926">
        <f t="shared" si="86"/>
        <v>3.6100000000020735E-4</v>
      </c>
      <c r="S926">
        <f t="shared" si="88"/>
        <v>3.0741444250873809E-4</v>
      </c>
      <c r="T926">
        <f t="shared" si="89"/>
        <v>1.7533238220840384E-2</v>
      </c>
    </row>
    <row r="927" spans="1:20" x14ac:dyDescent="0.3">
      <c r="A927" s="2" t="s">
        <v>1305</v>
      </c>
      <c r="B927" s="2" t="s">
        <v>1343</v>
      </c>
      <c r="C927" s="2" t="s">
        <v>51</v>
      </c>
      <c r="D927" s="2" t="s">
        <v>30</v>
      </c>
      <c r="E927" s="8">
        <v>313730.01283333334</v>
      </c>
      <c r="F927" s="8">
        <v>215986.45283333331</v>
      </c>
      <c r="G927" s="8">
        <v>111.47533333333332</v>
      </c>
      <c r="H927" s="8"/>
      <c r="I927" s="8"/>
      <c r="J927" s="5" t="s">
        <v>1478</v>
      </c>
      <c r="K927" s="5" t="s">
        <v>1479</v>
      </c>
      <c r="L927" s="5" t="s">
        <v>1477</v>
      </c>
      <c r="M927" s="3">
        <f t="shared" si="85"/>
        <v>-1.3933333335444331E-2</v>
      </c>
      <c r="N927" s="3">
        <f t="shared" si="85"/>
        <v>-1.0833333304617554E-2</v>
      </c>
      <c r="O927" s="3">
        <f t="shared" si="87"/>
        <v>2.1666666666675383E-2</v>
      </c>
      <c r="P927">
        <f t="shared" si="86"/>
        <v>1.9413777783660425E-4</v>
      </c>
      <c r="Q927">
        <f t="shared" si="86"/>
        <v>1.1736111048893589E-4</v>
      </c>
      <c r="R927">
        <f t="shared" si="86"/>
        <v>4.6944444444482216E-4</v>
      </c>
      <c r="S927">
        <f t="shared" si="88"/>
        <v>3.1149888832554014E-4</v>
      </c>
      <c r="T927">
        <f t="shared" si="89"/>
        <v>1.7649331101363023E-2</v>
      </c>
    </row>
    <row r="928" spans="1:20" x14ac:dyDescent="0.3">
      <c r="A928" s="2" t="s">
        <v>1305</v>
      </c>
      <c r="B928" s="2" t="s">
        <v>1343</v>
      </c>
      <c r="C928" s="2" t="s">
        <v>57</v>
      </c>
      <c r="D928" s="4" t="s">
        <v>52</v>
      </c>
      <c r="E928" s="8">
        <v>313730.01196666667</v>
      </c>
      <c r="F928" s="8">
        <v>215986.45116666667</v>
      </c>
      <c r="G928" s="8">
        <v>111.48466666666667</v>
      </c>
      <c r="H928" s="8"/>
      <c r="I928" s="8"/>
      <c r="J928" s="5" t="s">
        <v>1478</v>
      </c>
      <c r="K928" s="5" t="s">
        <v>1479</v>
      </c>
      <c r="L928" s="5" t="s">
        <v>1477</v>
      </c>
      <c r="M928" s="3">
        <f t="shared" si="85"/>
        <v>-1.3066666666418314E-2</v>
      </c>
      <c r="N928" s="3">
        <f t="shared" si="85"/>
        <v>-9.1666666558012366E-3</v>
      </c>
      <c r="O928" s="3">
        <f t="shared" si="87"/>
        <v>1.2333333333330643E-2</v>
      </c>
      <c r="P928">
        <f t="shared" si="86"/>
        <v>1.7073777777128749E-4</v>
      </c>
      <c r="Q928">
        <f t="shared" si="86"/>
        <v>8.4027777578578227E-5</v>
      </c>
      <c r="R928">
        <f t="shared" si="86"/>
        <v>1.5211111111104473E-4</v>
      </c>
      <c r="S928">
        <f t="shared" si="88"/>
        <v>2.5476555534986571E-4</v>
      </c>
      <c r="T928">
        <f t="shared" si="89"/>
        <v>1.5961376987900063E-2</v>
      </c>
    </row>
    <row r="929" spans="1:20" x14ac:dyDescent="0.3">
      <c r="A929" s="2" t="s">
        <v>1305</v>
      </c>
      <c r="B929" s="2" t="s">
        <v>1343</v>
      </c>
      <c r="C929" s="2" t="s">
        <v>1308</v>
      </c>
      <c r="D929" s="4" t="s">
        <v>1309</v>
      </c>
      <c r="E929" s="8">
        <v>313730.00803333335</v>
      </c>
      <c r="F929" s="8">
        <v>215986.45726666669</v>
      </c>
      <c r="G929" s="8">
        <v>111.60166666666667</v>
      </c>
      <c r="H929" s="8"/>
      <c r="I929" s="8"/>
      <c r="J929" s="5" t="s">
        <v>1478</v>
      </c>
      <c r="K929" s="5" t="s">
        <v>1479</v>
      </c>
      <c r="L929" s="5" t="s">
        <v>1477</v>
      </c>
      <c r="M929" s="3">
        <f t="shared" si="85"/>
        <v>-9.1333333402872086E-3</v>
      </c>
      <c r="N929" s="3">
        <f t="shared" si="85"/>
        <v>-1.5266666683601215E-2</v>
      </c>
      <c r="O929" s="3">
        <f t="shared" si="87"/>
        <v>0.10466666666667379</v>
      </c>
      <c r="P929">
        <f t="shared" si="86"/>
        <v>8.3417777904801899E-5</v>
      </c>
      <c r="Q929">
        <f t="shared" si="86"/>
        <v>2.3307111162817933E-4</v>
      </c>
      <c r="R929">
        <f t="shared" si="86"/>
        <v>1.0955111111112602E-2</v>
      </c>
      <c r="S929">
        <f t="shared" si="88"/>
        <v>3.1648888953298121E-4</v>
      </c>
      <c r="T929">
        <f t="shared" si="89"/>
        <v>1.7790134612559322E-2</v>
      </c>
    </row>
    <row r="930" spans="1:20" x14ac:dyDescent="0.3">
      <c r="A930" s="2" t="s">
        <v>1305</v>
      </c>
      <c r="B930" s="2" t="s">
        <v>1343</v>
      </c>
      <c r="C930" s="2" t="s">
        <v>1317</v>
      </c>
      <c r="D930" s="4" t="s">
        <v>1310</v>
      </c>
      <c r="E930" s="8">
        <v>313730.00483333337</v>
      </c>
      <c r="F930" s="8">
        <v>215986.45313333333</v>
      </c>
      <c r="G930" s="8">
        <v>111.58199999999999</v>
      </c>
      <c r="H930" s="8"/>
      <c r="I930" s="8"/>
      <c r="J930" s="5" t="s">
        <v>1478</v>
      </c>
      <c r="K930" s="5" t="s">
        <v>1479</v>
      </c>
      <c r="L930" s="5" t="s">
        <v>1477</v>
      </c>
      <c r="M930" s="3">
        <f t="shared" si="85"/>
        <v>-5.9333333629183471E-3</v>
      </c>
      <c r="N930" s="3">
        <f t="shared" si="85"/>
        <v>-1.1133333318866789E-2</v>
      </c>
      <c r="O930" s="3">
        <f t="shared" si="87"/>
        <v>8.4999999999993747E-2</v>
      </c>
      <c r="P930">
        <f t="shared" si="86"/>
        <v>3.5204444795519939E-5</v>
      </c>
      <c r="Q930">
        <f t="shared" si="86"/>
        <v>1.2395111078898938E-4</v>
      </c>
      <c r="R930">
        <f t="shared" si="86"/>
        <v>7.2249999999989371E-3</v>
      </c>
      <c r="S930">
        <f t="shared" si="88"/>
        <v>1.5915555558450932E-4</v>
      </c>
      <c r="T930">
        <f t="shared" si="89"/>
        <v>1.2615686885164411E-2</v>
      </c>
    </row>
    <row r="931" spans="1:20" x14ac:dyDescent="0.3">
      <c r="A931" s="2" t="s">
        <v>1305</v>
      </c>
      <c r="B931" s="2" t="s">
        <v>1344</v>
      </c>
      <c r="C931" s="2" t="s">
        <v>20</v>
      </c>
      <c r="D931" s="2" t="s">
        <v>30</v>
      </c>
      <c r="E931" s="8">
        <v>308382.7312333333</v>
      </c>
      <c r="F931" s="8">
        <v>191359.57689999999</v>
      </c>
      <c r="G931" s="8">
        <v>39.500333333333337</v>
      </c>
      <c r="H931" s="8"/>
      <c r="I931" s="8"/>
      <c r="J931" s="5" t="s">
        <v>1480</v>
      </c>
      <c r="K931" s="5" t="s">
        <v>1481</v>
      </c>
      <c r="L931" s="5" t="s">
        <v>1482</v>
      </c>
      <c r="M931" s="3">
        <f t="shared" si="85"/>
        <v>8.066666719969362E-3</v>
      </c>
      <c r="N931" s="3">
        <f t="shared" si="85"/>
        <v>9.0000000200234354E-3</v>
      </c>
      <c r="O931" s="3">
        <f t="shared" si="87"/>
        <v>7.2866666666662638E-2</v>
      </c>
      <c r="P931">
        <f t="shared" si="86"/>
        <v>6.5071111971061262E-5</v>
      </c>
      <c r="Q931">
        <f t="shared" si="86"/>
        <v>8.1000000360421833E-5</v>
      </c>
      <c r="R931">
        <f t="shared" si="86"/>
        <v>5.3095511111105245E-3</v>
      </c>
      <c r="S931">
        <f t="shared" si="88"/>
        <v>1.460711123314831E-4</v>
      </c>
      <c r="T931">
        <f t="shared" si="89"/>
        <v>1.2085988264576592E-2</v>
      </c>
    </row>
    <row r="932" spans="1:20" x14ac:dyDescent="0.3">
      <c r="A932" s="2" t="s">
        <v>1305</v>
      </c>
      <c r="B932" s="2" t="s">
        <v>1344</v>
      </c>
      <c r="C932" s="2" t="s">
        <v>20</v>
      </c>
      <c r="D932" s="2" t="s">
        <v>21</v>
      </c>
      <c r="E932" s="8">
        <v>308382.7389</v>
      </c>
      <c r="F932" s="8">
        <v>191359.57003333335</v>
      </c>
      <c r="G932" s="8">
        <v>39.518000000000001</v>
      </c>
      <c r="H932" s="8"/>
      <c r="I932" s="8"/>
      <c r="J932" s="5" t="s">
        <v>1480</v>
      </c>
      <c r="K932" s="5" t="s">
        <v>1481</v>
      </c>
      <c r="L932" s="5" t="s">
        <v>1482</v>
      </c>
      <c r="M932" s="3">
        <f t="shared" si="85"/>
        <v>4.0000001899898052E-4</v>
      </c>
      <c r="N932" s="3">
        <f t="shared" si="85"/>
        <v>1.5866666653892025E-2</v>
      </c>
      <c r="O932" s="3">
        <f t="shared" si="87"/>
        <v>5.519999999999925E-2</v>
      </c>
      <c r="P932">
        <f t="shared" si="86"/>
        <v>1.6000001519918478E-7</v>
      </c>
      <c r="Q932">
        <f t="shared" si="86"/>
        <v>2.5175111070572918E-4</v>
      </c>
      <c r="R932">
        <f t="shared" si="86"/>
        <v>3.0470399999999172E-3</v>
      </c>
      <c r="S932">
        <f t="shared" si="88"/>
        <v>2.5191111072092836E-4</v>
      </c>
      <c r="T932">
        <f t="shared" si="89"/>
        <v>1.5871707870324742E-2</v>
      </c>
    </row>
    <row r="933" spans="1:20" x14ac:dyDescent="0.3">
      <c r="A933" s="2" t="s">
        <v>1305</v>
      </c>
      <c r="B933" s="2" t="s">
        <v>1345</v>
      </c>
      <c r="C933" s="2" t="s">
        <v>20</v>
      </c>
      <c r="D933" s="2" t="s">
        <v>110</v>
      </c>
      <c r="E933" s="8">
        <v>308382.73593333334</v>
      </c>
      <c r="F933" s="8">
        <v>191359.58426666664</v>
      </c>
      <c r="G933" s="8">
        <v>39.508999999999993</v>
      </c>
      <c r="H933" s="8"/>
      <c r="I933" s="8"/>
      <c r="J933" s="5" t="s">
        <v>1483</v>
      </c>
      <c r="K933" s="5" t="s">
        <v>1484</v>
      </c>
      <c r="L933" s="5" t="s">
        <v>1482</v>
      </c>
      <c r="M933" s="3">
        <f t="shared" si="85"/>
        <v>3.3666666713543236E-3</v>
      </c>
      <c r="N933" s="3">
        <f t="shared" si="85"/>
        <v>1.6333333624061197E-3</v>
      </c>
      <c r="O933" s="3">
        <f t="shared" si="87"/>
        <v>6.4200000000006696E-2</v>
      </c>
      <c r="P933">
        <f t="shared" si="86"/>
        <v>1.1334444476008001E-5</v>
      </c>
      <c r="Q933">
        <f t="shared" si="86"/>
        <v>2.6677778727488808E-6</v>
      </c>
      <c r="R933">
        <f t="shared" si="86"/>
        <v>4.1216400000008598E-3</v>
      </c>
      <c r="S933">
        <f t="shared" si="88"/>
        <v>1.4002222348756881E-5</v>
      </c>
      <c r="T933">
        <f t="shared" si="89"/>
        <v>3.7419543488338928E-3</v>
      </c>
    </row>
    <row r="934" spans="1:20" x14ac:dyDescent="0.3">
      <c r="A934" s="2" t="s">
        <v>1305</v>
      </c>
      <c r="B934" s="2" t="s">
        <v>1345</v>
      </c>
      <c r="C934" s="2" t="s">
        <v>20</v>
      </c>
      <c r="D934" s="4" t="s">
        <v>37</v>
      </c>
      <c r="E934" s="8">
        <v>308382.7288333333</v>
      </c>
      <c r="F934" s="8">
        <v>191359.5750333333</v>
      </c>
      <c r="G934" s="8">
        <v>39.568999999999996</v>
      </c>
      <c r="H934" s="8"/>
      <c r="I934" s="8"/>
      <c r="J934" s="5" t="s">
        <v>1483</v>
      </c>
      <c r="K934" s="5" t="s">
        <v>1484</v>
      </c>
      <c r="L934" s="5" t="s">
        <v>1482</v>
      </c>
      <c r="M934" s="3">
        <f t="shared" si="85"/>
        <v>1.0466666717547923E-2</v>
      </c>
      <c r="N934" s="3">
        <f t="shared" si="85"/>
        <v>1.0866666707443073E-2</v>
      </c>
      <c r="O934" s="3">
        <f t="shared" si="87"/>
        <v>4.2000000000044224E-3</v>
      </c>
      <c r="P934">
        <f t="shared" si="86"/>
        <v>1.0955111217622542E-4</v>
      </c>
      <c r="Q934">
        <f t="shared" si="86"/>
        <v>1.1808444533065168E-4</v>
      </c>
      <c r="R934">
        <f t="shared" si="86"/>
        <v>1.7640000000037148E-5</v>
      </c>
      <c r="S934">
        <f t="shared" si="88"/>
        <v>2.276355575068771E-4</v>
      </c>
      <c r="T934">
        <f t="shared" si="89"/>
        <v>1.5087596147394624E-2</v>
      </c>
    </row>
    <row r="935" spans="1:20" x14ac:dyDescent="0.3">
      <c r="A935" s="2" t="s">
        <v>1305</v>
      </c>
      <c r="B935" s="2" t="s">
        <v>1345</v>
      </c>
      <c r="C935" s="2" t="s">
        <v>20</v>
      </c>
      <c r="D935" s="4" t="s">
        <v>46</v>
      </c>
      <c r="E935" s="8">
        <v>308382.72423333331</v>
      </c>
      <c r="F935" s="8">
        <v>191359.57353333334</v>
      </c>
      <c r="G935" s="8">
        <v>39.57033333333333</v>
      </c>
      <c r="H935" s="8"/>
      <c r="I935" s="8"/>
      <c r="J935" s="5" t="s">
        <v>1483</v>
      </c>
      <c r="K935" s="5" t="s">
        <v>1484</v>
      </c>
      <c r="L935" s="5" t="s">
        <v>1482</v>
      </c>
      <c r="M935" s="3">
        <f t="shared" si="85"/>
        <v>1.5066666703205556E-2</v>
      </c>
      <c r="N935" s="3">
        <f t="shared" si="85"/>
        <v>1.2366666662273929E-2</v>
      </c>
      <c r="O935" s="3">
        <f t="shared" si="87"/>
        <v>2.8666666666694596E-3</v>
      </c>
      <c r="P935">
        <f t="shared" si="86"/>
        <v>2.2700444554548296E-4</v>
      </c>
      <c r="Q935">
        <f t="shared" si="86"/>
        <v>1.529344443357974E-4</v>
      </c>
      <c r="R935">
        <f t="shared" si="86"/>
        <v>8.2177777777937907E-6</v>
      </c>
      <c r="S935">
        <f t="shared" si="88"/>
        <v>3.7993888988128034E-4</v>
      </c>
      <c r="T935">
        <f t="shared" si="89"/>
        <v>1.9492021185122912E-2</v>
      </c>
    </row>
    <row r="936" spans="1:20" x14ac:dyDescent="0.3">
      <c r="A936" s="2" t="s">
        <v>1305</v>
      </c>
      <c r="B936" s="2" t="s">
        <v>1345</v>
      </c>
      <c r="C936" s="2" t="s">
        <v>51</v>
      </c>
      <c r="D936" s="2" t="s">
        <v>63</v>
      </c>
      <c r="E936" s="8">
        <v>308382.73006666661</v>
      </c>
      <c r="F936" s="8">
        <v>191359.55989999999</v>
      </c>
      <c r="G936" s="8">
        <v>39.587333333333333</v>
      </c>
      <c r="H936" s="8"/>
      <c r="I936" s="8"/>
      <c r="J936" s="5" t="s">
        <v>1483</v>
      </c>
      <c r="K936" s="5" t="s">
        <v>1484</v>
      </c>
      <c r="L936" s="5" t="s">
        <v>1482</v>
      </c>
      <c r="M936" s="3">
        <f t="shared" si="85"/>
        <v>9.2333334032446146E-3</v>
      </c>
      <c r="N936" s="3">
        <f t="shared" si="85"/>
        <v>2.6000000012572855E-2</v>
      </c>
      <c r="O936" s="3">
        <f t="shared" si="87"/>
        <v>1.4133333333333553E-2</v>
      </c>
      <c r="P936">
        <f t="shared" si="86"/>
        <v>8.5254445735472777E-5</v>
      </c>
      <c r="Q936">
        <f t="shared" si="86"/>
        <v>6.760000006537885E-4</v>
      </c>
      <c r="R936">
        <f t="shared" si="86"/>
        <v>1.9975111111111732E-4</v>
      </c>
      <c r="S936">
        <f t="shared" si="88"/>
        <v>7.6125444638926133E-4</v>
      </c>
      <c r="T936">
        <f t="shared" si="89"/>
        <v>2.7590839900033151E-2</v>
      </c>
    </row>
    <row r="937" spans="1:20" x14ac:dyDescent="0.3">
      <c r="A937" s="2" t="s">
        <v>1305</v>
      </c>
      <c r="B937" s="2" t="s">
        <v>1345</v>
      </c>
      <c r="C937" s="2" t="s">
        <v>51</v>
      </c>
      <c r="D937" s="2" t="s">
        <v>30</v>
      </c>
      <c r="E937" s="8">
        <v>308382.7473333333</v>
      </c>
      <c r="F937" s="8">
        <v>191359.56590000002</v>
      </c>
      <c r="G937" s="8">
        <v>39.590333333333334</v>
      </c>
      <c r="H937" s="8"/>
      <c r="I937" s="8"/>
      <c r="J937" s="5" t="s">
        <v>1483</v>
      </c>
      <c r="K937" s="5" t="s">
        <v>1484</v>
      </c>
      <c r="L937" s="5" t="s">
        <v>1482</v>
      </c>
      <c r="M937" s="3">
        <f t="shared" si="85"/>
        <v>-8.0333332880400121E-3</v>
      </c>
      <c r="N937" s="3">
        <f t="shared" si="85"/>
        <v>1.9999999989522621E-2</v>
      </c>
      <c r="O937" s="3">
        <f t="shared" si="87"/>
        <v>1.7133333333333667E-2</v>
      </c>
      <c r="P937">
        <f t="shared" si="86"/>
        <v>6.4534443716731749E-5</v>
      </c>
      <c r="Q937">
        <f t="shared" si="86"/>
        <v>3.9999999958090487E-4</v>
      </c>
      <c r="R937">
        <f t="shared" si="86"/>
        <v>2.9355111111112255E-4</v>
      </c>
      <c r="S937">
        <f t="shared" si="88"/>
        <v>4.6453444329763662E-4</v>
      </c>
      <c r="T937">
        <f t="shared" si="89"/>
        <v>2.1553061112000695E-2</v>
      </c>
    </row>
    <row r="938" spans="1:20" x14ac:dyDescent="0.3">
      <c r="A938" s="2" t="s">
        <v>1305</v>
      </c>
      <c r="B938" s="2" t="s">
        <v>1345</v>
      </c>
      <c r="C938" s="2" t="s">
        <v>57</v>
      </c>
      <c r="D938" s="4" t="s">
        <v>52</v>
      </c>
      <c r="E938" s="8">
        <v>308382.73603333341</v>
      </c>
      <c r="F938" s="8">
        <v>191359.56599999999</v>
      </c>
      <c r="G938" s="8">
        <v>39.586666666666666</v>
      </c>
      <c r="H938" s="8"/>
      <c r="I938" s="8"/>
      <c r="J938" s="5" t="s">
        <v>1483</v>
      </c>
      <c r="K938" s="5" t="s">
        <v>1484</v>
      </c>
      <c r="L938" s="5" t="s">
        <v>1482</v>
      </c>
      <c r="M938" s="3">
        <f t="shared" si="85"/>
        <v>3.2666666083969176E-3</v>
      </c>
      <c r="N938" s="3">
        <f t="shared" si="85"/>
        <v>1.9900000013876706E-2</v>
      </c>
      <c r="O938" s="3">
        <f t="shared" si="87"/>
        <v>1.3466666666666072E-2</v>
      </c>
      <c r="P938">
        <f t="shared" si="86"/>
        <v>1.067111073041542E-5</v>
      </c>
      <c r="Q938">
        <f t="shared" si="86"/>
        <v>3.9601000055229294E-4</v>
      </c>
      <c r="R938">
        <f t="shared" si="86"/>
        <v>1.8135111111109508E-4</v>
      </c>
      <c r="S938">
        <f t="shared" si="88"/>
        <v>4.0668111128270835E-4</v>
      </c>
      <c r="T938">
        <f t="shared" si="89"/>
        <v>2.0166336089699297E-2</v>
      </c>
    </row>
    <row r="939" spans="1:20" x14ac:dyDescent="0.3">
      <c r="A939" s="2" t="s">
        <v>1305</v>
      </c>
      <c r="B939" s="2" t="s">
        <v>1345</v>
      </c>
      <c r="C939" s="2" t="s">
        <v>1308</v>
      </c>
      <c r="D939" s="4" t="s">
        <v>1309</v>
      </c>
      <c r="E939" s="8">
        <v>308382.72563333332</v>
      </c>
      <c r="F939" s="8">
        <v>191359.5671333333</v>
      </c>
      <c r="G939" s="8">
        <v>39.574666666666666</v>
      </c>
      <c r="H939" s="8"/>
      <c r="I939" s="8"/>
      <c r="J939" s="5" t="s">
        <v>1483</v>
      </c>
      <c r="K939" s="5" t="s">
        <v>1484</v>
      </c>
      <c r="L939" s="5" t="s">
        <v>1482</v>
      </c>
      <c r="M939" s="3">
        <f t="shared" si="85"/>
        <v>1.3666666694916785E-2</v>
      </c>
      <c r="N939" s="3">
        <f t="shared" si="85"/>
        <v>1.8766666704323143E-2</v>
      </c>
      <c r="O939" s="3">
        <f t="shared" si="87"/>
        <v>1.466666666665617E-3</v>
      </c>
      <c r="P939">
        <f t="shared" si="86"/>
        <v>1.8677777854994766E-4</v>
      </c>
      <c r="Q939">
        <f t="shared" si="86"/>
        <v>3.5218777919115085E-4</v>
      </c>
      <c r="R939">
        <f t="shared" si="86"/>
        <v>2.1511111111080321E-6</v>
      </c>
      <c r="S939">
        <f t="shared" si="88"/>
        <v>5.3896555774109851E-4</v>
      </c>
      <c r="T939">
        <f t="shared" si="89"/>
        <v>2.3215631754081097E-2</v>
      </c>
    </row>
    <row r="940" spans="1:20" x14ac:dyDescent="0.3">
      <c r="A940" s="2" t="s">
        <v>1305</v>
      </c>
      <c r="B940" s="2" t="s">
        <v>1345</v>
      </c>
      <c r="C940" s="2" t="s">
        <v>1317</v>
      </c>
      <c r="D940" s="4" t="s">
        <v>1310</v>
      </c>
      <c r="E940" s="8">
        <v>308382.73120000004</v>
      </c>
      <c r="F940" s="8">
        <v>191359.57330000002</v>
      </c>
      <c r="G940" s="8">
        <v>39.577333333333335</v>
      </c>
      <c r="H940" s="8"/>
      <c r="I940" s="8"/>
      <c r="J940" s="5" t="s">
        <v>1483</v>
      </c>
      <c r="K940" s="5" t="s">
        <v>1484</v>
      </c>
      <c r="L940" s="5" t="s">
        <v>1482</v>
      </c>
      <c r="M940" s="3">
        <f t="shared" si="85"/>
        <v>8.0999999772757292E-3</v>
      </c>
      <c r="N940" s="3">
        <f t="shared" si="85"/>
        <v>1.2599999987287447E-2</v>
      </c>
      <c r="O940" s="3">
        <f t="shared" si="87"/>
        <v>4.1333333333355426E-3</v>
      </c>
      <c r="P940">
        <f t="shared" si="86"/>
        <v>6.5609999631866813E-5</v>
      </c>
      <c r="Q940">
        <f t="shared" si="86"/>
        <v>1.5875999967964366E-4</v>
      </c>
      <c r="R940">
        <f t="shared" si="86"/>
        <v>1.708444444446271E-5</v>
      </c>
      <c r="S940">
        <f t="shared" si="88"/>
        <v>2.2436999931151047E-4</v>
      </c>
      <c r="T940">
        <f t="shared" si="89"/>
        <v>1.4978985256402066E-2</v>
      </c>
    </row>
    <row r="941" spans="1:20" x14ac:dyDescent="0.3">
      <c r="A941" s="2" t="s">
        <v>1305</v>
      </c>
      <c r="B941" s="2" t="s">
        <v>1346</v>
      </c>
      <c r="C941" s="2" t="s">
        <v>20</v>
      </c>
      <c r="D941" s="2" t="s">
        <v>30</v>
      </c>
      <c r="E941" s="8">
        <v>302942.21943333332</v>
      </c>
      <c r="F941" s="8">
        <v>186804.66706666665</v>
      </c>
      <c r="G941" s="8">
        <v>49.195666666666661</v>
      </c>
      <c r="H941" s="8"/>
      <c r="I941" s="8"/>
      <c r="J941" s="5" t="s">
        <v>1485</v>
      </c>
      <c r="K941" s="5" t="s">
        <v>1486</v>
      </c>
      <c r="L941" s="5" t="s">
        <v>1487</v>
      </c>
      <c r="M941" s="3">
        <f t="shared" si="85"/>
        <v>1.8666666583158076E-3</v>
      </c>
      <c r="N941" s="3">
        <f t="shared" si="85"/>
        <v>-2.0666666387114674E-3</v>
      </c>
      <c r="O941" s="3">
        <f t="shared" si="87"/>
        <v>5.9666666666586821E-3</v>
      </c>
      <c r="P941">
        <f t="shared" si="86"/>
        <v>3.4844444132679039E-6</v>
      </c>
      <c r="Q941">
        <f t="shared" si="86"/>
        <v>4.2711109955629549E-6</v>
      </c>
      <c r="R941">
        <f t="shared" si="86"/>
        <v>3.5601111111015828E-5</v>
      </c>
      <c r="S941">
        <f t="shared" si="88"/>
        <v>7.7555554088308579E-6</v>
      </c>
      <c r="T941">
        <f t="shared" si="89"/>
        <v>2.7848797835509629E-3</v>
      </c>
    </row>
    <row r="942" spans="1:20" x14ac:dyDescent="0.3">
      <c r="A942" s="2" t="s">
        <v>1305</v>
      </c>
      <c r="B942" s="2" t="s">
        <v>1346</v>
      </c>
      <c r="C942" s="2" t="s">
        <v>20</v>
      </c>
      <c r="D942" s="2" t="s">
        <v>21</v>
      </c>
      <c r="E942" s="8">
        <v>302942.23086666665</v>
      </c>
      <c r="F942" s="8">
        <v>186804.68590000001</v>
      </c>
      <c r="G942" s="8">
        <v>49.170333333333332</v>
      </c>
      <c r="H942" s="8"/>
      <c r="I942" s="8"/>
      <c r="J942" s="5" t="s">
        <v>1485</v>
      </c>
      <c r="K942" s="5" t="s">
        <v>1486</v>
      </c>
      <c r="L942" s="5" t="s">
        <v>1487</v>
      </c>
      <c r="M942" s="3">
        <f t="shared" si="85"/>
        <v>-9.5666666748002172E-3</v>
      </c>
      <c r="N942" s="3">
        <f t="shared" si="85"/>
        <v>-2.0900000003166497E-2</v>
      </c>
      <c r="O942" s="3">
        <f t="shared" si="87"/>
        <v>1.9366666666670085E-2</v>
      </c>
      <c r="P942">
        <f t="shared" si="86"/>
        <v>9.1521111266733044E-5</v>
      </c>
      <c r="Q942">
        <f t="shared" si="86"/>
        <v>4.3681000013235955E-4</v>
      </c>
      <c r="R942">
        <f t="shared" si="86"/>
        <v>3.750677777779102E-4</v>
      </c>
      <c r="S942">
        <f t="shared" si="88"/>
        <v>5.2833111139909258E-4</v>
      </c>
      <c r="T942">
        <f t="shared" si="89"/>
        <v>2.2985454343977901E-2</v>
      </c>
    </row>
    <row r="943" spans="1:20" x14ac:dyDescent="0.3">
      <c r="A943" s="2" t="s">
        <v>1305</v>
      </c>
      <c r="B943" s="2" t="s">
        <v>1347</v>
      </c>
      <c r="C943" s="2" t="s">
        <v>20</v>
      </c>
      <c r="D943" s="2" t="s">
        <v>110</v>
      </c>
      <c r="E943" s="8">
        <v>302942.22340000002</v>
      </c>
      <c r="F943" s="8">
        <v>186804.68676666668</v>
      </c>
      <c r="G943" s="8">
        <v>49.179666666666662</v>
      </c>
      <c r="H943" s="8"/>
      <c r="I943" s="8"/>
      <c r="J943" s="5" t="s">
        <v>1488</v>
      </c>
      <c r="K943" s="5" t="s">
        <v>1489</v>
      </c>
      <c r="L943" s="5" t="s">
        <v>1487</v>
      </c>
      <c r="M943" s="3">
        <f t="shared" si="85"/>
        <v>-2.1000000415369868E-3</v>
      </c>
      <c r="N943" s="3">
        <f t="shared" si="85"/>
        <v>-2.1766666672192514E-2</v>
      </c>
      <c r="O943" s="3">
        <f t="shared" si="87"/>
        <v>1.0033333333339556E-2</v>
      </c>
      <c r="P943">
        <f t="shared" si="86"/>
        <v>4.4100001744553464E-6</v>
      </c>
      <c r="Q943">
        <f t="shared" si="86"/>
        <v>4.7378777801833632E-4</v>
      </c>
      <c r="R943">
        <f t="shared" si="86"/>
        <v>1.0066777777790265E-4</v>
      </c>
      <c r="S943">
        <f t="shared" si="88"/>
        <v>4.7819777819279165E-4</v>
      </c>
      <c r="T943">
        <f t="shared" si="89"/>
        <v>2.186773372329176E-2</v>
      </c>
    </row>
    <row r="944" spans="1:20" x14ac:dyDescent="0.3">
      <c r="A944" s="2" t="s">
        <v>1305</v>
      </c>
      <c r="B944" s="2" t="s">
        <v>1347</v>
      </c>
      <c r="C944" s="2" t="s">
        <v>20</v>
      </c>
      <c r="D944" s="4" t="s">
        <v>37</v>
      </c>
      <c r="E944" s="8">
        <v>302942.22203333332</v>
      </c>
      <c r="F944" s="8">
        <v>186804.66213333336</v>
      </c>
      <c r="G944" s="8">
        <v>49.198</v>
      </c>
      <c r="H944" s="8"/>
      <c r="I944" s="8"/>
      <c r="J944" s="5" t="s">
        <v>1488</v>
      </c>
      <c r="K944" s="5" t="s">
        <v>1489</v>
      </c>
      <c r="L944" s="5" t="s">
        <v>1487</v>
      </c>
      <c r="M944" s="3">
        <f t="shared" si="85"/>
        <v>-7.3333334876224399E-4</v>
      </c>
      <c r="N944" s="3">
        <f t="shared" si="85"/>
        <v>2.866666647605598E-3</v>
      </c>
      <c r="O944" s="3">
        <f t="shared" si="87"/>
        <v>8.2999999999984198E-3</v>
      </c>
      <c r="P944">
        <f t="shared" si="86"/>
        <v>5.3777780040684697E-7</v>
      </c>
      <c r="Q944">
        <f t="shared" si="86"/>
        <v>8.2177776684943176E-6</v>
      </c>
      <c r="R944">
        <f t="shared" si="86"/>
        <v>6.8889999999973762E-5</v>
      </c>
      <c r="S944">
        <f t="shared" si="88"/>
        <v>8.7555554689011646E-6</v>
      </c>
      <c r="T944">
        <f t="shared" si="89"/>
        <v>2.9589787881803349E-3</v>
      </c>
    </row>
    <row r="945" spans="1:20" x14ac:dyDescent="0.3">
      <c r="A945" s="2" t="s">
        <v>1305</v>
      </c>
      <c r="B945" s="2" t="s">
        <v>1347</v>
      </c>
      <c r="C945" s="2" t="s">
        <v>20</v>
      </c>
      <c r="D945" s="4" t="s">
        <v>46</v>
      </c>
      <c r="E945" s="8">
        <v>302942.20956666669</v>
      </c>
      <c r="F945" s="8">
        <v>186804.66626666664</v>
      </c>
      <c r="G945" s="8">
        <v>49.218666666666671</v>
      </c>
      <c r="H945" s="8"/>
      <c r="I945" s="8"/>
      <c r="J945" s="5" t="s">
        <v>1488</v>
      </c>
      <c r="K945" s="5" t="s">
        <v>1489</v>
      </c>
      <c r="L945" s="5" t="s">
        <v>1487</v>
      </c>
      <c r="M945" s="3">
        <f t="shared" si="85"/>
        <v>1.1733333289157599E-2</v>
      </c>
      <c r="N945" s="3">
        <f t="shared" si="85"/>
        <v>-1.2666666298173368E-3</v>
      </c>
      <c r="O945" s="3">
        <f t="shared" si="87"/>
        <v>2.8966666666669028E-2</v>
      </c>
      <c r="P945">
        <f t="shared" si="86"/>
        <v>1.3767111007445388E-4</v>
      </c>
      <c r="Q945">
        <f t="shared" si="86"/>
        <v>1.6044443510928101E-6</v>
      </c>
      <c r="R945">
        <f t="shared" si="86"/>
        <v>8.3906777777791454E-4</v>
      </c>
      <c r="S945">
        <f t="shared" si="88"/>
        <v>1.3927555442554669E-4</v>
      </c>
      <c r="T945">
        <f t="shared" si="89"/>
        <v>1.1801506447295053E-2</v>
      </c>
    </row>
    <row r="946" spans="1:20" x14ac:dyDescent="0.3">
      <c r="A946" s="2" t="s">
        <v>1305</v>
      </c>
      <c r="B946" s="2" t="s">
        <v>1347</v>
      </c>
      <c r="C946" s="2" t="s">
        <v>51</v>
      </c>
      <c r="D946" s="2" t="s">
        <v>63</v>
      </c>
      <c r="E946" s="8">
        <v>302942.2398333333</v>
      </c>
      <c r="F946" s="8">
        <v>186804.66243333332</v>
      </c>
      <c r="G946" s="8">
        <v>49.184666666666665</v>
      </c>
      <c r="H946" s="8"/>
      <c r="I946" s="8"/>
      <c r="J946" s="5" t="s">
        <v>1488</v>
      </c>
      <c r="K946" s="5" t="s">
        <v>1489</v>
      </c>
      <c r="L946" s="5" t="s">
        <v>1487</v>
      </c>
      <c r="M946" s="3">
        <f t="shared" si="85"/>
        <v>-1.8533333321101964E-2</v>
      </c>
      <c r="N946" s="3">
        <f t="shared" si="85"/>
        <v>2.5666666915640235E-3</v>
      </c>
      <c r="O946" s="3">
        <f t="shared" si="87"/>
        <v>5.0333333333369978E-3</v>
      </c>
      <c r="P946">
        <f t="shared" si="86"/>
        <v>3.4348444399106832E-4</v>
      </c>
      <c r="Q946">
        <f t="shared" si="86"/>
        <v>6.5877779055842101E-6</v>
      </c>
      <c r="R946">
        <f t="shared" si="86"/>
        <v>2.5334444444481335E-5</v>
      </c>
      <c r="S946">
        <f t="shared" si="88"/>
        <v>3.5007222189665252E-4</v>
      </c>
      <c r="T946">
        <f t="shared" si="89"/>
        <v>1.8710217045685294E-2</v>
      </c>
    </row>
    <row r="947" spans="1:20" x14ac:dyDescent="0.3">
      <c r="A947" s="2" t="s">
        <v>1305</v>
      </c>
      <c r="B947" s="2" t="s">
        <v>1347</v>
      </c>
      <c r="C947" s="2" t="s">
        <v>51</v>
      </c>
      <c r="D947" s="2" t="s">
        <v>30</v>
      </c>
      <c r="E947" s="8">
        <v>302942.23793333332</v>
      </c>
      <c r="F947" s="8">
        <v>186804.66816666667</v>
      </c>
      <c r="G947" s="8">
        <v>49.183333333333337</v>
      </c>
      <c r="H947" s="8"/>
      <c r="I947" s="8"/>
      <c r="J947" s="5" t="s">
        <v>1488</v>
      </c>
      <c r="K947" s="5" t="s">
        <v>1489</v>
      </c>
      <c r="L947" s="5" t="s">
        <v>1487</v>
      </c>
      <c r="M947" s="3">
        <f t="shared" si="85"/>
        <v>-1.6633333347272128E-2</v>
      </c>
      <c r="N947" s="3">
        <f t="shared" si="85"/>
        <v>-3.1666666618548334E-3</v>
      </c>
      <c r="O947" s="3">
        <f t="shared" si="87"/>
        <v>6.3666666666648553E-3</v>
      </c>
      <c r="P947">
        <f t="shared" si="86"/>
        <v>2.7666777824147503E-4</v>
      </c>
      <c r="Q947">
        <f t="shared" si="86"/>
        <v>1.0027777747302834E-5</v>
      </c>
      <c r="R947">
        <f t="shared" si="86"/>
        <v>4.0534444444421379E-5</v>
      </c>
      <c r="S947">
        <f t="shared" si="88"/>
        <v>2.8669555598877786E-4</v>
      </c>
      <c r="T947">
        <f t="shared" si="89"/>
        <v>1.6932086581067849E-2</v>
      </c>
    </row>
    <row r="948" spans="1:20" x14ac:dyDescent="0.3">
      <c r="A948" s="2" t="s">
        <v>1305</v>
      </c>
      <c r="B948" s="2" t="s">
        <v>1347</v>
      </c>
      <c r="C948" s="2" t="s">
        <v>57</v>
      </c>
      <c r="D948" s="4" t="s">
        <v>52</v>
      </c>
      <c r="E948" s="8">
        <v>302942.22843333334</v>
      </c>
      <c r="F948" s="8">
        <v>186804.66159999999</v>
      </c>
      <c r="G948" s="8">
        <v>49.199333333333335</v>
      </c>
      <c r="H948" s="8"/>
      <c r="I948" s="8"/>
      <c r="J948" s="5" t="s">
        <v>1488</v>
      </c>
      <c r="K948" s="5" t="s">
        <v>1489</v>
      </c>
      <c r="L948" s="5" t="s">
        <v>1487</v>
      </c>
      <c r="M948" s="3">
        <f t="shared" si="85"/>
        <v>-7.1333333617076278E-3</v>
      </c>
      <c r="N948" s="3">
        <f t="shared" si="85"/>
        <v>3.4000000159721822E-3</v>
      </c>
      <c r="O948" s="3">
        <f t="shared" si="87"/>
        <v>9.6333333333333826E-3</v>
      </c>
      <c r="P948">
        <f t="shared" si="86"/>
        <v>5.0884444849251046E-5</v>
      </c>
      <c r="Q948">
        <f t="shared" si="86"/>
        <v>1.1560000108610838E-5</v>
      </c>
      <c r="R948">
        <f t="shared" si="86"/>
        <v>9.2801111111112059E-5</v>
      </c>
      <c r="S948">
        <f t="shared" si="88"/>
        <v>6.2444444957861884E-5</v>
      </c>
      <c r="T948">
        <f t="shared" si="89"/>
        <v>7.9021797599056094E-3</v>
      </c>
    </row>
    <row r="949" spans="1:20" x14ac:dyDescent="0.3">
      <c r="A949" s="2" t="s">
        <v>1305</v>
      </c>
      <c r="B949" s="2" t="s">
        <v>1347</v>
      </c>
      <c r="C949" s="2" t="s">
        <v>1308</v>
      </c>
      <c r="D949" s="4" t="s">
        <v>1309</v>
      </c>
      <c r="E949" s="8">
        <v>302942.375</v>
      </c>
      <c r="F949" s="8">
        <v>186804.72303333334</v>
      </c>
      <c r="G949" s="8">
        <v>49.161666666666662</v>
      </c>
      <c r="H949" s="13" t="s">
        <v>1390</v>
      </c>
      <c r="I949" s="13" t="s">
        <v>192</v>
      </c>
      <c r="J949" s="5" t="s">
        <v>1488</v>
      </c>
      <c r="K949" s="5" t="s">
        <v>1489</v>
      </c>
      <c r="L949" s="5" t="s">
        <v>1487</v>
      </c>
      <c r="M949" s="3">
        <f t="shared" si="85"/>
        <v>-0.15370000002440065</v>
      </c>
      <c r="N949" s="3">
        <f t="shared" si="85"/>
        <v>-5.8033333334606141E-2</v>
      </c>
      <c r="O949" s="3">
        <f t="shared" si="87"/>
        <v>2.8033333333340238E-2</v>
      </c>
      <c r="P949">
        <f t="shared" si="86"/>
        <v>2.362369000750076E-2</v>
      </c>
      <c r="Q949">
        <f t="shared" si="86"/>
        <v>3.3678677779255084E-3</v>
      </c>
      <c r="R949">
        <f t="shared" si="86"/>
        <v>7.8586777777816489E-4</v>
      </c>
      <c r="S949">
        <f t="shared" si="88"/>
        <v>2.6991557785426269E-2</v>
      </c>
      <c r="T949">
        <f t="shared" si="89"/>
        <v>0.16429107640229967</v>
      </c>
    </row>
    <row r="950" spans="1:20" x14ac:dyDescent="0.3">
      <c r="A950" s="2" t="s">
        <v>1305</v>
      </c>
      <c r="B950" s="2" t="s">
        <v>1347</v>
      </c>
      <c r="C950" s="2" t="s">
        <v>1317</v>
      </c>
      <c r="D950" s="4" t="s">
        <v>1310</v>
      </c>
      <c r="E950" s="8">
        <v>302942.38503333338</v>
      </c>
      <c r="F950" s="8">
        <v>186804.70143333334</v>
      </c>
      <c r="G950" s="8">
        <v>49.258333333333333</v>
      </c>
      <c r="H950" s="13" t="s">
        <v>1391</v>
      </c>
      <c r="I950" s="13" t="s">
        <v>1392</v>
      </c>
      <c r="J950" s="5" t="s">
        <v>1488</v>
      </c>
      <c r="K950" s="5" t="s">
        <v>1489</v>
      </c>
      <c r="L950" s="5" t="s">
        <v>1487</v>
      </c>
      <c r="M950" s="3">
        <f t="shared" si="85"/>
        <v>-0.16373333340743557</v>
      </c>
      <c r="N950" s="3">
        <f t="shared" si="85"/>
        <v>-3.6433333327295259E-2</v>
      </c>
      <c r="O950" s="3">
        <f t="shared" si="87"/>
        <v>6.8633333333330881E-2</v>
      </c>
      <c r="P950">
        <f t="shared" si="86"/>
        <v>2.6808604468710456E-2</v>
      </c>
      <c r="Q950">
        <f t="shared" si="86"/>
        <v>1.3273877773378035E-3</v>
      </c>
      <c r="R950">
        <f t="shared" si="86"/>
        <v>4.710534444444108E-3</v>
      </c>
      <c r="S950">
        <f t="shared" si="88"/>
        <v>2.813599224604826E-2</v>
      </c>
      <c r="T950">
        <f t="shared" si="89"/>
        <v>0.16773786765679435</v>
      </c>
    </row>
    <row r="951" spans="1:20" x14ac:dyDescent="0.3">
      <c r="A951" s="2" t="s">
        <v>1305</v>
      </c>
      <c r="B951" s="2" t="s">
        <v>1348</v>
      </c>
      <c r="C951" s="2" t="s">
        <v>20</v>
      </c>
      <c r="D951" s="2" t="s">
        <v>30</v>
      </c>
      <c r="E951" s="8">
        <v>323605.57990000001</v>
      </c>
      <c r="F951" s="8">
        <v>175549.74483333333</v>
      </c>
      <c r="G951" s="8">
        <v>50.865333333333332</v>
      </c>
      <c r="H951" s="8"/>
      <c r="I951" s="8"/>
      <c r="J951" s="5" t="s">
        <v>1490</v>
      </c>
      <c r="K951" s="5" t="s">
        <v>1491</v>
      </c>
      <c r="L951" s="5" t="s">
        <v>1492</v>
      </c>
      <c r="M951" s="3">
        <f t="shared" si="85"/>
        <v>-2.5699999998323619E-2</v>
      </c>
      <c r="N951" s="3">
        <f t="shared" si="85"/>
        <v>-6.6333333379589021E-3</v>
      </c>
      <c r="O951" s="3">
        <f t="shared" si="87"/>
        <v>2.383333333332871E-2</v>
      </c>
      <c r="P951">
        <f t="shared" si="86"/>
        <v>6.6048999991383402E-4</v>
      </c>
      <c r="Q951">
        <f t="shared" si="86"/>
        <v>4.4001111172476987E-5</v>
      </c>
      <c r="R951">
        <f t="shared" si="86"/>
        <v>5.6802777777755745E-4</v>
      </c>
      <c r="S951">
        <f t="shared" si="88"/>
        <v>7.0449111108631095E-4</v>
      </c>
      <c r="T951">
        <f t="shared" si="89"/>
        <v>2.654225143212819E-2</v>
      </c>
    </row>
    <row r="952" spans="1:20" x14ac:dyDescent="0.3">
      <c r="A952" s="2" t="s">
        <v>1305</v>
      </c>
      <c r="B952" s="2" t="s">
        <v>1348</v>
      </c>
      <c r="C952" s="2" t="s">
        <v>20</v>
      </c>
      <c r="D952" s="2" t="s">
        <v>21</v>
      </c>
      <c r="E952" s="8">
        <v>323605.57526666665</v>
      </c>
      <c r="F952" s="8">
        <v>175549.74600000001</v>
      </c>
      <c r="G952" s="8">
        <v>50.859999999999992</v>
      </c>
      <c r="H952" s="8"/>
      <c r="I952" s="8"/>
      <c r="J952" s="5" t="s">
        <v>1490</v>
      </c>
      <c r="K952" s="5" t="s">
        <v>1491</v>
      </c>
      <c r="L952" s="5" t="s">
        <v>1492</v>
      </c>
      <c r="M952" s="3">
        <f t="shared" si="85"/>
        <v>-2.1066666638944298E-2</v>
      </c>
      <c r="N952" s="3">
        <f t="shared" si="85"/>
        <v>-7.8000000212341547E-3</v>
      </c>
      <c r="O952" s="3">
        <f t="shared" si="87"/>
        <v>1.8499999999988859E-2</v>
      </c>
      <c r="P952">
        <f t="shared" si="86"/>
        <v>4.4380444327640864E-4</v>
      </c>
      <c r="Q952">
        <f t="shared" si="86"/>
        <v>6.0840000331252814E-5</v>
      </c>
      <c r="R952">
        <f t="shared" si="86"/>
        <v>3.4224999999958778E-4</v>
      </c>
      <c r="S952">
        <f t="shared" si="88"/>
        <v>5.0464444360766151E-4</v>
      </c>
      <c r="T952">
        <f t="shared" si="89"/>
        <v>2.246429263537273E-2</v>
      </c>
    </row>
    <row r="953" spans="1:20" x14ac:dyDescent="0.3">
      <c r="A953" s="2" t="s">
        <v>1305</v>
      </c>
      <c r="B953" s="2" t="s">
        <v>1349</v>
      </c>
      <c r="C953" s="2" t="s">
        <v>20</v>
      </c>
      <c r="D953" s="2" t="s">
        <v>110</v>
      </c>
      <c r="E953" s="8">
        <v>323605.58</v>
      </c>
      <c r="F953" s="8">
        <v>175549.74400000004</v>
      </c>
      <c r="G953" s="8">
        <v>50.862333333333332</v>
      </c>
      <c r="H953" s="8"/>
      <c r="I953" s="8"/>
      <c r="J953" s="5" t="s">
        <v>1493</v>
      </c>
      <c r="K953" s="5" t="s">
        <v>1494</v>
      </c>
      <c r="L953" s="5" t="s">
        <v>1492</v>
      </c>
      <c r="M953" s="3">
        <f t="shared" si="85"/>
        <v>-2.5800000003073364E-2</v>
      </c>
      <c r="N953" s="3">
        <f t="shared" si="85"/>
        <v>-5.8000000426545739E-3</v>
      </c>
      <c r="O953" s="3">
        <f t="shared" si="87"/>
        <v>2.0833333333328596E-2</v>
      </c>
      <c r="P953">
        <f t="shared" si="86"/>
        <v>6.656400001585856E-4</v>
      </c>
      <c r="Q953">
        <f t="shared" si="86"/>
        <v>3.3640000494793059E-5</v>
      </c>
      <c r="R953">
        <f t="shared" si="86"/>
        <v>4.3402777777758043E-4</v>
      </c>
      <c r="S953">
        <f t="shared" si="88"/>
        <v>6.9928000065337865E-4</v>
      </c>
      <c r="T953">
        <f t="shared" si="89"/>
        <v>2.6443902901299925E-2</v>
      </c>
    </row>
    <row r="954" spans="1:20" x14ac:dyDescent="0.3">
      <c r="A954" s="2" t="s">
        <v>1305</v>
      </c>
      <c r="B954" s="2" t="s">
        <v>1349</v>
      </c>
      <c r="C954" s="2" t="s">
        <v>20</v>
      </c>
      <c r="D954" s="4" t="s">
        <v>37</v>
      </c>
      <c r="E954" s="8">
        <v>323605.57376666664</v>
      </c>
      <c r="F954" s="8">
        <v>175549.75250000003</v>
      </c>
      <c r="G954" s="8">
        <v>50.839666666666666</v>
      </c>
      <c r="H954" s="8"/>
      <c r="I954" s="8"/>
      <c r="J954" s="5" t="s">
        <v>1493</v>
      </c>
      <c r="K954" s="5" t="s">
        <v>1494</v>
      </c>
      <c r="L954" s="5" t="s">
        <v>1492</v>
      </c>
      <c r="M954" s="3">
        <f t="shared" si="85"/>
        <v>-1.9566666625905782E-2</v>
      </c>
      <c r="N954" s="3">
        <f t="shared" si="85"/>
        <v>-1.4300000038929284E-2</v>
      </c>
      <c r="O954" s="3">
        <f t="shared" si="87"/>
        <v>1.8333333333373503E-3</v>
      </c>
      <c r="P954">
        <f t="shared" si="86"/>
        <v>3.8285444284933518E-4</v>
      </c>
      <c r="Q954">
        <f t="shared" si="86"/>
        <v>2.044900011133775E-4</v>
      </c>
      <c r="R954">
        <f t="shared" si="86"/>
        <v>3.3611111111258399E-6</v>
      </c>
      <c r="S954">
        <f t="shared" si="88"/>
        <v>5.8734444396271268E-4</v>
      </c>
      <c r="T954">
        <f t="shared" si="89"/>
        <v>2.4235190198608154E-2</v>
      </c>
    </row>
    <row r="955" spans="1:20" x14ac:dyDescent="0.3">
      <c r="A955" s="2" t="s">
        <v>1305</v>
      </c>
      <c r="B955" s="2" t="s">
        <v>1349</v>
      </c>
      <c r="C955" s="2" t="s">
        <v>20</v>
      </c>
      <c r="D955" s="4" t="s">
        <v>46</v>
      </c>
      <c r="E955" s="8">
        <v>323605.57996666664</v>
      </c>
      <c r="F955" s="8">
        <v>175549.75260000001</v>
      </c>
      <c r="G955" s="8">
        <v>50.822333333333326</v>
      </c>
      <c r="H955" s="8"/>
      <c r="I955" s="8"/>
      <c r="J955" s="5" t="s">
        <v>1493</v>
      </c>
      <c r="K955" s="5" t="s">
        <v>1494</v>
      </c>
      <c r="L955" s="5" t="s">
        <v>1492</v>
      </c>
      <c r="M955" s="3">
        <f t="shared" si="85"/>
        <v>-2.5766666629351676E-2</v>
      </c>
      <c r="N955" s="3">
        <f t="shared" si="85"/>
        <v>-1.4400000014575198E-2</v>
      </c>
      <c r="O955" s="3">
        <f t="shared" si="87"/>
        <v>1.9166666666677656E-2</v>
      </c>
      <c r="P955">
        <f t="shared" si="86"/>
        <v>6.6392110918814522E-4</v>
      </c>
      <c r="Q955">
        <f t="shared" si="86"/>
        <v>2.0736000041976572E-4</v>
      </c>
      <c r="R955">
        <f t="shared" si="86"/>
        <v>3.6736111111153238E-4</v>
      </c>
      <c r="S955">
        <f t="shared" si="88"/>
        <v>8.7128110960791097E-4</v>
      </c>
      <c r="T955">
        <f t="shared" si="89"/>
        <v>2.9517471260389345E-2</v>
      </c>
    </row>
    <row r="956" spans="1:20" x14ac:dyDescent="0.3">
      <c r="A956" s="2" t="s">
        <v>1305</v>
      </c>
      <c r="B956" s="2" t="s">
        <v>1349</v>
      </c>
      <c r="C956" s="2" t="s">
        <v>51</v>
      </c>
      <c r="D956" s="2" t="s">
        <v>63</v>
      </c>
      <c r="E956" s="8">
        <v>323605.57993333339</v>
      </c>
      <c r="F956" s="8">
        <v>175549.7509333333</v>
      </c>
      <c r="G956" s="8">
        <v>50.82266666666667</v>
      </c>
      <c r="H956" s="8"/>
      <c r="I956" s="8"/>
      <c r="J956" s="5" t="s">
        <v>1493</v>
      </c>
      <c r="K956" s="5" t="s">
        <v>1494</v>
      </c>
      <c r="L956" s="5" t="s">
        <v>1492</v>
      </c>
      <c r="M956" s="3">
        <f t="shared" si="85"/>
        <v>-2.5733333372045308E-2</v>
      </c>
      <c r="N956" s="3">
        <f t="shared" si="85"/>
        <v>-1.273333330755122E-2</v>
      </c>
      <c r="O956" s="3">
        <f t="shared" si="87"/>
        <v>1.8833333333333258E-2</v>
      </c>
      <c r="P956">
        <f t="shared" si="86"/>
        <v>6.6220444643682078E-4</v>
      </c>
      <c r="Q956">
        <f t="shared" si="86"/>
        <v>1.6213777712119329E-4</v>
      </c>
      <c r="R956">
        <f t="shared" si="86"/>
        <v>3.5469444444444161E-4</v>
      </c>
      <c r="S956">
        <f t="shared" si="88"/>
        <v>8.2434222355801405E-4</v>
      </c>
      <c r="T956">
        <f t="shared" si="89"/>
        <v>2.8711360531295169E-2</v>
      </c>
    </row>
    <row r="957" spans="1:20" x14ac:dyDescent="0.3">
      <c r="A957" s="2" t="s">
        <v>1305</v>
      </c>
      <c r="B957" s="2" t="s">
        <v>1349</v>
      </c>
      <c r="C957" s="2" t="s">
        <v>51</v>
      </c>
      <c r="D957" s="2" t="s">
        <v>30</v>
      </c>
      <c r="E957" s="8">
        <v>323605.57883333333</v>
      </c>
      <c r="F957" s="8">
        <v>175549.74840000001</v>
      </c>
      <c r="G957" s="8">
        <v>50.830333333333328</v>
      </c>
      <c r="H957" s="8"/>
      <c r="I957" s="8"/>
      <c r="J957" s="5" t="s">
        <v>1493</v>
      </c>
      <c r="K957" s="5" t="s">
        <v>1494</v>
      </c>
      <c r="L957" s="5" t="s">
        <v>1492</v>
      </c>
      <c r="M957" s="3">
        <f t="shared" si="85"/>
        <v>-2.4633333319798112E-2</v>
      </c>
      <c r="N957" s="3">
        <f t="shared" si="85"/>
        <v>-1.0200000018812716E-2</v>
      </c>
      <c r="O957" s="3">
        <f t="shared" si="87"/>
        <v>1.1166666666674985E-2</v>
      </c>
      <c r="P957">
        <f t="shared" si="86"/>
        <v>6.0680111044427582E-4</v>
      </c>
      <c r="Q957">
        <f t="shared" si="86"/>
        <v>1.0404000038377941E-4</v>
      </c>
      <c r="R957">
        <f t="shared" si="86"/>
        <v>1.2469444444463022E-4</v>
      </c>
      <c r="S957">
        <f t="shared" si="88"/>
        <v>7.1084111082805521E-4</v>
      </c>
      <c r="T957">
        <f t="shared" si="89"/>
        <v>2.6661603680725118E-2</v>
      </c>
    </row>
    <row r="958" spans="1:20" x14ac:dyDescent="0.3">
      <c r="A958" s="2" t="s">
        <v>1305</v>
      </c>
      <c r="B958" s="2" t="s">
        <v>1349</v>
      </c>
      <c r="C958" s="2" t="s">
        <v>57</v>
      </c>
      <c r="D958" s="4" t="s">
        <v>52</v>
      </c>
      <c r="E958" s="8">
        <v>323605.57853333332</v>
      </c>
      <c r="F958" s="8">
        <v>175549.7452</v>
      </c>
      <c r="G958" s="8">
        <v>50.817000000000007</v>
      </c>
      <c r="H958" s="8"/>
      <c r="I958" s="8"/>
      <c r="J958" s="5" t="s">
        <v>1493</v>
      </c>
      <c r="K958" s="5" t="s">
        <v>1494</v>
      </c>
      <c r="L958" s="5" t="s">
        <v>1492</v>
      </c>
      <c r="M958" s="3">
        <f t="shared" si="85"/>
        <v>-2.4333333305548877E-2</v>
      </c>
      <c r="N958" s="3">
        <f t="shared" si="85"/>
        <v>-7.0000000123400241E-3</v>
      </c>
      <c r="O958" s="3">
        <f t="shared" si="87"/>
        <v>2.4499999999996191E-2</v>
      </c>
      <c r="P958">
        <f t="shared" si="86"/>
        <v>5.9211110975893424E-4</v>
      </c>
      <c r="Q958">
        <f t="shared" si="86"/>
        <v>4.9000000172760337E-5</v>
      </c>
      <c r="R958">
        <f t="shared" si="86"/>
        <v>6.0024999999981339E-4</v>
      </c>
      <c r="S958">
        <f t="shared" si="88"/>
        <v>6.4111110993169459E-4</v>
      </c>
      <c r="T958">
        <f t="shared" si="89"/>
        <v>2.5320171996487201E-2</v>
      </c>
    </row>
    <row r="959" spans="1:20" x14ac:dyDescent="0.3">
      <c r="A959" s="2" t="s">
        <v>1305</v>
      </c>
      <c r="B959" s="2" t="s">
        <v>1349</v>
      </c>
      <c r="C959" s="2" t="s">
        <v>1308</v>
      </c>
      <c r="D959" s="4" t="s">
        <v>1309</v>
      </c>
      <c r="E959" s="8">
        <v>323605.5748</v>
      </c>
      <c r="F959" s="8">
        <v>175549.74806666668</v>
      </c>
      <c r="G959" s="8">
        <v>50.812000000000005</v>
      </c>
      <c r="H959" s="8"/>
      <c r="I959" s="8"/>
      <c r="J959" s="5" t="s">
        <v>1493</v>
      </c>
      <c r="K959" s="5" t="s">
        <v>1494</v>
      </c>
      <c r="L959" s="5" t="s">
        <v>1492</v>
      </c>
      <c r="M959" s="3">
        <f t="shared" si="85"/>
        <v>-2.0599999988917261E-2</v>
      </c>
      <c r="N959" s="3">
        <f t="shared" si="85"/>
        <v>-9.8666666890494525E-3</v>
      </c>
      <c r="O959" s="3">
        <f t="shared" si="87"/>
        <v>2.9499999999998749E-2</v>
      </c>
      <c r="P959">
        <f t="shared" si="86"/>
        <v>4.2435999954339116E-4</v>
      </c>
      <c r="Q959">
        <f t="shared" si="86"/>
        <v>9.7351111552798083E-5</v>
      </c>
      <c r="R959">
        <f t="shared" si="86"/>
        <v>8.702499999999262E-4</v>
      </c>
      <c r="S959">
        <f t="shared" si="88"/>
        <v>5.2171111109618922E-4</v>
      </c>
      <c r="T959">
        <f t="shared" si="89"/>
        <v>2.28409962807271E-2</v>
      </c>
    </row>
    <row r="960" spans="1:20" x14ac:dyDescent="0.3">
      <c r="A960" s="2" t="s">
        <v>1305</v>
      </c>
      <c r="B960" s="2" t="s">
        <v>1349</v>
      </c>
      <c r="C960" s="2" t="s">
        <v>1317</v>
      </c>
      <c r="D960" s="4" t="s">
        <v>1310</v>
      </c>
      <c r="E960" s="8">
        <v>323605.56953333336</v>
      </c>
      <c r="F960" s="8">
        <v>175549.7469</v>
      </c>
      <c r="G960" s="8">
        <v>50.818666666666672</v>
      </c>
      <c r="H960" s="8"/>
      <c r="I960" s="8"/>
      <c r="J960" s="5" t="s">
        <v>1493</v>
      </c>
      <c r="K960" s="5" t="s">
        <v>1494</v>
      </c>
      <c r="L960" s="5" t="s">
        <v>1492</v>
      </c>
      <c r="M960" s="3">
        <f t="shared" si="85"/>
        <v>-1.5333333343733102E-2</v>
      </c>
      <c r="N960" s="3">
        <f t="shared" si="85"/>
        <v>-8.7000000057742E-3</v>
      </c>
      <c r="O960" s="3">
        <f t="shared" si="87"/>
        <v>2.2833333333331041E-2</v>
      </c>
      <c r="P960">
        <f t="shared" si="86"/>
        <v>2.3511111143003735E-4</v>
      </c>
      <c r="Q960">
        <f t="shared" si="86"/>
        <v>7.5690000100471079E-5</v>
      </c>
      <c r="R960">
        <f t="shared" si="86"/>
        <v>5.2136111111100638E-4</v>
      </c>
      <c r="S960">
        <f t="shared" si="88"/>
        <v>3.1080111153050844E-4</v>
      </c>
      <c r="T960">
        <f t="shared" si="89"/>
        <v>1.7629552221497528E-2</v>
      </c>
    </row>
    <row r="961" spans="1:20" x14ac:dyDescent="0.3">
      <c r="A961" s="2" t="s">
        <v>1305</v>
      </c>
      <c r="B961" s="2" t="s">
        <v>1350</v>
      </c>
      <c r="C961" s="2" t="s">
        <v>20</v>
      </c>
      <c r="D961" s="2" t="s">
        <v>30</v>
      </c>
      <c r="E961" s="8">
        <v>324566.59063333331</v>
      </c>
      <c r="F961" s="8">
        <v>168170.18543333333</v>
      </c>
      <c r="G961" s="8">
        <v>64.085333333333324</v>
      </c>
      <c r="H961" s="8"/>
      <c r="I961" s="8"/>
      <c r="J961" s="5" t="s">
        <v>1495</v>
      </c>
      <c r="K961" s="5" t="s">
        <v>1496</v>
      </c>
      <c r="L961" s="5" t="s">
        <v>1497</v>
      </c>
      <c r="M961" s="3">
        <f t="shared" si="85"/>
        <v>-1.3333333190530539E-3</v>
      </c>
      <c r="N961" s="3">
        <f t="shared" si="85"/>
        <v>2.4966666678665206E-2</v>
      </c>
      <c r="O961" s="3">
        <f t="shared" si="87"/>
        <v>4.4466666666679089E-2</v>
      </c>
      <c r="P961">
        <f t="shared" si="86"/>
        <v>1.7777777396970327E-6</v>
      </c>
      <c r="Q961">
        <f t="shared" si="86"/>
        <v>6.2333444504357146E-4</v>
      </c>
      <c r="R961">
        <f t="shared" si="86"/>
        <v>1.9772844444455491E-3</v>
      </c>
      <c r="S961">
        <f t="shared" si="88"/>
        <v>6.2511222278326855E-4</v>
      </c>
      <c r="T961">
        <f t="shared" si="89"/>
        <v>2.5002244354922789E-2</v>
      </c>
    </row>
    <row r="962" spans="1:20" x14ac:dyDescent="0.3">
      <c r="A962" s="2" t="s">
        <v>1305</v>
      </c>
      <c r="B962" s="2" t="s">
        <v>1350</v>
      </c>
      <c r="C962" s="2" t="s">
        <v>20</v>
      </c>
      <c r="D962" s="2" t="s">
        <v>21</v>
      </c>
      <c r="E962" s="8">
        <v>324566.58713333332</v>
      </c>
      <c r="F962" s="8">
        <v>168170.16899999999</v>
      </c>
      <c r="G962" s="8">
        <v>64.047333333333327</v>
      </c>
      <c r="H962" s="8"/>
      <c r="I962" s="8"/>
      <c r="J962" s="5" t="s">
        <v>1495</v>
      </c>
      <c r="K962" s="5" t="s">
        <v>1496</v>
      </c>
      <c r="L962" s="5" t="s">
        <v>1497</v>
      </c>
      <c r="M962" s="3">
        <f t="shared" si="85"/>
        <v>2.166666672565043E-3</v>
      </c>
      <c r="N962" s="3">
        <f t="shared" si="85"/>
        <v>4.1400000016437843E-2</v>
      </c>
      <c r="O962" s="3">
        <f t="shared" si="87"/>
        <v>8.2466666666675792E-2</v>
      </c>
      <c r="P962">
        <f t="shared" si="86"/>
        <v>4.6944444700040751E-6</v>
      </c>
      <c r="Q962">
        <f t="shared" si="86"/>
        <v>1.7139600013610535E-3</v>
      </c>
      <c r="R962">
        <f t="shared" si="86"/>
        <v>6.8007511111126163E-3</v>
      </c>
      <c r="S962">
        <f t="shared" si="88"/>
        <v>1.7186544458310576E-3</v>
      </c>
      <c r="T962">
        <f t="shared" si="89"/>
        <v>4.1456657436786407E-2</v>
      </c>
    </row>
    <row r="963" spans="1:20" x14ac:dyDescent="0.3">
      <c r="A963" s="2" t="s">
        <v>1305</v>
      </c>
      <c r="B963" s="2" t="s">
        <v>1351</v>
      </c>
      <c r="C963" s="2" t="s">
        <v>20</v>
      </c>
      <c r="D963" s="2" t="s">
        <v>110</v>
      </c>
      <c r="E963" s="8">
        <v>324566.58043333335</v>
      </c>
      <c r="F963" s="8">
        <v>168170.17453333337</v>
      </c>
      <c r="G963" s="8">
        <v>64.057666666666663</v>
      </c>
      <c r="H963" s="8"/>
      <c r="I963" s="8"/>
      <c r="J963" s="5" t="s">
        <v>1498</v>
      </c>
      <c r="K963" s="5" t="s">
        <v>1499</v>
      </c>
      <c r="L963" s="5" t="s">
        <v>1497</v>
      </c>
      <c r="M963" s="3">
        <f t="shared" si="85"/>
        <v>8.8666666415520012E-3</v>
      </c>
      <c r="N963" s="3">
        <f t="shared" si="85"/>
        <v>3.5866666643414646E-2</v>
      </c>
      <c r="O963" s="3">
        <f t="shared" si="87"/>
        <v>7.2133333333340488E-2</v>
      </c>
      <c r="P963">
        <f t="shared" si="86"/>
        <v>7.8617777332411041E-5</v>
      </c>
      <c r="Q963">
        <f t="shared" si="86"/>
        <v>1.2864177761098329E-3</v>
      </c>
      <c r="R963">
        <f t="shared" si="86"/>
        <v>5.2032177777788097E-3</v>
      </c>
      <c r="S963">
        <f t="shared" si="88"/>
        <v>1.365035553442244E-3</v>
      </c>
      <c r="T963">
        <f t="shared" si="89"/>
        <v>3.6946387556055379E-2</v>
      </c>
    </row>
    <row r="964" spans="1:20" x14ac:dyDescent="0.3">
      <c r="A964" s="2" t="s">
        <v>1305</v>
      </c>
      <c r="B964" s="2" t="s">
        <v>1351</v>
      </c>
      <c r="C964" s="2" t="s">
        <v>20</v>
      </c>
      <c r="D964" s="4" t="s">
        <v>37</v>
      </c>
      <c r="E964" s="8">
        <v>324566.58313333336</v>
      </c>
      <c r="F964" s="8">
        <v>168170.18963333333</v>
      </c>
      <c r="G964" s="8">
        <v>64.102999999999994</v>
      </c>
      <c r="H964" s="8"/>
      <c r="I964" s="8"/>
      <c r="J964" s="5" t="s">
        <v>1498</v>
      </c>
      <c r="K964" s="5" t="s">
        <v>1499</v>
      </c>
      <c r="L964" s="5" t="s">
        <v>1497</v>
      </c>
      <c r="M964" s="3">
        <f t="shared" si="85"/>
        <v>6.1666666297242045E-3</v>
      </c>
      <c r="N964" s="3">
        <f t="shared" si="85"/>
        <v>2.0766666682902724E-2</v>
      </c>
      <c r="O964" s="3">
        <f t="shared" si="87"/>
        <v>2.6800000000008595E-2</v>
      </c>
      <c r="P964">
        <f t="shared" si="86"/>
        <v>3.802777732215408E-5</v>
      </c>
      <c r="Q964">
        <f t="shared" si="86"/>
        <v>4.31254445118782E-4</v>
      </c>
      <c r="R964">
        <f t="shared" si="86"/>
        <v>7.1824000000046066E-4</v>
      </c>
      <c r="S964">
        <f t="shared" si="88"/>
        <v>4.6928222244093607E-4</v>
      </c>
      <c r="T964">
        <f t="shared" si="89"/>
        <v>2.166292275850459E-2</v>
      </c>
    </row>
    <row r="965" spans="1:20" x14ac:dyDescent="0.3">
      <c r="A965" s="2" t="s">
        <v>1305</v>
      </c>
      <c r="B965" s="2" t="s">
        <v>1351</v>
      </c>
      <c r="C965" s="2" t="s">
        <v>20</v>
      </c>
      <c r="D965" s="4" t="s">
        <v>46</v>
      </c>
      <c r="E965" s="8">
        <v>324566.58626666665</v>
      </c>
      <c r="F965" s="8">
        <v>168170.1923</v>
      </c>
      <c r="G965" s="8">
        <v>64.080666666666673</v>
      </c>
      <c r="H965" s="8"/>
      <c r="I965" s="8"/>
      <c r="J965" s="5" t="s">
        <v>1498</v>
      </c>
      <c r="K965" s="5" t="s">
        <v>1499</v>
      </c>
      <c r="L965" s="5" t="s">
        <v>1497</v>
      </c>
      <c r="M965" s="3">
        <f t="shared" si="85"/>
        <v>3.0333333415910602E-3</v>
      </c>
      <c r="N965" s="3">
        <f t="shared" si="85"/>
        <v>1.8100000015692785E-2</v>
      </c>
      <c r="O965" s="3">
        <f t="shared" si="87"/>
        <v>4.9133333333330143E-2</v>
      </c>
      <c r="P965">
        <f t="shared" si="86"/>
        <v>9.2011111612079873E-6</v>
      </c>
      <c r="Q965">
        <f t="shared" si="86"/>
        <v>3.2761000056807883E-4</v>
      </c>
      <c r="R965">
        <f t="shared" si="86"/>
        <v>2.4140844444441307E-3</v>
      </c>
      <c r="S965">
        <f t="shared" si="88"/>
        <v>3.368111117292868E-4</v>
      </c>
      <c r="T965">
        <f t="shared" si="89"/>
        <v>1.8352414329708414E-2</v>
      </c>
    </row>
    <row r="966" spans="1:20" x14ac:dyDescent="0.3">
      <c r="A966" s="2" t="s">
        <v>1305</v>
      </c>
      <c r="B966" s="2" t="s">
        <v>1351</v>
      </c>
      <c r="C966" s="2" t="s">
        <v>51</v>
      </c>
      <c r="D966" s="2" t="s">
        <v>63</v>
      </c>
      <c r="E966" s="8">
        <v>324566.57540000003</v>
      </c>
      <c r="F966" s="8">
        <v>168170.18683333334</v>
      </c>
      <c r="G966" s="8">
        <v>64.132333333333335</v>
      </c>
      <c r="H966" s="8"/>
      <c r="I966" s="8"/>
      <c r="J966" s="5" t="s">
        <v>1498</v>
      </c>
      <c r="K966" s="5" t="s">
        <v>1499</v>
      </c>
      <c r="L966" s="5" t="s">
        <v>1497</v>
      </c>
      <c r="M966" s="3">
        <f t="shared" si="85"/>
        <v>1.3899999961722642E-2</v>
      </c>
      <c r="N966" s="3">
        <f t="shared" si="85"/>
        <v>2.3566666670376435E-2</v>
      </c>
      <c r="O966" s="3">
        <f t="shared" si="87"/>
        <v>2.5333333333321661E-3</v>
      </c>
      <c r="P966">
        <f t="shared" si="86"/>
        <v>1.9320999893588945E-4</v>
      </c>
      <c r="Q966">
        <f t="shared" si="86"/>
        <v>5.5538777795263153E-4</v>
      </c>
      <c r="R966">
        <f t="shared" si="86"/>
        <v>6.4177777777718638E-6</v>
      </c>
      <c r="S966">
        <f t="shared" si="88"/>
        <v>7.4859777688852101E-4</v>
      </c>
      <c r="T966">
        <f t="shared" si="89"/>
        <v>2.7360514923672783E-2</v>
      </c>
    </row>
    <row r="967" spans="1:20" x14ac:dyDescent="0.3">
      <c r="A967" s="2" t="s">
        <v>1305</v>
      </c>
      <c r="B967" s="2" t="s">
        <v>1351</v>
      </c>
      <c r="C967" s="2" t="s">
        <v>51</v>
      </c>
      <c r="D967" s="2" t="s">
        <v>30</v>
      </c>
      <c r="E967" s="8">
        <v>324566.58043333335</v>
      </c>
      <c r="F967" s="8">
        <v>168170.18090000001</v>
      </c>
      <c r="G967" s="8">
        <v>64.143666666666661</v>
      </c>
      <c r="H967" s="8"/>
      <c r="I967" s="8"/>
      <c r="J967" s="5" t="s">
        <v>1498</v>
      </c>
      <c r="K967" s="5" t="s">
        <v>1499</v>
      </c>
      <c r="L967" s="5" t="s">
        <v>1497</v>
      </c>
      <c r="M967" s="3">
        <f t="shared" si="85"/>
        <v>8.8666666415520012E-3</v>
      </c>
      <c r="N967" s="3">
        <f t="shared" si="85"/>
        <v>2.9500000004190952E-2</v>
      </c>
      <c r="O967" s="3">
        <f t="shared" si="87"/>
        <v>1.3866666666658034E-2</v>
      </c>
      <c r="P967">
        <f t="shared" si="86"/>
        <v>7.8617777332411041E-5</v>
      </c>
      <c r="Q967">
        <f t="shared" si="86"/>
        <v>8.7025000024726611E-4</v>
      </c>
      <c r="R967">
        <f t="shared" si="86"/>
        <v>1.9228444444420502E-4</v>
      </c>
      <c r="S967">
        <f t="shared" si="88"/>
        <v>9.4886777757967713E-4</v>
      </c>
      <c r="T967">
        <f t="shared" si="89"/>
        <v>3.0803697466045811E-2</v>
      </c>
    </row>
    <row r="968" spans="1:20" x14ac:dyDescent="0.3">
      <c r="A968" s="2" t="s">
        <v>1305</v>
      </c>
      <c r="B968" s="2" t="s">
        <v>1351</v>
      </c>
      <c r="C968" s="2" t="s">
        <v>57</v>
      </c>
      <c r="D968" s="4" t="s">
        <v>52</v>
      </c>
      <c r="E968" s="8">
        <v>324566.58296666667</v>
      </c>
      <c r="F968" s="8">
        <v>168170.18353333333</v>
      </c>
      <c r="G968" s="8">
        <v>64.12133333333334</v>
      </c>
      <c r="H968" s="8"/>
      <c r="I968" s="8"/>
      <c r="J968" s="5" t="s">
        <v>1498</v>
      </c>
      <c r="K968" s="5" t="s">
        <v>1499</v>
      </c>
      <c r="L968" s="5" t="s">
        <v>1497</v>
      </c>
      <c r="M968" s="3">
        <f t="shared" si="85"/>
        <v>6.3333333237096667E-3</v>
      </c>
      <c r="N968" s="3">
        <f t="shared" si="85"/>
        <v>2.6866666681598872E-2</v>
      </c>
      <c r="O968" s="3">
        <f t="shared" si="87"/>
        <v>8.4666666666635138E-3</v>
      </c>
      <c r="P968">
        <f t="shared" si="86"/>
        <v>4.0111110989211334E-5</v>
      </c>
      <c r="Q968">
        <f t="shared" si="86"/>
        <v>7.2181777858013497E-4</v>
      </c>
      <c r="R968">
        <f t="shared" si="86"/>
        <v>7.1684444444391053E-5</v>
      </c>
      <c r="S968">
        <f t="shared" si="88"/>
        <v>7.6192888956934629E-4</v>
      </c>
      <c r="T968">
        <f t="shared" si="89"/>
        <v>2.7603059424080988E-2</v>
      </c>
    </row>
    <row r="969" spans="1:20" x14ac:dyDescent="0.3">
      <c r="A969" s="2" t="s">
        <v>1305</v>
      </c>
      <c r="B969" s="2" t="s">
        <v>1351</v>
      </c>
      <c r="C969" s="2" t="s">
        <v>1308</v>
      </c>
      <c r="D969" s="4" t="s">
        <v>1309</v>
      </c>
      <c r="E969" s="8">
        <v>324566.63586666668</v>
      </c>
      <c r="F969" s="8">
        <v>168170.10763333333</v>
      </c>
      <c r="G969" s="8">
        <v>64.127666666666656</v>
      </c>
      <c r="H969" s="8"/>
      <c r="I969" s="8"/>
      <c r="J969" s="5" t="s">
        <v>1498</v>
      </c>
      <c r="K969" s="5" t="s">
        <v>1499</v>
      </c>
      <c r="L969" s="5" t="s">
        <v>1497</v>
      </c>
      <c r="M969" s="3">
        <f t="shared" si="85"/>
        <v>-4.6566666685976088E-2</v>
      </c>
      <c r="N969" s="3">
        <f t="shared" si="85"/>
        <v>0.10276666667778045</v>
      </c>
      <c r="O969" s="3">
        <f t="shared" si="87"/>
        <v>2.1333333333473092E-3</v>
      </c>
      <c r="P969">
        <f t="shared" si="86"/>
        <v>2.1684544462427951E-3</v>
      </c>
      <c r="Q969">
        <f t="shared" si="86"/>
        <v>1.0560987780062031E-2</v>
      </c>
      <c r="R969">
        <f t="shared" si="86"/>
        <v>4.551111111170742E-6</v>
      </c>
      <c r="S969">
        <f t="shared" si="88"/>
        <v>1.2729442226304826E-2</v>
      </c>
      <c r="T969">
        <f t="shared" si="89"/>
        <v>0.11282482983060434</v>
      </c>
    </row>
    <row r="970" spans="1:20" x14ac:dyDescent="0.3">
      <c r="A970" s="2" t="s">
        <v>1305</v>
      </c>
      <c r="B970" s="2" t="s">
        <v>1351</v>
      </c>
      <c r="C970" s="2" t="s">
        <v>1317</v>
      </c>
      <c r="D970" s="4" t="s">
        <v>1310</v>
      </c>
      <c r="E970" s="8">
        <v>324566.62493333331</v>
      </c>
      <c r="F970" s="8">
        <v>168170.10233333334</v>
      </c>
      <c r="G970" s="8">
        <v>64.115333333333339</v>
      </c>
      <c r="H970" s="8"/>
      <c r="I970" s="8"/>
      <c r="J970" s="5" t="s">
        <v>1498</v>
      </c>
      <c r="K970" s="5" t="s">
        <v>1499</v>
      </c>
      <c r="L970" s="5" t="s">
        <v>1497</v>
      </c>
      <c r="M970" s="3">
        <f t="shared" si="85"/>
        <v>-3.5633333318401128E-2</v>
      </c>
      <c r="N970" s="3">
        <f t="shared" si="85"/>
        <v>0.10806666666758247</v>
      </c>
      <c r="O970" s="3">
        <f t="shared" si="87"/>
        <v>1.4466666666663741E-2</v>
      </c>
      <c r="P970">
        <f t="shared" si="86"/>
        <v>1.2697344433802759E-3</v>
      </c>
      <c r="Q970">
        <f t="shared" si="86"/>
        <v>1.167840444464238E-2</v>
      </c>
      <c r="R970">
        <f t="shared" si="86"/>
        <v>2.092844444443598E-4</v>
      </c>
      <c r="S970">
        <f t="shared" si="88"/>
        <v>1.2948138888022657E-2</v>
      </c>
      <c r="T970">
        <f t="shared" si="89"/>
        <v>0.11378988921702428</v>
      </c>
    </row>
    <row r="971" spans="1:20" x14ac:dyDescent="0.3">
      <c r="A971" s="2" t="s">
        <v>1305</v>
      </c>
      <c r="B971" s="2" t="s">
        <v>1352</v>
      </c>
      <c r="C971" s="2" t="s">
        <v>20</v>
      </c>
      <c r="D971" s="2" t="s">
        <v>30</v>
      </c>
      <c r="E971" s="8">
        <v>322395.61510000005</v>
      </c>
      <c r="F971" s="8">
        <v>164106.78046666668</v>
      </c>
      <c r="G971" s="8">
        <v>115.06033333333335</v>
      </c>
      <c r="H971" s="8"/>
      <c r="I971" s="8"/>
      <c r="J971" s="5" t="s">
        <v>1500</v>
      </c>
      <c r="K971" s="5" t="s">
        <v>1501</v>
      </c>
      <c r="L971" s="5" t="s">
        <v>1502</v>
      </c>
      <c r="M971" s="3">
        <f t="shared" si="85"/>
        <v>-5.1000000676140189E-3</v>
      </c>
      <c r="N971" s="3">
        <f t="shared" si="85"/>
        <v>-5.2666666742879897E-3</v>
      </c>
      <c r="O971" s="3">
        <f t="shared" si="87"/>
        <v>7.5066666666657511E-2</v>
      </c>
      <c r="P971">
        <f t="shared" si="86"/>
        <v>2.6010000689662998E-5</v>
      </c>
      <c r="Q971">
        <f t="shared" si="86"/>
        <v>2.7737777858055713E-5</v>
      </c>
      <c r="R971">
        <f t="shared" si="86"/>
        <v>5.6350044444430699E-3</v>
      </c>
      <c r="S971">
        <f t="shared" si="88"/>
        <v>5.3747778547718711E-5</v>
      </c>
      <c r="T971">
        <f t="shared" si="89"/>
        <v>7.331287645954066E-3</v>
      </c>
    </row>
    <row r="972" spans="1:20" x14ac:dyDescent="0.3">
      <c r="A972" s="2" t="s">
        <v>1305</v>
      </c>
      <c r="B972" s="2" t="s">
        <v>1352</v>
      </c>
      <c r="C972" s="2" t="s">
        <v>20</v>
      </c>
      <c r="D972" s="2" t="s">
        <v>21</v>
      </c>
      <c r="E972" s="8">
        <v>322395.60083333333</v>
      </c>
      <c r="F972" s="8">
        <v>164106.78086666667</v>
      </c>
      <c r="G972" s="8">
        <v>115.07433333333334</v>
      </c>
      <c r="H972" s="8"/>
      <c r="I972" s="8"/>
      <c r="J972" s="5" t="s">
        <v>1500</v>
      </c>
      <c r="K972" s="5" t="s">
        <v>1501</v>
      </c>
      <c r="L972" s="5" t="s">
        <v>1502</v>
      </c>
      <c r="M972" s="3">
        <f t="shared" si="85"/>
        <v>9.1666666558012366E-3</v>
      </c>
      <c r="N972" s="3">
        <f t="shared" si="85"/>
        <v>-5.6666666641831398E-3</v>
      </c>
      <c r="O972" s="3">
        <f t="shared" si="87"/>
        <v>6.1066666666661717E-2</v>
      </c>
      <c r="P972">
        <f t="shared" si="86"/>
        <v>8.4027777578578227E-5</v>
      </c>
      <c r="Q972">
        <f t="shared" si="86"/>
        <v>3.2111111082964473E-5</v>
      </c>
      <c r="R972">
        <f t="shared" si="86"/>
        <v>3.7291377777771734E-3</v>
      </c>
      <c r="S972">
        <f t="shared" si="88"/>
        <v>1.161388886615427E-4</v>
      </c>
      <c r="T972">
        <f t="shared" si="89"/>
        <v>1.0776775429670172E-2</v>
      </c>
    </row>
    <row r="973" spans="1:20" x14ac:dyDescent="0.3">
      <c r="A973" s="2" t="s">
        <v>1305</v>
      </c>
      <c r="B973" s="2" t="s">
        <v>1353</v>
      </c>
      <c r="C973" s="2" t="s">
        <v>20</v>
      </c>
      <c r="D973" s="2" t="s">
        <v>110</v>
      </c>
      <c r="E973" s="8">
        <v>322395.58876666665</v>
      </c>
      <c r="F973" s="8">
        <v>164106.78723333334</v>
      </c>
      <c r="G973" s="8">
        <v>115.093</v>
      </c>
      <c r="H973" s="8"/>
      <c r="I973" s="8"/>
      <c r="J973" s="5" t="s">
        <v>1503</v>
      </c>
      <c r="K973" s="5" t="s">
        <v>1504</v>
      </c>
      <c r="L973" s="5" t="s">
        <v>1502</v>
      </c>
      <c r="M973" s="3">
        <f t="shared" si="85"/>
        <v>2.123333333292976E-2</v>
      </c>
      <c r="N973" s="3">
        <f t="shared" si="85"/>
        <v>-1.2033333332510665E-2</v>
      </c>
      <c r="O973" s="3">
        <f t="shared" si="87"/>
        <v>4.2400000000000659E-2</v>
      </c>
      <c r="P973">
        <f t="shared" si="86"/>
        <v>4.5085444442730604E-4</v>
      </c>
      <c r="Q973">
        <f t="shared" si="86"/>
        <v>1.4480111109131224E-4</v>
      </c>
      <c r="R973">
        <f t="shared" si="86"/>
        <v>1.797760000000056E-3</v>
      </c>
      <c r="S973">
        <f t="shared" si="88"/>
        <v>5.9565555551861825E-4</v>
      </c>
      <c r="T973">
        <f t="shared" si="89"/>
        <v>2.4406055714076749E-2</v>
      </c>
    </row>
    <row r="974" spans="1:20" x14ac:dyDescent="0.3">
      <c r="A974" s="2" t="s">
        <v>1305</v>
      </c>
      <c r="B974" s="2" t="s">
        <v>1353</v>
      </c>
      <c r="C974" s="2" t="s">
        <v>20</v>
      </c>
      <c r="D974" s="4" t="s">
        <v>37</v>
      </c>
      <c r="E974" s="8">
        <v>322395.60323333333</v>
      </c>
      <c r="F974" s="8">
        <v>164106.77806666665</v>
      </c>
      <c r="G974" s="8">
        <v>115.04566666666669</v>
      </c>
      <c r="H974" s="8"/>
      <c r="I974" s="8"/>
      <c r="J974" s="5" t="s">
        <v>1503</v>
      </c>
      <c r="K974" s="5" t="s">
        <v>1504</v>
      </c>
      <c r="L974" s="5" t="s">
        <v>1502</v>
      </c>
      <c r="M974" s="3">
        <f t="shared" si="85"/>
        <v>6.7666666582226753E-3</v>
      </c>
      <c r="N974" s="3">
        <f t="shared" si="85"/>
        <v>-2.866666647605598E-3</v>
      </c>
      <c r="O974" s="3">
        <f t="shared" si="87"/>
        <v>8.9733333333313681E-2</v>
      </c>
      <c r="P974">
        <f t="shared" si="86"/>
        <v>4.5787777663502428E-5</v>
      </c>
      <c r="Q974">
        <f t="shared" si="86"/>
        <v>8.2177776684943176E-6</v>
      </c>
      <c r="R974">
        <f t="shared" si="86"/>
        <v>8.0520711111075841E-3</v>
      </c>
      <c r="S974">
        <f t="shared" si="88"/>
        <v>5.4005555331996746E-5</v>
      </c>
      <c r="T974">
        <f t="shared" si="89"/>
        <v>7.3488472110935024E-3</v>
      </c>
    </row>
    <row r="975" spans="1:20" x14ac:dyDescent="0.3">
      <c r="A975" s="2" t="s">
        <v>1305</v>
      </c>
      <c r="B975" s="2" t="s">
        <v>1353</v>
      </c>
      <c r="C975" s="2" t="s">
        <v>20</v>
      </c>
      <c r="D975" s="4" t="s">
        <v>46</v>
      </c>
      <c r="E975" s="8">
        <v>322395.61406666669</v>
      </c>
      <c r="F975" s="8">
        <v>164106.77946666666</v>
      </c>
      <c r="G975" s="8">
        <v>115.09499999999998</v>
      </c>
      <c r="H975" s="8"/>
      <c r="I975" s="8"/>
      <c r="J975" s="5" t="s">
        <v>1503</v>
      </c>
      <c r="K975" s="5" t="s">
        <v>1504</v>
      </c>
      <c r="L975" s="5" t="s">
        <v>1502</v>
      </c>
      <c r="M975" s="3">
        <f t="shared" si="85"/>
        <v>-4.0666667046025395E-3</v>
      </c>
      <c r="N975" s="3">
        <f t="shared" si="85"/>
        <v>-4.2666666558943689E-3</v>
      </c>
      <c r="O975" s="3">
        <f t="shared" si="87"/>
        <v>4.0400000000019531E-2</v>
      </c>
      <c r="P975">
        <f t="shared" si="86"/>
        <v>1.6537778086322879E-5</v>
      </c>
      <c r="Q975">
        <f t="shared" si="86"/>
        <v>1.8204444352520837E-5</v>
      </c>
      <c r="R975">
        <f t="shared" si="86"/>
        <v>1.6321600000015781E-3</v>
      </c>
      <c r="S975">
        <f t="shared" si="88"/>
        <v>3.4742222438843712E-5</v>
      </c>
      <c r="T975">
        <f t="shared" si="89"/>
        <v>5.8942533402326462E-3</v>
      </c>
    </row>
    <row r="976" spans="1:20" x14ac:dyDescent="0.3">
      <c r="A976" s="2" t="s">
        <v>1305</v>
      </c>
      <c r="B976" s="2" t="s">
        <v>1353</v>
      </c>
      <c r="C976" s="2" t="s">
        <v>51</v>
      </c>
      <c r="D976" s="2" t="s">
        <v>63</v>
      </c>
      <c r="E976" s="8">
        <v>322395.5956</v>
      </c>
      <c r="F976" s="8">
        <v>164106.76263333333</v>
      </c>
      <c r="G976" s="8">
        <v>115.005</v>
      </c>
      <c r="H976" s="8"/>
      <c r="I976" s="8"/>
      <c r="J976" s="5" t="s">
        <v>1503</v>
      </c>
      <c r="K976" s="5" t="s">
        <v>1504</v>
      </c>
      <c r="L976" s="5" t="s">
        <v>1502</v>
      </c>
      <c r="M976" s="3">
        <f t="shared" si="85"/>
        <v>1.4399999985471368E-2</v>
      </c>
      <c r="N976" s="3">
        <f t="shared" si="85"/>
        <v>1.2566666671773419E-2</v>
      </c>
      <c r="O976" s="3">
        <f t="shared" si="87"/>
        <v>0.13040000000000873</v>
      </c>
      <c r="P976">
        <f t="shared" si="86"/>
        <v>2.0735999958157539E-4</v>
      </c>
      <c r="Q976">
        <f t="shared" si="86"/>
        <v>1.5792111123946081E-4</v>
      </c>
      <c r="R976">
        <f t="shared" si="86"/>
        <v>1.7004160000002277E-2</v>
      </c>
      <c r="S976">
        <f t="shared" si="88"/>
        <v>3.6528111082103623E-4</v>
      </c>
      <c r="T976">
        <f t="shared" si="89"/>
        <v>1.9112328764989268E-2</v>
      </c>
    </row>
    <row r="977" spans="1:20" x14ac:dyDescent="0.3">
      <c r="A977" s="2" t="s">
        <v>1305</v>
      </c>
      <c r="B977" s="2" t="s">
        <v>1353</v>
      </c>
      <c r="C977" s="2" t="s">
        <v>51</v>
      </c>
      <c r="D977" s="2" t="s">
        <v>30</v>
      </c>
      <c r="E977" s="8">
        <v>322395.5968</v>
      </c>
      <c r="F977" s="8">
        <v>164106.76980000001</v>
      </c>
      <c r="G977" s="8">
        <v>115.01666666666665</v>
      </c>
      <c r="H977" s="8"/>
      <c r="I977" s="8"/>
      <c r="J977" s="5" t="s">
        <v>1503</v>
      </c>
      <c r="K977" s="5" t="s">
        <v>1504</v>
      </c>
      <c r="L977" s="5" t="s">
        <v>1502</v>
      </c>
      <c r="M977" s="3">
        <f t="shared" ref="M977:N990" si="90">J977-E977</f>
        <v>1.3199999986682087E-2</v>
      </c>
      <c r="N977" s="3">
        <f t="shared" si="90"/>
        <v>5.3999999945517629E-3</v>
      </c>
      <c r="O977" s="3">
        <f t="shared" si="87"/>
        <v>0.11873333333335268</v>
      </c>
      <c r="P977">
        <f t="shared" ref="P977:R992" si="91">POWER(M977,2)</f>
        <v>1.742399996484071E-4</v>
      </c>
      <c r="Q977">
        <f t="shared" si="91"/>
        <v>2.9159999941159039E-5</v>
      </c>
      <c r="R977">
        <f t="shared" si="91"/>
        <v>1.4097604444449038E-2</v>
      </c>
      <c r="S977">
        <f t="shared" si="88"/>
        <v>2.0339999958956614E-4</v>
      </c>
      <c r="T977">
        <f t="shared" si="89"/>
        <v>1.426183717441642E-2</v>
      </c>
    </row>
    <row r="978" spans="1:20" x14ac:dyDescent="0.3">
      <c r="A978" s="2" t="s">
        <v>1305</v>
      </c>
      <c r="B978" s="2" t="s">
        <v>1353</v>
      </c>
      <c r="C978" s="2" t="s">
        <v>57</v>
      </c>
      <c r="D978" s="4" t="s">
        <v>52</v>
      </c>
      <c r="E978" s="8">
        <v>322395.60499999998</v>
      </c>
      <c r="F978" s="8">
        <v>164106.77553333333</v>
      </c>
      <c r="G978" s="8">
        <v>115.01766666666667</v>
      </c>
      <c r="H978" s="8"/>
      <c r="I978" s="8"/>
      <c r="J978" s="5" t="s">
        <v>1503</v>
      </c>
      <c r="K978" s="5" t="s">
        <v>1504</v>
      </c>
      <c r="L978" s="5" t="s">
        <v>1502</v>
      </c>
      <c r="M978" s="3">
        <f t="shared" si="90"/>
        <v>5.0000000046566129E-3</v>
      </c>
      <c r="N978" s="3">
        <f t="shared" si="90"/>
        <v>-3.3333332976326346E-4</v>
      </c>
      <c r="O978" s="3">
        <f t="shared" si="87"/>
        <v>0.11773333333333369</v>
      </c>
      <c r="P978">
        <f t="shared" si="91"/>
        <v>2.5000000046566129E-5</v>
      </c>
      <c r="Q978">
        <f t="shared" si="91"/>
        <v>1.1111110873106454E-7</v>
      </c>
      <c r="R978">
        <f t="shared" si="91"/>
        <v>1.3861137777777862E-2</v>
      </c>
      <c r="S978">
        <f t="shared" si="88"/>
        <v>2.5111111155297193E-5</v>
      </c>
      <c r="T978">
        <f t="shared" si="89"/>
        <v>5.0110987971997908E-3</v>
      </c>
    </row>
    <row r="979" spans="1:20" x14ac:dyDescent="0.3">
      <c r="A979" s="2" t="s">
        <v>1305</v>
      </c>
      <c r="B979" s="2" t="s">
        <v>1353</v>
      </c>
      <c r="C979" s="2" t="s">
        <v>1308</v>
      </c>
      <c r="D979" s="4" t="s">
        <v>1309</v>
      </c>
      <c r="E979" s="8">
        <v>322395.66759999999</v>
      </c>
      <c r="F979" s="8">
        <v>164106.66326666667</v>
      </c>
      <c r="G979" s="8">
        <v>115.34633333333333</v>
      </c>
      <c r="H979" s="13" t="s">
        <v>320</v>
      </c>
      <c r="I979" s="13" t="s">
        <v>1393</v>
      </c>
      <c r="J979" s="5" t="s">
        <v>1503</v>
      </c>
      <c r="K979" s="5" t="s">
        <v>1504</v>
      </c>
      <c r="L979" s="5" t="s">
        <v>1502</v>
      </c>
      <c r="M979" s="3">
        <f t="shared" si="90"/>
        <v>-5.7600000000093132E-2</v>
      </c>
      <c r="N979" s="3">
        <f t="shared" si="90"/>
        <v>0.11193333333358169</v>
      </c>
      <c r="O979" s="3">
        <f t="shared" si="87"/>
        <v>0.21093333333332964</v>
      </c>
      <c r="P979">
        <f t="shared" si="91"/>
        <v>3.3177600000107287E-3</v>
      </c>
      <c r="Q979">
        <f t="shared" si="91"/>
        <v>1.2529071111166709E-2</v>
      </c>
      <c r="R979">
        <f t="shared" si="91"/>
        <v>4.4492871111109555E-2</v>
      </c>
      <c r="S979">
        <f t="shared" si="88"/>
        <v>1.5846831111177438E-2</v>
      </c>
      <c r="T979">
        <f t="shared" si="89"/>
        <v>0.12588419722577349</v>
      </c>
    </row>
    <row r="980" spans="1:20" x14ac:dyDescent="0.3">
      <c r="A980" s="2" t="s">
        <v>1305</v>
      </c>
      <c r="B980" s="2" t="s">
        <v>1353</v>
      </c>
      <c r="C980" s="2" t="s">
        <v>1317</v>
      </c>
      <c r="D980" s="4" t="s">
        <v>1310</v>
      </c>
      <c r="E980" s="8">
        <v>322395.75973333331</v>
      </c>
      <c r="F980" s="8">
        <v>164106.67586666669</v>
      </c>
      <c r="G980" s="8">
        <v>115.18133333333333</v>
      </c>
      <c r="H980" s="13" t="s">
        <v>1390</v>
      </c>
      <c r="I980" s="13" t="s">
        <v>1394</v>
      </c>
      <c r="J980" s="5" t="s">
        <v>1503</v>
      </c>
      <c r="K980" s="5" t="s">
        <v>1504</v>
      </c>
      <c r="L980" s="5" t="s">
        <v>1502</v>
      </c>
      <c r="M980" s="3">
        <f t="shared" si="90"/>
        <v>-0.14973333332454786</v>
      </c>
      <c r="N980" s="3">
        <f t="shared" si="90"/>
        <v>9.9333333317190409E-2</v>
      </c>
      <c r="O980" s="3">
        <f t="shared" si="87"/>
        <v>4.593333333332339E-2</v>
      </c>
      <c r="P980">
        <f t="shared" si="91"/>
        <v>2.2420071108480155E-2</v>
      </c>
      <c r="Q980">
        <f t="shared" si="91"/>
        <v>9.8671111079040499E-3</v>
      </c>
      <c r="R980">
        <f t="shared" si="91"/>
        <v>2.1098711111101976E-3</v>
      </c>
      <c r="S980">
        <f t="shared" si="88"/>
        <v>3.2287182216384207E-2</v>
      </c>
      <c r="T980">
        <f t="shared" si="89"/>
        <v>0.17968634398969835</v>
      </c>
    </row>
    <row r="981" spans="1:20" x14ac:dyDescent="0.3">
      <c r="A981" s="2" t="s">
        <v>1305</v>
      </c>
      <c r="B981" s="2" t="s">
        <v>1354</v>
      </c>
      <c r="C981" s="2" t="s">
        <v>20</v>
      </c>
      <c r="D981" s="2" t="s">
        <v>30</v>
      </c>
      <c r="E981" s="8">
        <v>392363.01130000007</v>
      </c>
      <c r="F981" s="8">
        <v>121537.50173333332</v>
      </c>
      <c r="G981" s="8">
        <v>90.398333333333326</v>
      </c>
      <c r="H981" s="8"/>
      <c r="I981" s="8"/>
      <c r="J981" s="5" t="s">
        <v>1505</v>
      </c>
      <c r="K981" s="5" t="s">
        <v>1506</v>
      </c>
      <c r="L981" s="5" t="s">
        <v>1507</v>
      </c>
      <c r="M981" s="3">
        <f t="shared" si="90"/>
        <v>1.4799999946262687E-2</v>
      </c>
      <c r="N981" s="3">
        <f t="shared" si="90"/>
        <v>2.2366666671587154E-2</v>
      </c>
      <c r="O981" s="3">
        <f t="shared" si="87"/>
        <v>1.9033333333325686E-2</v>
      </c>
      <c r="P981">
        <f t="shared" si="91"/>
        <v>2.1903999840937555E-4</v>
      </c>
      <c r="Q981">
        <f t="shared" si="91"/>
        <v>5.0026777799788756E-4</v>
      </c>
      <c r="R981">
        <f t="shared" si="91"/>
        <v>3.6226777777748667E-4</v>
      </c>
      <c r="S981">
        <f t="shared" si="88"/>
        <v>7.1930777640726311E-4</v>
      </c>
      <c r="T981">
        <f t="shared" si="89"/>
        <v>2.681991380312888E-2</v>
      </c>
    </row>
    <row r="982" spans="1:20" x14ac:dyDescent="0.3">
      <c r="A982" s="2" t="s">
        <v>1305</v>
      </c>
      <c r="B982" s="2" t="s">
        <v>1354</v>
      </c>
      <c r="C982" s="2" t="s">
        <v>20</v>
      </c>
      <c r="D982" s="2" t="s">
        <v>21</v>
      </c>
      <c r="E982" s="8">
        <v>392363.01289999997</v>
      </c>
      <c r="F982" s="8">
        <v>121537.49903333334</v>
      </c>
      <c r="G982" s="8">
        <v>90.403666666666666</v>
      </c>
      <c r="H982" s="8"/>
      <c r="I982" s="8"/>
      <c r="J982" s="5" t="s">
        <v>1505</v>
      </c>
      <c r="K982" s="5" t="s">
        <v>1506</v>
      </c>
      <c r="L982" s="5" t="s">
        <v>1507</v>
      </c>
      <c r="M982" s="3">
        <f t="shared" si="90"/>
        <v>1.3200000044889748E-2</v>
      </c>
      <c r="N982" s="3">
        <f t="shared" si="90"/>
        <v>2.5066666654311121E-2</v>
      </c>
      <c r="O982" s="3">
        <f t="shared" si="87"/>
        <v>2.4366666666665537E-2</v>
      </c>
      <c r="P982">
        <f t="shared" si="91"/>
        <v>1.7424000118508934E-4</v>
      </c>
      <c r="Q982">
        <f t="shared" si="91"/>
        <v>6.2833777715835305E-4</v>
      </c>
      <c r="R982">
        <f t="shared" si="91"/>
        <v>5.9373444444438944E-4</v>
      </c>
      <c r="S982">
        <f t="shared" si="88"/>
        <v>8.0257777834344239E-4</v>
      </c>
      <c r="T982">
        <f t="shared" si="89"/>
        <v>2.8329803711699846E-2</v>
      </c>
    </row>
    <row r="983" spans="1:20" x14ac:dyDescent="0.3">
      <c r="A983" s="2" t="s">
        <v>1305</v>
      </c>
      <c r="B983" s="2" t="s">
        <v>1355</v>
      </c>
      <c r="C983" s="2" t="s">
        <v>20</v>
      </c>
      <c r="D983" s="2" t="s">
        <v>110</v>
      </c>
      <c r="E983" s="8">
        <v>392363.01606666669</v>
      </c>
      <c r="F983" s="8">
        <v>121537.49746666667</v>
      </c>
      <c r="G983" s="8">
        <v>90.402000000000001</v>
      </c>
      <c r="H983" s="8"/>
      <c r="I983" s="8"/>
      <c r="J983" s="5" t="s">
        <v>1508</v>
      </c>
      <c r="K983" s="5" t="s">
        <v>1509</v>
      </c>
      <c r="L983" s="5" t="s">
        <v>1507</v>
      </c>
      <c r="M983" s="3">
        <f t="shared" si="90"/>
        <v>1.0033333324827254E-2</v>
      </c>
      <c r="N983" s="3">
        <f t="shared" si="90"/>
        <v>2.6633333327481523E-2</v>
      </c>
      <c r="O983" s="3">
        <f t="shared" si="87"/>
        <v>2.2700000000000387E-2</v>
      </c>
      <c r="P983">
        <f t="shared" si="91"/>
        <v>1.0066777760708912E-4</v>
      </c>
      <c r="Q983">
        <f t="shared" si="91"/>
        <v>7.0933444413273801E-4</v>
      </c>
      <c r="R983">
        <f t="shared" si="91"/>
        <v>5.1529000000001752E-4</v>
      </c>
      <c r="S983">
        <f t="shared" si="88"/>
        <v>8.1000222173982712E-4</v>
      </c>
      <c r="T983">
        <f t="shared" si="89"/>
        <v>2.8460537973478771E-2</v>
      </c>
    </row>
    <row r="984" spans="1:20" x14ac:dyDescent="0.3">
      <c r="A984" s="2" t="s">
        <v>1305</v>
      </c>
      <c r="B984" s="2" t="s">
        <v>1355</v>
      </c>
      <c r="C984" s="2" t="s">
        <v>20</v>
      </c>
      <c r="D984" s="4" t="s">
        <v>37</v>
      </c>
      <c r="E984" s="8">
        <v>392363.02503333334</v>
      </c>
      <c r="F984" s="8">
        <v>121537.49940000002</v>
      </c>
      <c r="G984" s="8">
        <v>90.400666666666666</v>
      </c>
      <c r="H984" s="8"/>
      <c r="I984" s="8"/>
      <c r="J984" s="5" t="s">
        <v>1508</v>
      </c>
      <c r="K984" s="5" t="s">
        <v>1509</v>
      </c>
      <c r="L984" s="5" t="s">
        <v>1507</v>
      </c>
      <c r="M984" s="3">
        <f t="shared" si="90"/>
        <v>1.0666666785255075E-3</v>
      </c>
      <c r="N984" s="3">
        <f t="shared" si="90"/>
        <v>2.4699999979929999E-2</v>
      </c>
      <c r="O984" s="3">
        <f t="shared" si="87"/>
        <v>2.1366666666665424E-2</v>
      </c>
      <c r="P984">
        <f t="shared" si="91"/>
        <v>1.1377778030766383E-6</v>
      </c>
      <c r="Q984">
        <f t="shared" si="91"/>
        <v>6.1008999900854198E-4</v>
      </c>
      <c r="R984">
        <f t="shared" si="91"/>
        <v>4.5653444444439131E-4</v>
      </c>
      <c r="S984">
        <f t="shared" si="88"/>
        <v>6.1122777681161861E-4</v>
      </c>
      <c r="T984">
        <f t="shared" si="89"/>
        <v>2.4723021191019892E-2</v>
      </c>
    </row>
    <row r="985" spans="1:20" x14ac:dyDescent="0.3">
      <c r="A985" s="2" t="s">
        <v>1305</v>
      </c>
      <c r="B985" s="2" t="s">
        <v>1355</v>
      </c>
      <c r="C985" s="2" t="s">
        <v>20</v>
      </c>
      <c r="D985" s="4" t="s">
        <v>46</v>
      </c>
      <c r="E985" s="8">
        <v>392363.02246666671</v>
      </c>
      <c r="F985" s="8">
        <v>121537.49723333334</v>
      </c>
      <c r="G985" s="8">
        <v>90.40333333333335</v>
      </c>
      <c r="H985" s="8"/>
      <c r="I985" s="8"/>
      <c r="J985" s="5" t="s">
        <v>1508</v>
      </c>
      <c r="K985" s="5" t="s">
        <v>1509</v>
      </c>
      <c r="L985" s="5" t="s">
        <v>1507</v>
      </c>
      <c r="M985" s="3">
        <f t="shared" si="90"/>
        <v>3.63333331188187E-3</v>
      </c>
      <c r="N985" s="3">
        <f t="shared" si="90"/>
        <v>2.6866666652495041E-2</v>
      </c>
      <c r="O985" s="3">
        <f t="shared" si="87"/>
        <v>2.403333333334956E-2</v>
      </c>
      <c r="P985">
        <f t="shared" si="91"/>
        <v>1.3201110955230478E-5</v>
      </c>
      <c r="Q985">
        <f t="shared" si="91"/>
        <v>7.2181777701628912E-4</v>
      </c>
      <c r="R985">
        <f t="shared" si="91"/>
        <v>5.7760111111189113E-4</v>
      </c>
      <c r="S985">
        <f t="shared" si="88"/>
        <v>7.350188879715196E-4</v>
      </c>
      <c r="T985">
        <f t="shared" si="89"/>
        <v>2.7111231767876567E-2</v>
      </c>
    </row>
    <row r="986" spans="1:20" x14ac:dyDescent="0.3">
      <c r="A986" s="2" t="s">
        <v>1305</v>
      </c>
      <c r="B986" s="2" t="s">
        <v>1355</v>
      </c>
      <c r="C986" s="2" t="s">
        <v>51</v>
      </c>
      <c r="D986" s="2" t="s">
        <v>63</v>
      </c>
      <c r="E986" s="8">
        <v>392363.01656666672</v>
      </c>
      <c r="F986" s="8">
        <v>121537.50173333334</v>
      </c>
      <c r="G986" s="8">
        <v>90.349666666666664</v>
      </c>
      <c r="H986" s="8"/>
      <c r="I986" s="8"/>
      <c r="J986" s="5" t="s">
        <v>1508</v>
      </c>
      <c r="K986" s="5" t="s">
        <v>1509</v>
      </c>
      <c r="L986" s="5" t="s">
        <v>1507</v>
      </c>
      <c r="M986" s="3">
        <f t="shared" si="90"/>
        <v>9.5333333010785282E-3</v>
      </c>
      <c r="N986" s="3">
        <f t="shared" si="90"/>
        <v>2.2366666657035239E-2</v>
      </c>
      <c r="O986" s="3">
        <f t="shared" si="87"/>
        <v>2.9633333333336509E-2</v>
      </c>
      <c r="P986">
        <f t="shared" si="91"/>
        <v>9.0884443829452824E-5</v>
      </c>
      <c r="Q986">
        <f t="shared" si="91"/>
        <v>5.0026777734693193E-4</v>
      </c>
      <c r="R986">
        <f t="shared" si="91"/>
        <v>8.7813444444463261E-4</v>
      </c>
      <c r="S986">
        <f t="shared" si="88"/>
        <v>5.9115222117638478E-4</v>
      </c>
      <c r="T986">
        <f t="shared" si="89"/>
        <v>2.4313622131973359E-2</v>
      </c>
    </row>
    <row r="987" spans="1:20" x14ac:dyDescent="0.3">
      <c r="A987" s="2" t="s">
        <v>1305</v>
      </c>
      <c r="B987" s="2" t="s">
        <v>1355</v>
      </c>
      <c r="C987" s="2" t="s">
        <v>51</v>
      </c>
      <c r="D987" s="2" t="s">
        <v>30</v>
      </c>
      <c r="E987" s="8">
        <v>392363.01733333338</v>
      </c>
      <c r="F987" s="8">
        <v>121537.50303333334</v>
      </c>
      <c r="G987" s="8">
        <v>90.345666666666673</v>
      </c>
      <c r="H987" s="8"/>
      <c r="I987" s="8"/>
      <c r="J987" s="5" t="s">
        <v>1508</v>
      </c>
      <c r="K987" s="5" t="s">
        <v>1509</v>
      </c>
      <c r="L987" s="5" t="s">
        <v>1507</v>
      </c>
      <c r="M987" s="3">
        <f t="shared" si="90"/>
        <v>8.7666666368022561E-3</v>
      </c>
      <c r="N987" s="3">
        <f t="shared" si="90"/>
        <v>2.1066666653496213E-2</v>
      </c>
      <c r="O987" s="3">
        <f t="shared" si="87"/>
        <v>3.3633333333327187E-2</v>
      </c>
      <c r="P987">
        <f t="shared" si="91"/>
        <v>7.685444392082178E-5</v>
      </c>
      <c r="Q987">
        <f t="shared" si="91"/>
        <v>4.4380444388952936E-4</v>
      </c>
      <c r="R987">
        <f t="shared" si="91"/>
        <v>1.1312011111106975E-3</v>
      </c>
      <c r="S987">
        <f t="shared" si="88"/>
        <v>5.2065888781035118E-4</v>
      </c>
      <c r="T987">
        <f t="shared" si="89"/>
        <v>2.2817950999385356E-2</v>
      </c>
    </row>
    <row r="988" spans="1:20" x14ac:dyDescent="0.3">
      <c r="A988" s="2" t="s">
        <v>1305</v>
      </c>
      <c r="B988" s="2" t="s">
        <v>1355</v>
      </c>
      <c r="C988" s="2" t="s">
        <v>57</v>
      </c>
      <c r="D988" s="4" t="s">
        <v>52</v>
      </c>
      <c r="E988" s="8">
        <v>392363.0239666666</v>
      </c>
      <c r="F988" s="8">
        <v>121537.49976666667</v>
      </c>
      <c r="G988" s="8">
        <v>90.346000000000004</v>
      </c>
      <c r="H988" s="8"/>
      <c r="I988" s="8"/>
      <c r="J988" s="5" t="s">
        <v>1508</v>
      </c>
      <c r="K988" s="5" t="s">
        <v>1509</v>
      </c>
      <c r="L988" s="5" t="s">
        <v>1507</v>
      </c>
      <c r="M988" s="3">
        <f t="shared" si="90"/>
        <v>2.1333334152586758E-3</v>
      </c>
      <c r="N988" s="3">
        <f t="shared" si="90"/>
        <v>2.4333333320100792E-2</v>
      </c>
      <c r="O988" s="3">
        <f t="shared" ref="O988:O990" si="92">ABS(L988-G988)</f>
        <v>3.3299999999996999E-2</v>
      </c>
      <c r="P988">
        <f t="shared" si="91"/>
        <v>4.5511114606592457E-6</v>
      </c>
      <c r="Q988">
        <f t="shared" si="91"/>
        <v>5.921111104671274E-4</v>
      </c>
      <c r="R988">
        <f t="shared" si="91"/>
        <v>1.1088899999998E-3</v>
      </c>
      <c r="S988">
        <f t="shared" ref="S988:S1032" si="93">P988+Q988</f>
        <v>5.9666222192778667E-4</v>
      </c>
      <c r="T988">
        <f t="shared" ref="T988:T1032" si="94">SQRT(S988)</f>
        <v>2.4426670299649657E-2</v>
      </c>
    </row>
    <row r="989" spans="1:20" x14ac:dyDescent="0.3">
      <c r="A989" s="2" t="s">
        <v>1305</v>
      </c>
      <c r="B989" s="2" t="s">
        <v>1355</v>
      </c>
      <c r="C989" s="2" t="s">
        <v>1308</v>
      </c>
      <c r="D989" s="4" t="s">
        <v>1309</v>
      </c>
      <c r="E989" s="8">
        <v>392363.02249999996</v>
      </c>
      <c r="F989" s="8">
        <v>121537.50083333334</v>
      </c>
      <c r="G989" s="8">
        <v>90.402333333333331</v>
      </c>
      <c r="H989" s="8"/>
      <c r="I989" s="8"/>
      <c r="J989" s="5" t="s">
        <v>1508</v>
      </c>
      <c r="K989" s="5" t="s">
        <v>1509</v>
      </c>
      <c r="L989" s="5" t="s">
        <v>1507</v>
      </c>
      <c r="M989" s="3">
        <f t="shared" si="90"/>
        <v>3.6000000545755029E-3</v>
      </c>
      <c r="N989" s="3">
        <f t="shared" si="90"/>
        <v>2.32666666561272E-2</v>
      </c>
      <c r="O989" s="3">
        <f t="shared" si="92"/>
        <v>2.3033333333330575E-2</v>
      </c>
      <c r="P989">
        <f t="shared" si="91"/>
        <v>1.2960000392943624E-5</v>
      </c>
      <c r="Q989">
        <f t="shared" si="91"/>
        <v>5.4133777728734129E-4</v>
      </c>
      <c r="R989">
        <f t="shared" si="91"/>
        <v>5.3053444444431733E-4</v>
      </c>
      <c r="S989">
        <f t="shared" si="93"/>
        <v>5.542977776802849E-4</v>
      </c>
      <c r="T989">
        <f t="shared" si="94"/>
        <v>2.354352942275828E-2</v>
      </c>
    </row>
    <row r="990" spans="1:20" x14ac:dyDescent="0.3">
      <c r="A990" s="2" t="s">
        <v>1305</v>
      </c>
      <c r="B990" s="2" t="s">
        <v>1355</v>
      </c>
      <c r="C990" s="2" t="s">
        <v>1317</v>
      </c>
      <c r="D990" s="4" t="s">
        <v>1310</v>
      </c>
      <c r="E990" s="8">
        <v>392363.02113333339</v>
      </c>
      <c r="F990" s="8">
        <v>121537.4997</v>
      </c>
      <c r="G990" s="8">
        <v>90.408000000000001</v>
      </c>
      <c r="H990" s="8"/>
      <c r="I990" s="8"/>
      <c r="J990" s="5" t="s">
        <v>1508</v>
      </c>
      <c r="K990" s="5" t="s">
        <v>1509</v>
      </c>
      <c r="L990" s="5" t="s">
        <v>1507</v>
      </c>
      <c r="M990" s="3">
        <f t="shared" si="90"/>
        <v>4.9666666309349239E-3</v>
      </c>
      <c r="N990" s="3">
        <f t="shared" si="90"/>
        <v>2.4399999994784594E-2</v>
      </c>
      <c r="O990" s="3">
        <f t="shared" si="92"/>
        <v>2.8700000000000614E-2</v>
      </c>
      <c r="P990">
        <f t="shared" si="91"/>
        <v>2.4667777422842467E-5</v>
      </c>
      <c r="Q990">
        <f t="shared" si="91"/>
        <v>5.9535999974548817E-4</v>
      </c>
      <c r="R990">
        <f t="shared" si="91"/>
        <v>8.2369000000003521E-4</v>
      </c>
      <c r="S990">
        <f t="shared" si="93"/>
        <v>6.2002777716833066E-4</v>
      </c>
      <c r="T990">
        <f t="shared" si="94"/>
        <v>2.490035696869285E-2</v>
      </c>
    </row>
    <row r="991" spans="1:20" x14ac:dyDescent="0.3">
      <c r="A991" s="2" t="s">
        <v>1542</v>
      </c>
      <c r="B991" s="2" t="s">
        <v>1510</v>
      </c>
      <c r="C991" s="2" t="s">
        <v>1108</v>
      </c>
      <c r="D991" s="2" t="s">
        <v>30</v>
      </c>
      <c r="E991">
        <v>497552.93006666674</v>
      </c>
      <c r="F991">
        <v>285550.97540000005</v>
      </c>
      <c r="G991">
        <v>101.58523333333333</v>
      </c>
      <c r="J991" t="s">
        <v>1524</v>
      </c>
      <c r="K991" t="s">
        <v>1525</v>
      </c>
      <c r="L991" t="s">
        <v>1526</v>
      </c>
      <c r="M991" s="3">
        <f t="shared" ref="M991:M1032" si="95">J991-E991</f>
        <v>9.4333332381211221E-3</v>
      </c>
      <c r="N991" s="3">
        <f t="shared" ref="N991:N1032" si="96">K991-F991</f>
        <v>-1.5400000032968819E-2</v>
      </c>
      <c r="O991" s="3">
        <f t="shared" ref="O991:O1032" si="97">ABS(L991-G991)</f>
        <v>4.1933333333332712E-2</v>
      </c>
      <c r="P991">
        <f t="shared" ref="P991:P1032" si="98">POWER(M991,2)</f>
        <v>8.8987775981440732E-5</v>
      </c>
      <c r="Q991">
        <f t="shared" ref="Q991:Q1032" si="99">POWER(N991,2)</f>
        <v>2.3716000101543962E-4</v>
      </c>
      <c r="R991">
        <f t="shared" ref="R991:R1032" si="100">POWER(O991,2)</f>
        <v>1.7584044444443924E-3</v>
      </c>
      <c r="S991">
        <f t="shared" ref="S991:S1032" si="101">P991+Q991</f>
        <v>3.2614777699688035E-4</v>
      </c>
      <c r="T991">
        <f t="shared" ref="T991:T1032" si="102">SQRT(S991)</f>
        <v>1.8059561927047964E-2</v>
      </c>
    </row>
    <row r="992" spans="1:20" x14ac:dyDescent="0.3">
      <c r="A992" s="2" t="s">
        <v>1542</v>
      </c>
      <c r="B992" s="2" t="s">
        <v>1510</v>
      </c>
      <c r="C992" s="2" t="s">
        <v>1108</v>
      </c>
      <c r="D992" s="2" t="s">
        <v>1112</v>
      </c>
      <c r="E992">
        <v>497552.94616666669</v>
      </c>
      <c r="F992">
        <v>285550.97596666665</v>
      </c>
      <c r="G992">
        <v>101.56676666666665</v>
      </c>
      <c r="J992" t="s">
        <v>1524</v>
      </c>
      <c r="K992" t="s">
        <v>1525</v>
      </c>
      <c r="L992" t="s">
        <v>1526</v>
      </c>
      <c r="M992" s="3">
        <f t="shared" si="95"/>
        <v>-6.6666667116805911E-3</v>
      </c>
      <c r="N992" s="3">
        <f t="shared" si="96"/>
        <v>-1.596666662953794E-2</v>
      </c>
      <c r="O992" s="3">
        <f t="shared" si="97"/>
        <v>2.3466666666649871E-2</v>
      </c>
      <c r="P992">
        <f t="shared" si="98"/>
        <v>4.4444445044630106E-5</v>
      </c>
      <c r="Q992">
        <f t="shared" si="99"/>
        <v>2.5493444325880044E-4</v>
      </c>
      <c r="R992">
        <f t="shared" si="100"/>
        <v>5.5068444444365621E-4</v>
      </c>
      <c r="S992">
        <f t="shared" si="101"/>
        <v>2.9937888830343053E-4</v>
      </c>
      <c r="T992">
        <f t="shared" si="102"/>
        <v>1.7302568835390615E-2</v>
      </c>
    </row>
    <row r="993" spans="1:20" x14ac:dyDescent="0.3">
      <c r="A993" s="2" t="s">
        <v>1542</v>
      </c>
      <c r="B993" s="2" t="s">
        <v>1511</v>
      </c>
      <c r="C993" s="2" t="s">
        <v>1108</v>
      </c>
      <c r="D993" s="2" t="s">
        <v>37</v>
      </c>
      <c r="E993">
        <v>497552.92543333332</v>
      </c>
      <c r="F993">
        <v>285550.98440000002</v>
      </c>
      <c r="G993">
        <v>101.59703333333334</v>
      </c>
      <c r="J993" t="s">
        <v>1524</v>
      </c>
      <c r="K993" t="s">
        <v>1525</v>
      </c>
      <c r="L993" t="s">
        <v>1526</v>
      </c>
      <c r="M993" s="3">
        <f t="shared" si="95"/>
        <v>1.4066666655708104E-2</v>
      </c>
      <c r="N993" s="3">
        <f t="shared" si="96"/>
        <v>-2.4399999994784594E-2</v>
      </c>
      <c r="O993" s="3">
        <f t="shared" si="97"/>
        <v>5.3733333333340738E-2</v>
      </c>
      <c r="P993">
        <f t="shared" si="98"/>
        <v>1.9787111080281022E-4</v>
      </c>
      <c r="Q993">
        <f t="shared" si="99"/>
        <v>5.9535999974548817E-4</v>
      </c>
      <c r="R993">
        <f t="shared" si="100"/>
        <v>2.8872711111119068E-3</v>
      </c>
      <c r="S993">
        <f t="shared" si="101"/>
        <v>7.9323111054829842E-4</v>
      </c>
      <c r="T993">
        <f t="shared" si="102"/>
        <v>2.8164358869825146E-2</v>
      </c>
    </row>
    <row r="994" spans="1:20" x14ac:dyDescent="0.3">
      <c r="A994" s="2" t="s">
        <v>1542</v>
      </c>
      <c r="B994" s="2" t="s">
        <v>1511</v>
      </c>
      <c r="C994" s="2" t="s">
        <v>1108</v>
      </c>
      <c r="D994" s="2" t="s">
        <v>46</v>
      </c>
      <c r="E994">
        <v>497552.91836666671</v>
      </c>
      <c r="F994">
        <v>285550.98836666666</v>
      </c>
      <c r="G994">
        <v>101.56653333333334</v>
      </c>
      <c r="J994" t="s">
        <v>1524</v>
      </c>
      <c r="K994" t="s">
        <v>1525</v>
      </c>
      <c r="L994" t="s">
        <v>1526</v>
      </c>
      <c r="M994" s="3">
        <f t="shared" si="95"/>
        <v>2.1133333269972354E-2</v>
      </c>
      <c r="N994" s="3">
        <f t="shared" si="96"/>
        <v>-2.8366666636429727E-2</v>
      </c>
      <c r="O994" s="3">
        <f t="shared" si="97"/>
        <v>2.3233333333337214E-2</v>
      </c>
      <c r="P994">
        <f t="shared" si="98"/>
        <v>4.4661777509972042E-4</v>
      </c>
      <c r="Q994">
        <f t="shared" si="99"/>
        <v>8.0466777606233539E-4</v>
      </c>
      <c r="R994">
        <f t="shared" si="100"/>
        <v>5.3978777777795805E-4</v>
      </c>
      <c r="S994">
        <f t="shared" si="101"/>
        <v>1.2512855511620559E-3</v>
      </c>
      <c r="T994">
        <f t="shared" si="102"/>
        <v>3.5373514826237663E-2</v>
      </c>
    </row>
    <row r="995" spans="1:20" x14ac:dyDescent="0.3">
      <c r="A995" s="2" t="s">
        <v>1542</v>
      </c>
      <c r="B995" s="2" t="s">
        <v>1511</v>
      </c>
      <c r="C995" s="2" t="s">
        <v>1114</v>
      </c>
      <c r="D995" s="2" t="s">
        <v>63</v>
      </c>
      <c r="E995">
        <v>497552.87629999995</v>
      </c>
      <c r="F995">
        <v>285550.98033333337</v>
      </c>
      <c r="G995">
        <v>101.4862</v>
      </c>
      <c r="J995" t="s">
        <v>1524</v>
      </c>
      <c r="K995" t="s">
        <v>1525</v>
      </c>
      <c r="L995" t="s">
        <v>1526</v>
      </c>
      <c r="M995" s="3">
        <f t="shared" si="95"/>
        <v>6.3200000033248216E-2</v>
      </c>
      <c r="N995" s="3">
        <f t="shared" si="96"/>
        <v>-2.0333333348389715E-2</v>
      </c>
      <c r="O995" s="3">
        <f t="shared" si="97"/>
        <v>5.710000000000548E-2</v>
      </c>
      <c r="P995">
        <f t="shared" si="98"/>
        <v>3.9942400042025745E-3</v>
      </c>
      <c r="Q995">
        <f t="shared" si="99"/>
        <v>4.1344444505673729E-4</v>
      </c>
      <c r="R995">
        <f t="shared" si="100"/>
        <v>3.2604100000006258E-3</v>
      </c>
      <c r="S995">
        <f t="shared" si="101"/>
        <v>4.4076844492593114E-3</v>
      </c>
      <c r="T995">
        <f t="shared" si="102"/>
        <v>6.6390394254434965E-2</v>
      </c>
    </row>
    <row r="996" spans="1:20" x14ac:dyDescent="0.3">
      <c r="A996" s="2" t="s">
        <v>1542</v>
      </c>
      <c r="B996" s="2" t="s">
        <v>1511</v>
      </c>
      <c r="C996" s="2" t="s">
        <v>1114</v>
      </c>
      <c r="D996" s="2" t="s">
        <v>30</v>
      </c>
      <c r="E996">
        <v>497552.92316666665</v>
      </c>
      <c r="F996">
        <v>285551.00060000003</v>
      </c>
      <c r="G996">
        <v>101.56716666666667</v>
      </c>
      <c r="J996" t="s">
        <v>1524</v>
      </c>
      <c r="K996" t="s">
        <v>1525</v>
      </c>
      <c r="L996" t="s">
        <v>1526</v>
      </c>
      <c r="M996" s="3">
        <f t="shared" si="95"/>
        <v>1.6333333333022892E-2</v>
      </c>
      <c r="N996" s="3">
        <f t="shared" si="96"/>
        <v>-4.0600000007543713E-2</v>
      </c>
      <c r="O996" s="3">
        <f t="shared" si="97"/>
        <v>2.386666666666315E-2</v>
      </c>
      <c r="P996">
        <f t="shared" si="98"/>
        <v>2.667777777676367E-4</v>
      </c>
      <c r="Q996">
        <f t="shared" si="99"/>
        <v>1.6483600006125495E-3</v>
      </c>
      <c r="R996">
        <f t="shared" si="100"/>
        <v>5.6961777777760991E-4</v>
      </c>
      <c r="S996">
        <f t="shared" si="101"/>
        <v>1.9151377783801862E-3</v>
      </c>
      <c r="T996">
        <f t="shared" si="102"/>
        <v>4.3762287170350071E-2</v>
      </c>
    </row>
    <row r="997" spans="1:20" x14ac:dyDescent="0.3">
      <c r="A997" s="2" t="s">
        <v>1542</v>
      </c>
      <c r="B997" s="2" t="s">
        <v>1511</v>
      </c>
      <c r="C997" s="2" t="s">
        <v>1114</v>
      </c>
      <c r="D997" s="2" t="s">
        <v>52</v>
      </c>
      <c r="E997">
        <v>497552.92119999998</v>
      </c>
      <c r="F997">
        <v>285550.98746666667</v>
      </c>
      <c r="G997">
        <v>101.55416666666667</v>
      </c>
      <c r="J997" t="s">
        <v>1524</v>
      </c>
      <c r="K997" t="s">
        <v>1525</v>
      </c>
      <c r="L997" t="s">
        <v>1526</v>
      </c>
      <c r="M997" s="3">
        <f t="shared" si="95"/>
        <v>1.8299999996088445E-2</v>
      </c>
      <c r="N997" s="3">
        <f t="shared" si="96"/>
        <v>-2.7466666651889682E-2</v>
      </c>
      <c r="O997" s="3">
        <f t="shared" si="97"/>
        <v>1.0866666666672131E-2</v>
      </c>
      <c r="P997">
        <f t="shared" si="98"/>
        <v>3.3488999985683708E-4</v>
      </c>
      <c r="Q997">
        <f t="shared" si="99"/>
        <v>7.5441777696602869E-4</v>
      </c>
      <c r="R997">
        <f t="shared" si="100"/>
        <v>1.1808444444456321E-4</v>
      </c>
      <c r="S997">
        <f t="shared" si="101"/>
        <v>1.0893077768228659E-3</v>
      </c>
      <c r="T997">
        <f t="shared" si="102"/>
        <v>3.3004662955753175E-2</v>
      </c>
    </row>
    <row r="998" spans="1:20" x14ac:dyDescent="0.3">
      <c r="A998" s="2" t="s">
        <v>1542</v>
      </c>
      <c r="B998" s="2" t="s">
        <v>1512</v>
      </c>
      <c r="C998" s="2" t="s">
        <v>1108</v>
      </c>
      <c r="D998" s="2" t="s">
        <v>30</v>
      </c>
      <c r="E998">
        <v>496776.3321</v>
      </c>
      <c r="F998">
        <v>125800.5858</v>
      </c>
      <c r="G998">
        <v>151.18943333333334</v>
      </c>
      <c r="J998" t="s">
        <v>1527</v>
      </c>
      <c r="K998" t="s">
        <v>1528</v>
      </c>
      <c r="L998" t="s">
        <v>1529</v>
      </c>
      <c r="M998" s="3">
        <f t="shared" si="95"/>
        <v>6.0999999986961484E-3</v>
      </c>
      <c r="N998" s="3">
        <f t="shared" si="96"/>
        <v>-8.1000000063795596E-3</v>
      </c>
      <c r="O998" s="3">
        <f t="shared" si="97"/>
        <v>3.2566666666667743E-2</v>
      </c>
      <c r="P998">
        <f t="shared" si="98"/>
        <v>3.720999998409301E-5</v>
      </c>
      <c r="Q998">
        <f t="shared" si="99"/>
        <v>6.5610000103348865E-5</v>
      </c>
      <c r="R998">
        <f t="shared" si="100"/>
        <v>1.060587777777848E-3</v>
      </c>
      <c r="S998">
        <f t="shared" si="101"/>
        <v>1.0282000008744188E-4</v>
      </c>
      <c r="T998">
        <f t="shared" si="102"/>
        <v>1.0140019728158416E-2</v>
      </c>
    </row>
    <row r="999" spans="1:20" x14ac:dyDescent="0.3">
      <c r="A999" s="2" t="s">
        <v>1542</v>
      </c>
      <c r="B999" s="2" t="s">
        <v>1512</v>
      </c>
      <c r="C999" s="2" t="s">
        <v>1108</v>
      </c>
      <c r="D999" s="2" t="s">
        <v>1112</v>
      </c>
      <c r="E999">
        <v>496776.342</v>
      </c>
      <c r="F999">
        <v>125800.57456666668</v>
      </c>
      <c r="G999">
        <v>151.21770000000001</v>
      </c>
      <c r="J999" t="s">
        <v>1527</v>
      </c>
      <c r="K999" t="s">
        <v>1528</v>
      </c>
      <c r="L999" t="s">
        <v>1529</v>
      </c>
      <c r="M999" s="3">
        <f t="shared" si="95"/>
        <v>-3.8000000058673322E-3</v>
      </c>
      <c r="N999" s="3">
        <f t="shared" si="96"/>
        <v>3.1333333172369748E-3</v>
      </c>
      <c r="O999" s="3">
        <f t="shared" si="97"/>
        <v>4.3000000000006366E-3</v>
      </c>
      <c r="P999">
        <f t="shared" si="98"/>
        <v>1.4440000044591725E-5</v>
      </c>
      <c r="Q999">
        <f t="shared" si="99"/>
        <v>9.8177776769072639E-6</v>
      </c>
      <c r="R999">
        <f t="shared" si="100"/>
        <v>1.8490000000005476E-5</v>
      </c>
      <c r="S999">
        <f t="shared" si="101"/>
        <v>2.4257777721498989E-5</v>
      </c>
      <c r="T999">
        <f t="shared" si="102"/>
        <v>4.9252185455570382E-3</v>
      </c>
    </row>
    <row r="1000" spans="1:20" x14ac:dyDescent="0.3">
      <c r="A1000" s="2" t="s">
        <v>1542</v>
      </c>
      <c r="B1000" s="2" t="s">
        <v>1513</v>
      </c>
      <c r="C1000" s="2" t="s">
        <v>1108</v>
      </c>
      <c r="D1000" s="2" t="s">
        <v>37</v>
      </c>
      <c r="E1000">
        <v>496776.34056666662</v>
      </c>
      <c r="F1000">
        <v>125800.58583333333</v>
      </c>
      <c r="G1000">
        <v>151.21823333333333</v>
      </c>
      <c r="J1000" t="s">
        <v>1527</v>
      </c>
      <c r="K1000" t="s">
        <v>1528</v>
      </c>
      <c r="L1000" t="s">
        <v>1529</v>
      </c>
      <c r="M1000" s="3">
        <f t="shared" si="95"/>
        <v>-2.3666666238568723E-3</v>
      </c>
      <c r="N1000" s="3">
        <f t="shared" si="96"/>
        <v>-8.1333333364455029E-3</v>
      </c>
      <c r="O1000" s="3">
        <f t="shared" si="97"/>
        <v>3.7666666666780202E-3</v>
      </c>
      <c r="P1000">
        <f t="shared" si="98"/>
        <v>5.6011109084780864E-6</v>
      </c>
      <c r="Q1000">
        <f t="shared" si="99"/>
        <v>6.6151111161735738E-5</v>
      </c>
      <c r="R1000">
        <f t="shared" si="100"/>
        <v>1.4187777777863307E-5</v>
      </c>
      <c r="S1000">
        <f t="shared" si="101"/>
        <v>7.1752222070213821E-5</v>
      </c>
      <c r="T1000">
        <f t="shared" si="102"/>
        <v>8.4706683366906656E-3</v>
      </c>
    </row>
    <row r="1001" spans="1:20" x14ac:dyDescent="0.3">
      <c r="A1001" s="2" t="s">
        <v>1542</v>
      </c>
      <c r="B1001" s="2" t="s">
        <v>1513</v>
      </c>
      <c r="C1001" s="2" t="s">
        <v>1108</v>
      </c>
      <c r="D1001" s="2" t="s">
        <v>46</v>
      </c>
      <c r="E1001">
        <v>496776.33176666667</v>
      </c>
      <c r="F1001">
        <v>125800.58536666667</v>
      </c>
      <c r="G1001">
        <v>151.18816666666666</v>
      </c>
      <c r="J1001" t="s">
        <v>1527</v>
      </c>
      <c r="K1001" t="s">
        <v>1528</v>
      </c>
      <c r="L1001" t="s">
        <v>1529</v>
      </c>
      <c r="M1001" s="3">
        <f t="shared" si="95"/>
        <v>6.4333333284594119E-3</v>
      </c>
      <c r="N1001" s="3">
        <f t="shared" si="96"/>
        <v>-7.666666671866551E-3</v>
      </c>
      <c r="O1001" s="3">
        <f t="shared" si="97"/>
        <v>3.3833333333348037E-2</v>
      </c>
      <c r="P1001">
        <f t="shared" si="98"/>
        <v>4.1387777715066651E-5</v>
      </c>
      <c r="Q1001">
        <f t="shared" si="99"/>
        <v>5.8777777857509337E-5</v>
      </c>
      <c r="R1001">
        <f t="shared" si="100"/>
        <v>1.1446944444454394E-3</v>
      </c>
      <c r="S1001">
        <f t="shared" si="101"/>
        <v>1.00165555572576E-4</v>
      </c>
      <c r="T1001">
        <f t="shared" si="102"/>
        <v>1.0008274355380951E-2</v>
      </c>
    </row>
    <row r="1002" spans="1:20" x14ac:dyDescent="0.3">
      <c r="A1002" s="2" t="s">
        <v>1542</v>
      </c>
      <c r="B1002" s="2" t="s">
        <v>1512</v>
      </c>
      <c r="C1002" s="2" t="s">
        <v>1114</v>
      </c>
      <c r="D1002" s="2" t="s">
        <v>63</v>
      </c>
      <c r="E1002">
        <v>496776.3000333333</v>
      </c>
      <c r="F1002">
        <v>125800.58103333334</v>
      </c>
      <c r="G1002">
        <v>151.21773333333331</v>
      </c>
      <c r="J1002" t="s">
        <v>1527</v>
      </c>
      <c r="K1002" t="s">
        <v>1528</v>
      </c>
      <c r="L1002" t="s">
        <v>1529</v>
      </c>
      <c r="M1002" s="3">
        <f t="shared" si="95"/>
        <v>3.8166666694451123E-2</v>
      </c>
      <c r="N1002" s="3">
        <f t="shared" si="96"/>
        <v>-3.3333333412883803E-3</v>
      </c>
      <c r="O1002" s="3">
        <f t="shared" si="97"/>
        <v>4.2666666666946185E-3</v>
      </c>
      <c r="P1002">
        <f t="shared" si="98"/>
        <v>1.4566944465653246E-3</v>
      </c>
      <c r="Q1002">
        <f t="shared" si="99"/>
        <v>1.1111111164144758E-5</v>
      </c>
      <c r="R1002">
        <f t="shared" si="100"/>
        <v>1.8204444444682968E-5</v>
      </c>
      <c r="S1002">
        <f t="shared" si="101"/>
        <v>1.4678055577294694E-3</v>
      </c>
      <c r="T1002">
        <f t="shared" si="102"/>
        <v>3.8311950586331016E-2</v>
      </c>
    </row>
    <row r="1003" spans="1:20" x14ac:dyDescent="0.3">
      <c r="A1003" s="2" t="s">
        <v>1542</v>
      </c>
      <c r="B1003" s="2" t="s">
        <v>1513</v>
      </c>
      <c r="C1003" s="2" t="s">
        <v>1114</v>
      </c>
      <c r="D1003" s="2" t="s">
        <v>30</v>
      </c>
      <c r="E1003">
        <v>496776.31809999997</v>
      </c>
      <c r="F1003">
        <v>125800.58150000001</v>
      </c>
      <c r="G1003">
        <v>151.15959999999998</v>
      </c>
      <c r="J1003" t="s">
        <v>1527</v>
      </c>
      <c r="K1003" t="s">
        <v>1528</v>
      </c>
      <c r="L1003" t="s">
        <v>1529</v>
      </c>
      <c r="M1003" s="3">
        <f t="shared" si="95"/>
        <v>2.0100000023376197E-2</v>
      </c>
      <c r="N1003" s="3">
        <f t="shared" si="96"/>
        <v>-3.8000000204192474E-3</v>
      </c>
      <c r="O1003" s="3">
        <f t="shared" si="97"/>
        <v>6.2400000000025102E-2</v>
      </c>
      <c r="P1003">
        <f t="shared" si="98"/>
        <v>4.0401000093972313E-4</v>
      </c>
      <c r="Q1003">
        <f t="shared" si="99"/>
        <v>1.4440000155186281E-5</v>
      </c>
      <c r="R1003">
        <f t="shared" si="100"/>
        <v>3.8937600000031329E-3</v>
      </c>
      <c r="S1003">
        <f t="shared" si="101"/>
        <v>4.1845000109490943E-4</v>
      </c>
      <c r="T1003">
        <f t="shared" si="102"/>
        <v>2.045605047644607E-2</v>
      </c>
    </row>
    <row r="1004" spans="1:20" x14ac:dyDescent="0.3">
      <c r="A1004" s="2" t="s">
        <v>1542</v>
      </c>
      <c r="B1004" s="2" t="s">
        <v>1513</v>
      </c>
      <c r="C1004" s="2" t="s">
        <v>1114</v>
      </c>
      <c r="D1004" s="2" t="s">
        <v>52</v>
      </c>
      <c r="E1004">
        <v>496776.3236</v>
      </c>
      <c r="F1004">
        <v>125800.59379999999</v>
      </c>
      <c r="G1004">
        <v>151.18456666666665</v>
      </c>
      <c r="J1004" t="s">
        <v>1527</v>
      </c>
      <c r="K1004" t="s">
        <v>1528</v>
      </c>
      <c r="L1004" t="s">
        <v>1529</v>
      </c>
      <c r="M1004" s="3">
        <f t="shared" si="95"/>
        <v>1.4599999994970858E-2</v>
      </c>
      <c r="N1004" s="3">
        <f t="shared" si="96"/>
        <v>-1.6099999993457459E-2</v>
      </c>
      <c r="O1004" s="3">
        <f t="shared" si="97"/>
        <v>3.7433333333353858E-2</v>
      </c>
      <c r="P1004">
        <f t="shared" si="98"/>
        <v>2.1315999985314904E-4</v>
      </c>
      <c r="Q1004">
        <f t="shared" si="99"/>
        <v>2.592099997893302E-4</v>
      </c>
      <c r="R1004">
        <f t="shared" si="100"/>
        <v>1.4012544444459811E-3</v>
      </c>
      <c r="S1004">
        <f t="shared" si="101"/>
        <v>4.7236999964247924E-4</v>
      </c>
      <c r="T1004">
        <f t="shared" si="102"/>
        <v>2.1734074621259567E-2</v>
      </c>
    </row>
    <row r="1005" spans="1:20" x14ac:dyDescent="0.3">
      <c r="A1005" s="2" t="s">
        <v>1542</v>
      </c>
      <c r="B1005" s="2" t="s">
        <v>1514</v>
      </c>
      <c r="C1005" s="2" t="s">
        <v>1108</v>
      </c>
      <c r="D1005" s="2" t="s">
        <v>30</v>
      </c>
      <c r="E1005">
        <v>462063.22000000003</v>
      </c>
      <c r="F1005">
        <v>117836.86486666667</v>
      </c>
      <c r="G1005">
        <v>207.70209999999997</v>
      </c>
      <c r="J1005" t="s">
        <v>1530</v>
      </c>
      <c r="K1005" t="s">
        <v>1531</v>
      </c>
      <c r="L1005" t="s">
        <v>1532</v>
      </c>
      <c r="M1005" s="3">
        <f t="shared" si="95"/>
        <v>-1.4000000024680048E-2</v>
      </c>
      <c r="N1005" s="3">
        <f t="shared" si="96"/>
        <v>-2.366666667512618E-2</v>
      </c>
      <c r="O1005" s="3">
        <f t="shared" si="97"/>
        <v>0.20430000000001769</v>
      </c>
      <c r="P1005">
        <f t="shared" si="98"/>
        <v>1.9600000069104135E-4</v>
      </c>
      <c r="Q1005">
        <f t="shared" si="99"/>
        <v>5.6011111151152806E-4</v>
      </c>
      <c r="R1005">
        <f t="shared" si="100"/>
        <v>4.1738490000007226E-2</v>
      </c>
      <c r="S1005">
        <f t="shared" si="101"/>
        <v>7.5611111220256935E-4</v>
      </c>
      <c r="T1005">
        <f t="shared" si="102"/>
        <v>2.7497474651366975E-2</v>
      </c>
    </row>
    <row r="1006" spans="1:20" x14ac:dyDescent="0.3">
      <c r="A1006" s="2" t="s">
        <v>1542</v>
      </c>
      <c r="B1006" s="2" t="s">
        <v>1514</v>
      </c>
      <c r="C1006" s="2" t="s">
        <v>1108</v>
      </c>
      <c r="D1006" s="2" t="s">
        <v>1112</v>
      </c>
      <c r="E1006">
        <v>462063.23439999996</v>
      </c>
      <c r="F1006">
        <v>117836.85766666666</v>
      </c>
      <c r="G1006">
        <v>207.66856666666664</v>
      </c>
      <c r="J1006" t="s">
        <v>1530</v>
      </c>
      <c r="K1006" t="s">
        <v>1531</v>
      </c>
      <c r="L1006" t="s">
        <v>1532</v>
      </c>
      <c r="M1006" s="3">
        <f t="shared" si="95"/>
        <v>-2.8399999951943755E-2</v>
      </c>
      <c r="N1006" s="3">
        <f t="shared" si="96"/>
        <v>-1.6466666667838581E-2</v>
      </c>
      <c r="O1006" s="3">
        <f t="shared" si="97"/>
        <v>0.23783333333335577</v>
      </c>
      <c r="P1006">
        <f t="shared" si="98"/>
        <v>8.0655999727040524E-4</v>
      </c>
      <c r="Q1006">
        <f t="shared" si="99"/>
        <v>2.7115111114970616E-4</v>
      </c>
      <c r="R1006">
        <f t="shared" si="100"/>
        <v>5.6564694444455117E-2</v>
      </c>
      <c r="S1006">
        <f t="shared" si="101"/>
        <v>1.0777111084201113E-3</v>
      </c>
      <c r="T1006">
        <f t="shared" si="102"/>
        <v>3.2828510603134457E-2</v>
      </c>
    </row>
    <row r="1007" spans="1:20" x14ac:dyDescent="0.3">
      <c r="A1007" s="2" t="s">
        <v>1542</v>
      </c>
      <c r="B1007" s="2" t="s">
        <v>1515</v>
      </c>
      <c r="C1007" s="2" t="s">
        <v>1108</v>
      </c>
      <c r="D1007" s="2" t="s">
        <v>37</v>
      </c>
      <c r="E1007">
        <v>462063.2071</v>
      </c>
      <c r="F1007">
        <v>117836.86126666667</v>
      </c>
      <c r="G1007">
        <v>207.72806666666668</v>
      </c>
      <c r="J1007" t="s">
        <v>1530</v>
      </c>
      <c r="K1007" t="s">
        <v>1531</v>
      </c>
      <c r="L1007" t="s">
        <v>1532</v>
      </c>
      <c r="M1007" s="3">
        <f t="shared" si="95"/>
        <v>-1.0999999940395355E-3</v>
      </c>
      <c r="N1007" s="3">
        <f t="shared" si="96"/>
        <v>-2.0066666678758338E-2</v>
      </c>
      <c r="O1007" s="3">
        <f t="shared" si="97"/>
        <v>0.17833333333331325</v>
      </c>
      <c r="P1007">
        <f t="shared" si="98"/>
        <v>1.2099999868869782E-6</v>
      </c>
      <c r="Q1007">
        <f t="shared" si="99"/>
        <v>4.0267111159639018E-4</v>
      </c>
      <c r="R1007">
        <f t="shared" si="100"/>
        <v>3.1802777777770616E-2</v>
      </c>
      <c r="S1007">
        <f t="shared" si="101"/>
        <v>4.0388111158327715E-4</v>
      </c>
      <c r="T1007">
        <f t="shared" si="102"/>
        <v>2.0096793564727614E-2</v>
      </c>
    </row>
    <row r="1008" spans="1:20" x14ac:dyDescent="0.3">
      <c r="A1008" s="2" t="s">
        <v>1542</v>
      </c>
      <c r="B1008" s="2" t="s">
        <v>1515</v>
      </c>
      <c r="C1008" s="2" t="s">
        <v>1108</v>
      </c>
      <c r="D1008" s="2" t="s">
        <v>46</v>
      </c>
      <c r="E1008">
        <v>462063.21876666666</v>
      </c>
      <c r="F1008">
        <v>117836.86739999999</v>
      </c>
      <c r="G1008">
        <v>207.73560000000001</v>
      </c>
      <c r="J1008" t="s">
        <v>1530</v>
      </c>
      <c r="K1008" t="s">
        <v>1531</v>
      </c>
      <c r="L1008" t="s">
        <v>1532</v>
      </c>
      <c r="M1008" s="3">
        <f t="shared" si="95"/>
        <v>-1.2766666652169079E-2</v>
      </c>
      <c r="N1008" s="3">
        <f t="shared" si="96"/>
        <v>-2.6199999992968515E-2</v>
      </c>
      <c r="O1008" s="3">
        <f t="shared" si="97"/>
        <v>0.17079999999998563</v>
      </c>
      <c r="P1008">
        <f t="shared" si="98"/>
        <v>1.6298777740760603E-4</v>
      </c>
      <c r="Q1008">
        <f t="shared" si="99"/>
        <v>6.8643999963155012E-4</v>
      </c>
      <c r="R1008">
        <f t="shared" si="100"/>
        <v>2.917263999999509E-2</v>
      </c>
      <c r="S1008">
        <f t="shared" si="101"/>
        <v>8.4942777703915615E-4</v>
      </c>
      <c r="T1008">
        <f t="shared" si="102"/>
        <v>2.9144944279225447E-2</v>
      </c>
    </row>
    <row r="1009" spans="1:20" x14ac:dyDescent="0.3">
      <c r="A1009" s="2" t="s">
        <v>1542</v>
      </c>
      <c r="B1009" s="2" t="s">
        <v>1515</v>
      </c>
      <c r="C1009" s="2" t="s">
        <v>1114</v>
      </c>
      <c r="D1009" s="2" t="s">
        <v>63</v>
      </c>
      <c r="E1009">
        <v>462063.27106666664</v>
      </c>
      <c r="F1009">
        <v>117836.88503333332</v>
      </c>
      <c r="G1009">
        <v>207.70803333333333</v>
      </c>
      <c r="J1009" t="s">
        <v>1530</v>
      </c>
      <c r="K1009" t="s">
        <v>1531</v>
      </c>
      <c r="L1009" t="s">
        <v>1532</v>
      </c>
      <c r="M1009" s="3">
        <f t="shared" si="95"/>
        <v>-6.5066666633356363E-2</v>
      </c>
      <c r="N1009" s="3">
        <f t="shared" si="96"/>
        <v>-4.3833333329530433E-2</v>
      </c>
      <c r="O1009" s="3">
        <f t="shared" si="97"/>
        <v>0.19836666666665792</v>
      </c>
      <c r="P1009">
        <f t="shared" si="98"/>
        <v>4.2336711067763304E-3</v>
      </c>
      <c r="Q1009">
        <f t="shared" si="99"/>
        <v>1.9213611107777235E-3</v>
      </c>
      <c r="R1009">
        <f t="shared" si="100"/>
        <v>3.9349334444440977E-2</v>
      </c>
      <c r="S1009">
        <f t="shared" si="101"/>
        <v>6.1550322175540541E-3</v>
      </c>
      <c r="T1009">
        <f t="shared" si="102"/>
        <v>7.845401339354191E-2</v>
      </c>
    </row>
    <row r="1010" spans="1:20" x14ac:dyDescent="0.3">
      <c r="A1010" s="2" t="s">
        <v>1542</v>
      </c>
      <c r="B1010" s="2" t="s">
        <v>1515</v>
      </c>
      <c r="C1010" s="2" t="s">
        <v>1114</v>
      </c>
      <c r="D1010" s="2" t="s">
        <v>30</v>
      </c>
      <c r="E1010">
        <v>462063.20910000004</v>
      </c>
      <c r="F1010">
        <v>117836.86146666668</v>
      </c>
      <c r="G1010">
        <v>207.71379999999999</v>
      </c>
      <c r="J1010" t="s">
        <v>1530</v>
      </c>
      <c r="K1010" t="s">
        <v>1531</v>
      </c>
      <c r="L1010" t="s">
        <v>1532</v>
      </c>
      <c r="M1010" s="3">
        <f t="shared" si="95"/>
        <v>-3.1000000308267772E-3</v>
      </c>
      <c r="N1010" s="3">
        <f t="shared" si="96"/>
        <v>-2.0266666688257828E-2</v>
      </c>
      <c r="O1010" s="3">
        <f t="shared" si="97"/>
        <v>0.19259999999999877</v>
      </c>
      <c r="P1010">
        <f t="shared" si="98"/>
        <v>9.6100001911260197E-6</v>
      </c>
      <c r="Q1010">
        <f t="shared" si="99"/>
        <v>4.1073777865293954E-4</v>
      </c>
      <c r="R1010">
        <f t="shared" si="100"/>
        <v>3.7094759999999526E-2</v>
      </c>
      <c r="S1010">
        <f t="shared" si="101"/>
        <v>4.2034777884406558E-4</v>
      </c>
      <c r="T1010">
        <f t="shared" si="102"/>
        <v>2.0502384711151667E-2</v>
      </c>
    </row>
    <row r="1011" spans="1:20" x14ac:dyDescent="0.3">
      <c r="A1011" s="2" t="s">
        <v>1542</v>
      </c>
      <c r="B1011" s="2" t="s">
        <v>1515</v>
      </c>
      <c r="C1011" s="2" t="s">
        <v>1114</v>
      </c>
      <c r="D1011" s="2" t="s">
        <v>52</v>
      </c>
      <c r="E1011">
        <v>462063.21123333328</v>
      </c>
      <c r="F1011">
        <v>117836.8689</v>
      </c>
      <c r="G1011">
        <v>207.72686666666667</v>
      </c>
      <c r="J1011" t="s">
        <v>1530</v>
      </c>
      <c r="K1011" t="s">
        <v>1531</v>
      </c>
      <c r="L1011" t="s">
        <v>1532</v>
      </c>
      <c r="M1011" s="3">
        <f t="shared" si="95"/>
        <v>-5.2333332714624703E-3</v>
      </c>
      <c r="N1011" s="3">
        <f t="shared" si="96"/>
        <v>-2.7700000006007031E-2</v>
      </c>
      <c r="O1011" s="3">
        <f t="shared" si="97"/>
        <v>0.17953333333332466</v>
      </c>
      <c r="P1011">
        <f t="shared" si="98"/>
        <v>2.7387777130196082E-5</v>
      </c>
      <c r="Q1011">
        <f t="shared" si="99"/>
        <v>7.6729000033278947E-4</v>
      </c>
      <c r="R1011">
        <f t="shared" si="100"/>
        <v>3.2232217777774665E-2</v>
      </c>
      <c r="S1011">
        <f t="shared" si="101"/>
        <v>7.9467777746298552E-4</v>
      </c>
      <c r="T1011">
        <f t="shared" si="102"/>
        <v>2.8190029752786453E-2</v>
      </c>
    </row>
    <row r="1012" spans="1:20" x14ac:dyDescent="0.3">
      <c r="A1012" s="2" t="s">
        <v>1542</v>
      </c>
      <c r="B1012" s="2" t="s">
        <v>1516</v>
      </c>
      <c r="C1012" s="2" t="s">
        <v>1108</v>
      </c>
      <c r="D1012" s="2" t="s">
        <v>30</v>
      </c>
      <c r="E1012">
        <v>466824.36163333332</v>
      </c>
      <c r="F1012">
        <v>127346.38919999999</v>
      </c>
      <c r="G1012">
        <v>327.08946666666668</v>
      </c>
      <c r="J1012" t="s">
        <v>1533</v>
      </c>
      <c r="K1012" t="s">
        <v>1534</v>
      </c>
      <c r="L1012" t="s">
        <v>1535</v>
      </c>
      <c r="M1012" s="3">
        <f t="shared" si="95"/>
        <v>1.1666666658129543E-2</v>
      </c>
      <c r="N1012" s="3">
        <f t="shared" si="96"/>
        <v>-1.0699999984353781E-2</v>
      </c>
      <c r="O1012" s="3">
        <f t="shared" si="97"/>
        <v>1.3766666666697347E-2</v>
      </c>
      <c r="P1012">
        <f t="shared" si="98"/>
        <v>1.3611111091191156E-4</v>
      </c>
      <c r="Q1012">
        <f t="shared" si="99"/>
        <v>1.1448999966517091E-4</v>
      </c>
      <c r="R1012">
        <f t="shared" si="100"/>
        <v>1.8952111111195585E-4</v>
      </c>
      <c r="S1012">
        <f t="shared" si="101"/>
        <v>2.5060111057708247E-4</v>
      </c>
      <c r="T1012">
        <f t="shared" si="102"/>
        <v>1.5830385673668297E-2</v>
      </c>
    </row>
    <row r="1013" spans="1:20" x14ac:dyDescent="0.3">
      <c r="A1013" s="2" t="s">
        <v>1542</v>
      </c>
      <c r="B1013" s="2" t="s">
        <v>1516</v>
      </c>
      <c r="C1013" s="2" t="s">
        <v>1108</v>
      </c>
      <c r="D1013" s="2" t="s">
        <v>37</v>
      </c>
      <c r="E1013">
        <v>466824.35653333337</v>
      </c>
      <c r="F1013">
        <v>127346.38620000001</v>
      </c>
      <c r="G1013">
        <v>327.06316666666663</v>
      </c>
      <c r="J1013" t="s">
        <v>1533</v>
      </c>
      <c r="K1013" t="s">
        <v>1534</v>
      </c>
      <c r="L1013" t="s">
        <v>1535</v>
      </c>
      <c r="M1013" s="3">
        <f t="shared" si="95"/>
        <v>1.676666660932824E-2</v>
      </c>
      <c r="N1013" s="3">
        <f t="shared" si="96"/>
        <v>-7.7000000019324943E-3</v>
      </c>
      <c r="O1013" s="3">
        <f t="shared" si="97"/>
        <v>1.2533333333351493E-2</v>
      </c>
      <c r="P1013">
        <f t="shared" si="98"/>
        <v>2.8112110918836257E-4</v>
      </c>
      <c r="Q1013">
        <f t="shared" si="99"/>
        <v>5.9290000029760411E-5</v>
      </c>
      <c r="R1013">
        <f t="shared" si="100"/>
        <v>1.5708444444489965E-4</v>
      </c>
      <c r="S1013">
        <f t="shared" si="101"/>
        <v>3.4041110921812298E-4</v>
      </c>
      <c r="T1013">
        <f t="shared" si="102"/>
        <v>1.8450233310669081E-2</v>
      </c>
    </row>
    <row r="1014" spans="1:20" x14ac:dyDescent="0.3">
      <c r="A1014" s="2" t="s">
        <v>1542</v>
      </c>
      <c r="B1014" s="2" t="s">
        <v>1517</v>
      </c>
      <c r="C1014" s="2" t="s">
        <v>1108</v>
      </c>
      <c r="D1014" s="2" t="s">
        <v>46</v>
      </c>
      <c r="E1014">
        <v>466824.36540000001</v>
      </c>
      <c r="F1014">
        <v>127346.39213333333</v>
      </c>
      <c r="G1014">
        <v>327.05763333333334</v>
      </c>
      <c r="J1014" t="s">
        <v>1533</v>
      </c>
      <c r="K1014" t="s">
        <v>1534</v>
      </c>
      <c r="L1014" t="s">
        <v>1535</v>
      </c>
      <c r="M1014" s="3">
        <f t="shared" si="95"/>
        <v>7.8999999677762389E-3</v>
      </c>
      <c r="N1014" s="3">
        <f t="shared" si="96"/>
        <v>-1.3633333321195096E-2</v>
      </c>
      <c r="O1014" s="3">
        <f t="shared" si="97"/>
        <v>1.806666666664114E-2</v>
      </c>
      <c r="P1014">
        <f t="shared" si="98"/>
        <v>6.2409999490864576E-5</v>
      </c>
      <c r="Q1014">
        <f t="shared" si="99"/>
        <v>1.858677774468085E-4</v>
      </c>
      <c r="R1014">
        <f t="shared" si="100"/>
        <v>3.2640444444352211E-4</v>
      </c>
      <c r="S1014">
        <f t="shared" si="101"/>
        <v>2.4827777693767309E-4</v>
      </c>
      <c r="T1014">
        <f t="shared" si="102"/>
        <v>1.5756832706406231E-2</v>
      </c>
    </row>
    <row r="1015" spans="1:20" x14ac:dyDescent="0.3">
      <c r="A1015" s="2" t="s">
        <v>1542</v>
      </c>
      <c r="B1015" s="2" t="s">
        <v>1517</v>
      </c>
      <c r="C1015" s="2" t="s">
        <v>1108</v>
      </c>
      <c r="D1015" s="2" t="s">
        <v>1112</v>
      </c>
      <c r="E1015">
        <v>466824.35313333332</v>
      </c>
      <c r="F1015">
        <v>127346.31083333334</v>
      </c>
      <c r="G1015">
        <v>327.22256666666664</v>
      </c>
      <c r="J1015" t="s">
        <v>1533</v>
      </c>
      <c r="K1015" t="s">
        <v>1534</v>
      </c>
      <c r="L1015" t="s">
        <v>1535</v>
      </c>
      <c r="M1015" s="3">
        <f t="shared" si="95"/>
        <v>2.0166666654404253E-2</v>
      </c>
      <c r="N1015" s="3">
        <f t="shared" si="96"/>
        <v>6.7666666669538245E-2</v>
      </c>
      <c r="O1015" s="3">
        <f t="shared" si="97"/>
        <v>0.1468666666666536</v>
      </c>
      <c r="P1015">
        <f t="shared" si="98"/>
        <v>4.0669444394986041E-4</v>
      </c>
      <c r="Q1015">
        <f t="shared" si="99"/>
        <v>4.5787777781663977E-3</v>
      </c>
      <c r="R1015">
        <f t="shared" si="100"/>
        <v>2.1569817777773941E-2</v>
      </c>
      <c r="S1015">
        <f t="shared" si="101"/>
        <v>4.985472222116258E-3</v>
      </c>
      <c r="T1015">
        <f t="shared" si="102"/>
        <v>7.0607876487798857E-2</v>
      </c>
    </row>
    <row r="1016" spans="1:20" x14ac:dyDescent="0.3">
      <c r="A1016" s="2" t="s">
        <v>1542</v>
      </c>
      <c r="B1016" s="2" t="s">
        <v>1517</v>
      </c>
      <c r="C1016" s="2" t="s">
        <v>1114</v>
      </c>
      <c r="D1016" s="2" t="s">
        <v>63</v>
      </c>
      <c r="E1016">
        <v>466824.38456666662</v>
      </c>
      <c r="F1016">
        <v>127346.3884</v>
      </c>
      <c r="G1016">
        <v>327.02233333333334</v>
      </c>
      <c r="J1016" t="s">
        <v>1533</v>
      </c>
      <c r="K1016" t="s">
        <v>1534</v>
      </c>
      <c r="L1016" t="s">
        <v>1535</v>
      </c>
      <c r="M1016" s="3">
        <f t="shared" si="95"/>
        <v>-1.1266666639130563E-2</v>
      </c>
      <c r="N1016" s="3">
        <f t="shared" si="96"/>
        <v>-9.8999999900115654E-3</v>
      </c>
      <c r="O1016" s="3">
        <f t="shared" si="97"/>
        <v>5.3366666666647689E-2</v>
      </c>
      <c r="P1016">
        <f t="shared" si="98"/>
        <v>1.2693777715729756E-4</v>
      </c>
      <c r="Q1016">
        <f t="shared" si="99"/>
        <v>9.8009999802228993E-5</v>
      </c>
      <c r="R1016">
        <f t="shared" si="100"/>
        <v>2.8480011111090857E-3</v>
      </c>
      <c r="S1016">
        <f t="shared" si="101"/>
        <v>2.2494777695952656E-4</v>
      </c>
      <c r="T1016">
        <f t="shared" si="102"/>
        <v>1.4998259130963386E-2</v>
      </c>
    </row>
    <row r="1017" spans="1:20" x14ac:dyDescent="0.3">
      <c r="A1017" s="2" t="s">
        <v>1542</v>
      </c>
      <c r="B1017" s="2" t="s">
        <v>1517</v>
      </c>
      <c r="C1017" s="2" t="s">
        <v>1114</v>
      </c>
      <c r="D1017" s="2" t="s">
        <v>52</v>
      </c>
      <c r="E1017">
        <v>466824.36043333332</v>
      </c>
      <c r="F1017">
        <v>127346.38909999999</v>
      </c>
      <c r="G1017">
        <v>327.04640000000001</v>
      </c>
      <c r="J1017" t="s">
        <v>1533</v>
      </c>
      <c r="K1017" t="s">
        <v>1534</v>
      </c>
      <c r="L1017" t="s">
        <v>1535</v>
      </c>
      <c r="M1017" s="3">
        <f t="shared" si="95"/>
        <v>1.2866666656918824E-2</v>
      </c>
      <c r="N1017" s="3">
        <f t="shared" si="96"/>
        <v>-1.0599999979604036E-2</v>
      </c>
      <c r="O1017" s="3">
        <f t="shared" si="97"/>
        <v>2.9299999999977899E-2</v>
      </c>
      <c r="P1017">
        <f t="shared" si="98"/>
        <v>1.6555111086026661E-4</v>
      </c>
      <c r="Q1017">
        <f t="shared" si="99"/>
        <v>1.1235999956760555E-4</v>
      </c>
      <c r="R1017">
        <f t="shared" si="100"/>
        <v>8.5848999999870487E-4</v>
      </c>
      <c r="S1017">
        <f t="shared" si="101"/>
        <v>2.7791111042787218E-4</v>
      </c>
      <c r="T1017">
        <f t="shared" si="102"/>
        <v>1.6670666166289583E-2</v>
      </c>
    </row>
    <row r="1018" spans="1:20" x14ac:dyDescent="0.3">
      <c r="A1018" s="2" t="s">
        <v>1542</v>
      </c>
      <c r="B1018" s="2" t="s">
        <v>1517</v>
      </c>
      <c r="C1018" s="2" t="s">
        <v>1114</v>
      </c>
      <c r="D1018" s="2" t="s">
        <v>30</v>
      </c>
      <c r="E1018">
        <v>466824.36823333334</v>
      </c>
      <c r="F1018">
        <v>127346.3713</v>
      </c>
      <c r="G1018">
        <v>327.10656666666665</v>
      </c>
      <c r="J1018" t="s">
        <v>1533</v>
      </c>
      <c r="K1018" t="s">
        <v>1534</v>
      </c>
      <c r="L1018" t="s">
        <v>1535</v>
      </c>
      <c r="M1018" s="3">
        <f t="shared" si="95"/>
        <v>5.066666635684669E-3</v>
      </c>
      <c r="N1018" s="3">
        <f t="shared" si="96"/>
        <v>7.2000000072875991E-3</v>
      </c>
      <c r="O1018" s="3">
        <f t="shared" si="97"/>
        <v>3.0866666666668152E-2</v>
      </c>
      <c r="P1018">
        <f t="shared" si="98"/>
        <v>2.5671110797160203E-5</v>
      </c>
      <c r="Q1018">
        <f t="shared" si="99"/>
        <v>5.1840000104941431E-5</v>
      </c>
      <c r="R1018">
        <f t="shared" si="100"/>
        <v>9.5275111111120287E-4</v>
      </c>
      <c r="S1018">
        <f t="shared" si="101"/>
        <v>7.7511110902101627E-5</v>
      </c>
      <c r="T1018">
        <f t="shared" si="102"/>
        <v>8.8040394650468045E-3</v>
      </c>
    </row>
    <row r="1019" spans="1:20" x14ac:dyDescent="0.3">
      <c r="A1019" s="2" t="s">
        <v>1542</v>
      </c>
      <c r="B1019" s="2" t="s">
        <v>1518</v>
      </c>
      <c r="C1019" s="2" t="s">
        <v>1108</v>
      </c>
      <c r="D1019" s="2" t="s">
        <v>30</v>
      </c>
      <c r="E1019">
        <v>464317.26889999997</v>
      </c>
      <c r="F1019">
        <v>163094.37159999998</v>
      </c>
      <c r="G1019">
        <v>135.26063333333335</v>
      </c>
      <c r="J1019" t="s">
        <v>1536</v>
      </c>
      <c r="K1019" t="s">
        <v>1537</v>
      </c>
      <c r="L1019" t="s">
        <v>1538</v>
      </c>
      <c r="M1019" s="3">
        <f t="shared" si="95"/>
        <v>1.7500000016298145E-2</v>
      </c>
      <c r="N1019" s="3">
        <f t="shared" si="96"/>
        <v>1.7700000025797635E-2</v>
      </c>
      <c r="O1019" s="3">
        <f t="shared" si="97"/>
        <v>3.3633333333341398E-2</v>
      </c>
      <c r="P1019">
        <f t="shared" si="98"/>
        <v>3.0625000057043507E-4</v>
      </c>
      <c r="Q1019">
        <f t="shared" si="99"/>
        <v>3.1329000091323631E-4</v>
      </c>
      <c r="R1019">
        <f t="shared" si="100"/>
        <v>1.1312011111116536E-3</v>
      </c>
      <c r="S1019">
        <f t="shared" si="101"/>
        <v>6.1954000148367139E-4</v>
      </c>
      <c r="T1019">
        <f t="shared" si="102"/>
        <v>2.4890560489544453E-2</v>
      </c>
    </row>
    <row r="1020" spans="1:20" x14ac:dyDescent="0.3">
      <c r="A1020" s="2" t="s">
        <v>1542</v>
      </c>
      <c r="B1020" s="2" t="s">
        <v>1518</v>
      </c>
      <c r="C1020" s="2" t="s">
        <v>1108</v>
      </c>
      <c r="D1020" s="2" t="s">
        <v>1112</v>
      </c>
      <c r="E1020">
        <v>464317.29340000002</v>
      </c>
      <c r="F1020">
        <v>163094.37283333333</v>
      </c>
      <c r="G1020">
        <v>135.20699999999999</v>
      </c>
      <c r="J1020" t="s">
        <v>1536</v>
      </c>
      <c r="K1020" t="s">
        <v>1537</v>
      </c>
      <c r="L1020" t="s">
        <v>1538</v>
      </c>
      <c r="M1020" s="3">
        <f t="shared" si="95"/>
        <v>-7.0000000414438546E-3</v>
      </c>
      <c r="N1020" s="3">
        <f t="shared" si="96"/>
        <v>1.6466666682390496E-2</v>
      </c>
      <c r="O1020" s="3">
        <f t="shared" si="97"/>
        <v>2.0000000000010232E-2</v>
      </c>
      <c r="P1020">
        <f t="shared" si="98"/>
        <v>4.9000000580213962E-5</v>
      </c>
      <c r="Q1020">
        <f t="shared" si="99"/>
        <v>2.7115111162894921E-4</v>
      </c>
      <c r="R1020">
        <f t="shared" si="100"/>
        <v>4.0000000000040925E-4</v>
      </c>
      <c r="S1020">
        <f t="shared" si="101"/>
        <v>3.2015111220916315E-4</v>
      </c>
      <c r="T1020">
        <f t="shared" si="102"/>
        <v>1.7892767036128403E-2</v>
      </c>
    </row>
    <row r="1021" spans="1:20" x14ac:dyDescent="0.3">
      <c r="A1021" s="2" t="s">
        <v>1542</v>
      </c>
      <c r="B1021" s="2" t="s">
        <v>1519</v>
      </c>
      <c r="C1021" s="2" t="s">
        <v>1108</v>
      </c>
      <c r="D1021" s="2" t="s">
        <v>37</v>
      </c>
      <c r="E1021">
        <v>464317.30423333333</v>
      </c>
      <c r="F1021">
        <v>163094.37700000001</v>
      </c>
      <c r="G1021">
        <v>135.19410000000002</v>
      </c>
      <c r="J1021" t="s">
        <v>1536</v>
      </c>
      <c r="K1021" t="s">
        <v>1537</v>
      </c>
      <c r="L1021" t="s">
        <v>1538</v>
      </c>
      <c r="M1021" s="3">
        <f t="shared" si="95"/>
        <v>-1.7833333346061409E-2</v>
      </c>
      <c r="N1021" s="3">
        <f t="shared" si="96"/>
        <v>1.2300000002142042E-2</v>
      </c>
      <c r="O1021" s="3">
        <f t="shared" si="97"/>
        <v>3.289999999998372E-2</v>
      </c>
      <c r="P1021">
        <f t="shared" si="98"/>
        <v>3.1802777823174578E-4</v>
      </c>
      <c r="Q1021">
        <f t="shared" si="99"/>
        <v>1.5129000005269423E-4</v>
      </c>
      <c r="R1021">
        <f t="shared" si="100"/>
        <v>1.0824099999989288E-3</v>
      </c>
      <c r="S1021">
        <f t="shared" si="101"/>
        <v>4.6931777828444001E-4</v>
      </c>
      <c r="T1021">
        <f t="shared" si="102"/>
        <v>2.1663743404232796E-2</v>
      </c>
    </row>
    <row r="1022" spans="1:20" x14ac:dyDescent="0.3">
      <c r="A1022" s="2" t="s">
        <v>1542</v>
      </c>
      <c r="B1022" s="2" t="s">
        <v>1519</v>
      </c>
      <c r="C1022" s="2" t="s">
        <v>1108</v>
      </c>
      <c r="D1022" s="2" t="s">
        <v>46</v>
      </c>
      <c r="E1022">
        <v>464317.28609999997</v>
      </c>
      <c r="F1022">
        <v>163094.37</v>
      </c>
      <c r="G1022">
        <v>135.21073333333334</v>
      </c>
      <c r="J1022" t="s">
        <v>1536</v>
      </c>
      <c r="K1022" t="s">
        <v>1537</v>
      </c>
      <c r="L1022" t="s">
        <v>1538</v>
      </c>
      <c r="M1022" s="3">
        <f t="shared" si="95"/>
        <v>3.0000001424923539E-4</v>
      </c>
      <c r="N1022" s="3">
        <f t="shared" si="96"/>
        <v>1.9300000014482066E-2</v>
      </c>
      <c r="O1022" s="3">
        <f t="shared" si="97"/>
        <v>1.6266666666666652E-2</v>
      </c>
      <c r="P1022">
        <f t="shared" si="98"/>
        <v>9.0000008549541438E-8</v>
      </c>
      <c r="Q1022">
        <f t="shared" si="99"/>
        <v>3.7249000055900776E-4</v>
      </c>
      <c r="R1022">
        <f t="shared" si="100"/>
        <v>2.6460444444444396E-4</v>
      </c>
      <c r="S1022">
        <f t="shared" si="101"/>
        <v>3.725800005675573E-4</v>
      </c>
      <c r="T1022">
        <f t="shared" si="102"/>
        <v>1.9302331480097353E-2</v>
      </c>
    </row>
    <row r="1023" spans="1:20" x14ac:dyDescent="0.3">
      <c r="A1023" s="2" t="s">
        <v>1542</v>
      </c>
      <c r="B1023" s="2" t="s">
        <v>1519</v>
      </c>
      <c r="C1023" s="2" t="s">
        <v>1114</v>
      </c>
      <c r="D1023" s="2" t="s">
        <v>30</v>
      </c>
      <c r="E1023">
        <v>464317.29600000003</v>
      </c>
      <c r="F1023">
        <v>163094.39350000001</v>
      </c>
      <c r="G1023">
        <v>135.16506666666666</v>
      </c>
      <c r="J1023" t="s">
        <v>1536</v>
      </c>
      <c r="K1023" t="s">
        <v>1537</v>
      </c>
      <c r="L1023" t="s">
        <v>1538</v>
      </c>
      <c r="M1023" s="3">
        <f t="shared" si="95"/>
        <v>-9.6000000485219061E-3</v>
      </c>
      <c r="N1023" s="3">
        <f t="shared" si="96"/>
        <v>-4.1999999957624823E-3</v>
      </c>
      <c r="O1023" s="3">
        <f t="shared" si="97"/>
        <v>6.1933333333342944E-2</v>
      </c>
      <c r="P1023">
        <f t="shared" si="98"/>
        <v>9.2160000931620597E-5</v>
      </c>
      <c r="Q1023">
        <f t="shared" si="99"/>
        <v>1.763999996440485E-5</v>
      </c>
      <c r="R1023">
        <f t="shared" si="100"/>
        <v>3.8357377777789681E-3</v>
      </c>
      <c r="S1023">
        <f t="shared" si="101"/>
        <v>1.0980000089602545E-4</v>
      </c>
      <c r="T1023">
        <f t="shared" si="102"/>
        <v>1.0478549560699012E-2</v>
      </c>
    </row>
    <row r="1024" spans="1:20" x14ac:dyDescent="0.3">
      <c r="A1024" s="2" t="s">
        <v>1542</v>
      </c>
      <c r="B1024" s="2" t="s">
        <v>1519</v>
      </c>
      <c r="C1024" s="2" t="s">
        <v>1114</v>
      </c>
      <c r="D1024" s="2" t="s">
        <v>52</v>
      </c>
      <c r="E1024">
        <v>464317.29869999998</v>
      </c>
      <c r="F1024">
        <v>163094.39110000001</v>
      </c>
      <c r="G1024">
        <v>135.17793333333333</v>
      </c>
      <c r="J1024" t="s">
        <v>1536</v>
      </c>
      <c r="K1024" t="s">
        <v>1537</v>
      </c>
      <c r="L1024" t="s">
        <v>1538</v>
      </c>
      <c r="M1024" s="3">
        <f t="shared" si="95"/>
        <v>-1.2300000002142042E-2</v>
      </c>
      <c r="N1024" s="3">
        <f t="shared" si="96"/>
        <v>-1.799999998183921E-3</v>
      </c>
      <c r="O1024" s="3">
        <f t="shared" si="97"/>
        <v>4.9066666666675474E-2</v>
      </c>
      <c r="P1024">
        <f t="shared" si="98"/>
        <v>1.5129000005269423E-4</v>
      </c>
      <c r="Q1024">
        <f t="shared" si="99"/>
        <v>3.2399999934621155E-6</v>
      </c>
      <c r="R1024">
        <f t="shared" si="100"/>
        <v>2.4075377777786422E-3</v>
      </c>
      <c r="S1024">
        <f t="shared" si="101"/>
        <v>1.5453000004615636E-4</v>
      </c>
      <c r="T1024">
        <f t="shared" si="102"/>
        <v>1.2431009614916898E-2</v>
      </c>
    </row>
    <row r="1025" spans="1:20" x14ac:dyDescent="0.3">
      <c r="A1025" s="2" t="s">
        <v>1542</v>
      </c>
      <c r="B1025" s="2" t="s">
        <v>1519</v>
      </c>
      <c r="C1025" s="2" t="s">
        <v>1520</v>
      </c>
      <c r="D1025" s="2" t="s">
        <v>1521</v>
      </c>
      <c r="E1025">
        <v>464317.33576666663</v>
      </c>
      <c r="F1025">
        <v>163094.45703333334</v>
      </c>
      <c r="G1025">
        <v>135.48609999999999</v>
      </c>
      <c r="J1025" t="s">
        <v>1536</v>
      </c>
      <c r="K1025" t="s">
        <v>1537</v>
      </c>
      <c r="L1025" t="s">
        <v>1538</v>
      </c>
      <c r="M1025" s="3">
        <f t="shared" si="95"/>
        <v>-4.9366666644345969E-2</v>
      </c>
      <c r="N1025" s="3">
        <f t="shared" si="96"/>
        <v>-6.7733333329670131E-2</v>
      </c>
      <c r="O1025" s="3">
        <f t="shared" si="97"/>
        <v>0.25909999999998945</v>
      </c>
      <c r="P1025">
        <f t="shared" si="98"/>
        <v>2.4370677755739807E-3</v>
      </c>
      <c r="Q1025">
        <f t="shared" si="99"/>
        <v>4.5878044439482029E-3</v>
      </c>
      <c r="R1025">
        <f t="shared" si="100"/>
        <v>6.7132809999994533E-2</v>
      </c>
      <c r="S1025">
        <f t="shared" si="101"/>
        <v>7.0248722195221831E-3</v>
      </c>
      <c r="T1025">
        <f t="shared" si="102"/>
        <v>8.3814510793311814E-2</v>
      </c>
    </row>
    <row r="1026" spans="1:20" x14ac:dyDescent="0.3">
      <c r="A1026" s="2" t="s">
        <v>1542</v>
      </c>
      <c r="B1026" s="2" t="s">
        <v>1522</v>
      </c>
      <c r="C1026" s="2" t="s">
        <v>1108</v>
      </c>
      <c r="D1026" s="2" t="s">
        <v>30</v>
      </c>
      <c r="E1026">
        <v>459390.07049999997</v>
      </c>
      <c r="F1026">
        <v>149724.38210000002</v>
      </c>
      <c r="G1026">
        <v>144.22003333333336</v>
      </c>
      <c r="J1026" t="s">
        <v>1539</v>
      </c>
      <c r="K1026" t="s">
        <v>1540</v>
      </c>
      <c r="L1026" t="s">
        <v>1541</v>
      </c>
      <c r="M1026" s="3">
        <f t="shared" si="95"/>
        <v>-1.1599999968893826E-2</v>
      </c>
      <c r="N1026" s="3">
        <f t="shared" si="96"/>
        <v>1.1099999974248931E-2</v>
      </c>
      <c r="O1026" s="3">
        <f t="shared" si="97"/>
        <v>4.0866666666630636E-2</v>
      </c>
      <c r="P1026">
        <f t="shared" si="98"/>
        <v>1.3455999927833675E-4</v>
      </c>
      <c r="Q1026">
        <f t="shared" si="99"/>
        <v>1.2320999942832628E-4</v>
      </c>
      <c r="R1026">
        <f t="shared" si="100"/>
        <v>1.6700844444414995E-3</v>
      </c>
      <c r="S1026">
        <f t="shared" si="101"/>
        <v>2.5776999870666303E-4</v>
      </c>
      <c r="T1026">
        <f t="shared" si="102"/>
        <v>1.6055217180301954E-2</v>
      </c>
    </row>
    <row r="1027" spans="1:20" x14ac:dyDescent="0.3">
      <c r="A1027" s="2" t="s">
        <v>1542</v>
      </c>
      <c r="B1027" s="2" t="s">
        <v>1522</v>
      </c>
      <c r="C1027" s="2" t="s">
        <v>1108</v>
      </c>
      <c r="D1027" s="2" t="s">
        <v>1112</v>
      </c>
      <c r="E1027">
        <v>459390.08776666661</v>
      </c>
      <c r="F1027">
        <v>149724.37743333334</v>
      </c>
      <c r="G1027">
        <v>144.21289999999999</v>
      </c>
      <c r="J1027" t="s">
        <v>1539</v>
      </c>
      <c r="K1027" t="s">
        <v>1540</v>
      </c>
      <c r="L1027" t="s">
        <v>1541</v>
      </c>
      <c r="M1027" s="3">
        <f t="shared" si="95"/>
        <v>-2.8866666601970792E-2</v>
      </c>
      <c r="N1027" s="3">
        <f t="shared" si="96"/>
        <v>1.576666664914228E-2</v>
      </c>
      <c r="O1027" s="3">
        <f t="shared" si="97"/>
        <v>4.8000000000001819E-2</v>
      </c>
      <c r="P1027">
        <f t="shared" si="98"/>
        <v>8.3328444070933589E-4</v>
      </c>
      <c r="Q1027">
        <f t="shared" si="99"/>
        <v>2.4858777722517548E-4</v>
      </c>
      <c r="R1027">
        <f t="shared" si="100"/>
        <v>2.3040000000001748E-3</v>
      </c>
      <c r="S1027">
        <f t="shared" si="101"/>
        <v>1.0818722179345114E-3</v>
      </c>
      <c r="T1027">
        <f t="shared" si="102"/>
        <v>3.2891826004868008E-2</v>
      </c>
    </row>
    <row r="1028" spans="1:20" x14ac:dyDescent="0.3">
      <c r="A1028" s="2" t="s">
        <v>1542</v>
      </c>
      <c r="B1028" s="2" t="s">
        <v>1523</v>
      </c>
      <c r="C1028" s="2" t="s">
        <v>1108</v>
      </c>
      <c r="D1028" s="2" t="s">
        <v>37</v>
      </c>
      <c r="E1028">
        <v>459390.0851333334</v>
      </c>
      <c r="F1028">
        <v>149724.3807666667</v>
      </c>
      <c r="G1028">
        <v>144.25626666666668</v>
      </c>
      <c r="J1028" t="s">
        <v>1539</v>
      </c>
      <c r="K1028" t="s">
        <v>1540</v>
      </c>
      <c r="L1028" t="s">
        <v>1541</v>
      </c>
      <c r="M1028" s="3">
        <f t="shared" si="95"/>
        <v>-2.6233333395794034E-2</v>
      </c>
      <c r="N1028" s="3">
        <f t="shared" si="96"/>
        <v>1.2433333293301985E-2</v>
      </c>
      <c r="O1028" s="3">
        <f t="shared" si="97"/>
        <v>4.6333333333166138E-3</v>
      </c>
      <c r="P1028">
        <f t="shared" si="98"/>
        <v>6.8818778105488249E-4</v>
      </c>
      <c r="Q1028">
        <f t="shared" si="99"/>
        <v>1.5458777678233158E-4</v>
      </c>
      <c r="R1028">
        <f t="shared" si="100"/>
        <v>2.1467777777622844E-5</v>
      </c>
      <c r="S1028">
        <f t="shared" si="101"/>
        <v>8.4277555783721406E-4</v>
      </c>
      <c r="T1028">
        <f t="shared" si="102"/>
        <v>2.9030596925265145E-2</v>
      </c>
    </row>
    <row r="1029" spans="1:20" x14ac:dyDescent="0.3">
      <c r="A1029" s="2" t="s">
        <v>1542</v>
      </c>
      <c r="B1029" s="2" t="s">
        <v>1523</v>
      </c>
      <c r="C1029" s="2" t="s">
        <v>1108</v>
      </c>
      <c r="D1029" s="2" t="s">
        <v>46</v>
      </c>
      <c r="E1029">
        <v>459390.08289999998</v>
      </c>
      <c r="F1029">
        <v>149724.38529999999</v>
      </c>
      <c r="G1029">
        <v>144.25480000000002</v>
      </c>
      <c r="J1029" t="s">
        <v>1539</v>
      </c>
      <c r="K1029" t="s">
        <v>1540</v>
      </c>
      <c r="L1029" t="s">
        <v>1541</v>
      </c>
      <c r="M1029" s="3">
        <f t="shared" si="95"/>
        <v>-2.3999999975785613E-2</v>
      </c>
      <c r="N1029" s="3">
        <f t="shared" si="96"/>
        <v>7.8999999968800694E-3</v>
      </c>
      <c r="O1029" s="3">
        <f t="shared" si="97"/>
        <v>6.0999999999751253E-3</v>
      </c>
      <c r="P1029">
        <f t="shared" si="98"/>
        <v>5.7599999883770937E-4</v>
      </c>
      <c r="Q1029">
        <f t="shared" si="99"/>
        <v>6.2409999950705102E-5</v>
      </c>
      <c r="R1029">
        <f t="shared" si="100"/>
        <v>3.720999999969653E-5</v>
      </c>
      <c r="S1029">
        <f t="shared" si="101"/>
        <v>6.3840999878841443E-4</v>
      </c>
      <c r="T1029">
        <f t="shared" si="102"/>
        <v>2.5266776580886104E-2</v>
      </c>
    </row>
    <row r="1030" spans="1:20" x14ac:dyDescent="0.3">
      <c r="A1030" s="2" t="s">
        <v>1542</v>
      </c>
      <c r="B1030" s="2" t="s">
        <v>1523</v>
      </c>
      <c r="C1030" s="2" t="s">
        <v>1114</v>
      </c>
      <c r="D1030" s="2" t="s">
        <v>63</v>
      </c>
      <c r="E1030">
        <v>459390.07483333332</v>
      </c>
      <c r="F1030">
        <v>149724.39466666666</v>
      </c>
      <c r="G1030">
        <v>144.14986666666667</v>
      </c>
      <c r="J1030" t="s">
        <v>1539</v>
      </c>
      <c r="K1030" t="s">
        <v>1540</v>
      </c>
      <c r="L1030" t="s">
        <v>1541</v>
      </c>
      <c r="M1030" s="3">
        <f t="shared" si="95"/>
        <v>-1.5933333314023912E-2</v>
      </c>
      <c r="N1030" s="3">
        <f t="shared" si="96"/>
        <v>-1.4666666684206575E-3</v>
      </c>
      <c r="O1030" s="3">
        <f t="shared" si="97"/>
        <v>0.11103333333332444</v>
      </c>
      <c r="P1030">
        <f t="shared" si="98"/>
        <v>2.538711104957842E-4</v>
      </c>
      <c r="Q1030">
        <f t="shared" si="99"/>
        <v>2.1511111162561509E-6</v>
      </c>
      <c r="R1030">
        <f t="shared" si="100"/>
        <v>1.2328401111109135E-2</v>
      </c>
      <c r="S1030">
        <f t="shared" si="101"/>
        <v>2.5602222161204036E-4</v>
      </c>
      <c r="T1030">
        <f t="shared" si="102"/>
        <v>1.6000694410307333E-2</v>
      </c>
    </row>
    <row r="1031" spans="1:20" x14ac:dyDescent="0.3">
      <c r="A1031" s="2" t="s">
        <v>1542</v>
      </c>
      <c r="B1031" s="2" t="s">
        <v>1523</v>
      </c>
      <c r="C1031" s="2" t="s">
        <v>1114</v>
      </c>
      <c r="D1031" s="2" t="s">
        <v>30</v>
      </c>
      <c r="E1031">
        <v>459390.10099999997</v>
      </c>
      <c r="F1031">
        <v>149724.39426666667</v>
      </c>
      <c r="G1031">
        <v>144.14796666666666</v>
      </c>
      <c r="J1031" t="s">
        <v>1539</v>
      </c>
      <c r="K1031" t="s">
        <v>1540</v>
      </c>
      <c r="L1031" t="s">
        <v>1541</v>
      </c>
      <c r="M1031" s="3">
        <f t="shared" si="95"/>
        <v>-4.2099999962374568E-2</v>
      </c>
      <c r="N1031" s="3">
        <f t="shared" si="96"/>
        <v>-1.0666666785255075E-3</v>
      </c>
      <c r="O1031" s="3">
        <f t="shared" si="97"/>
        <v>0.11293333333333067</v>
      </c>
      <c r="P1031">
        <f t="shared" si="98"/>
        <v>1.7724099968319386E-3</v>
      </c>
      <c r="Q1031">
        <f t="shared" si="99"/>
        <v>1.1377778030766383E-6</v>
      </c>
      <c r="R1031">
        <f t="shared" si="100"/>
        <v>1.2753937777777176E-2</v>
      </c>
      <c r="S1031">
        <f t="shared" si="101"/>
        <v>1.7735477746350153E-3</v>
      </c>
      <c r="T1031">
        <f t="shared" si="102"/>
        <v>4.2113510594998078E-2</v>
      </c>
    </row>
    <row r="1032" spans="1:20" x14ac:dyDescent="0.3">
      <c r="A1032" s="2" t="s">
        <v>1542</v>
      </c>
      <c r="B1032" s="2" t="s">
        <v>1523</v>
      </c>
      <c r="C1032" s="2" t="s">
        <v>1114</v>
      </c>
      <c r="D1032" s="2" t="s">
        <v>52</v>
      </c>
      <c r="E1032">
        <v>459390.07613333332</v>
      </c>
      <c r="F1032">
        <v>149724.38930000001</v>
      </c>
      <c r="G1032">
        <v>144.20489999999998</v>
      </c>
      <c r="J1032" t="s">
        <v>1539</v>
      </c>
      <c r="K1032" t="s">
        <v>1540</v>
      </c>
      <c r="L1032" t="s">
        <v>1541</v>
      </c>
      <c r="M1032" s="3">
        <f t="shared" si="95"/>
        <v>-1.7233333317562938E-2</v>
      </c>
      <c r="N1032" s="3">
        <f t="shared" si="96"/>
        <v>3.8999999815132469E-3</v>
      </c>
      <c r="O1032" s="3">
        <f t="shared" si="97"/>
        <v>5.6000000000011596E-2</v>
      </c>
      <c r="P1032">
        <f t="shared" si="98"/>
        <v>2.9698777723422481E-4</v>
      </c>
      <c r="Q1032">
        <f t="shared" si="99"/>
        <v>1.5209999855803325E-5</v>
      </c>
      <c r="R1032">
        <f t="shared" si="100"/>
        <v>3.1360000000012988E-3</v>
      </c>
      <c r="S1032">
        <f t="shared" si="101"/>
        <v>3.1219777709002813E-4</v>
      </c>
      <c r="T1032">
        <f t="shared" si="102"/>
        <v>1.7669119307142281E-2</v>
      </c>
    </row>
  </sheetData>
  <phoneticPr fontId="3" type="noConversion"/>
  <conditionalFormatting sqref="O2:O761">
    <cfRule type="cellIs" dxfId="7" priority="5" operator="greaterThan">
      <formula>0.1</formula>
    </cfRule>
    <cfRule type="cellIs" dxfId="6" priority="7" operator="greaterThan">
      <formula>0.05</formula>
    </cfRule>
  </conditionalFormatting>
  <conditionalFormatting sqref="T2:T761">
    <cfRule type="cellIs" dxfId="5" priority="6" operator="greaterThan">
      <formula>0.1</formula>
    </cfRule>
    <cfRule type="cellIs" dxfId="4" priority="8" operator="greaterThan">
      <formula>0.03</formula>
    </cfRule>
  </conditionalFormatting>
  <conditionalFormatting sqref="O762:O1032">
    <cfRule type="cellIs" dxfId="3" priority="1" operator="greaterThan">
      <formula>0.1</formula>
    </cfRule>
    <cfRule type="cellIs" dxfId="2" priority="3" operator="greaterThan">
      <formula>0.05</formula>
    </cfRule>
  </conditionalFormatting>
  <conditionalFormatting sqref="T762:T1032">
    <cfRule type="cellIs" dxfId="1" priority="2" operator="greaterThan">
      <formula>0.1</formula>
    </cfRule>
    <cfRule type="cellIs" dxfId="0" priority="4" operator="greaterThan">
      <formula>0.03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검증측량 정확도_중간점검</vt:lpstr>
      <vt:lpstr>전체 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MOLIT</dc:creator>
  <cp:lastModifiedBy>MOLIT</cp:lastModifiedBy>
  <dcterms:created xsi:type="dcterms:W3CDTF">2025-06-18T00:03:25Z</dcterms:created>
  <dcterms:modified xsi:type="dcterms:W3CDTF">2025-06-23T08:50:06Z</dcterms:modified>
</cp:coreProperties>
</file>